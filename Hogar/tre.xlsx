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896"/>
  </bookViews>
  <sheets>
    <sheet name="RGN1 - RGN2" sheetId="2" r:id="rId1"/>
    <sheet name="MF" sheetId="166" r:id="rId2"/>
    <sheet name="001 MOROCHO" sheetId="167" r:id="rId3"/>
  </sheets>
  <definedNames>
    <definedName name="_xlnm._FilterDatabase" localSheetId="0" hidden="1">'RGN1 - RGN2'!$A$4:$H$1959</definedName>
    <definedName name="_xlnm._FilterDatabase" localSheetId="1" hidden="1">MF!$A$4:$T$1962</definedName>
    <definedName name="_xlnm.Print_Area" localSheetId="2">'001 MOROCHO'!$A$1:$G$48</definedName>
    <definedName name="_xlnm.Print_Area" localSheetId="0">'RGN1 - RGN2'!$B$4:$G$1959</definedName>
    <definedName name="_xlnm.Print_Titles" localSheetId="2">'001 MOROCHO'!$6:$7</definedName>
    <definedName name="_xlnm.Print_Titles" localSheetId="0">'RGN1 - RGN2'!$4:$4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<sst xmlns="http://schemas.openxmlformats.org/spreadsheetml/2006/main" count="7857" uniqueCount="3831">
  <si>
    <t xml:space="preserve">PEDIDO </t>
  </si>
  <si>
    <t xml:space="preserve">CÓDIGO </t>
  </si>
  <si>
    <t>NOMBRE</t>
  </si>
  <si>
    <t>C</t>
  </si>
  <si>
    <t>RGN1</t>
  </si>
  <si>
    <t>RGN2</t>
  </si>
  <si>
    <r>
      <rPr>
        <sz val="9"/>
        <rFont val="Microsoft Sans Serif"/>
        <charset val="134"/>
      </rPr>
      <t>AM HIGH QUALITY MOSQUITO NET. MOSQUITERO</t>
    </r>
  </si>
  <si>
    <r>
      <rPr>
        <sz val="9"/>
        <rFont val="Microsoft Sans Serif"/>
        <charset val="134"/>
      </rPr>
      <t>ANTIBACTERIANTE</t>
    </r>
  </si>
  <si>
    <r>
      <rPr>
        <sz val="9"/>
        <rFont val="Microsoft Sans Serif"/>
        <charset val="134"/>
      </rPr>
      <t>KIT PARA BEBE ACCESORIO HOGAR AM</t>
    </r>
  </si>
  <si>
    <r>
      <rPr>
        <sz val="8"/>
        <rFont val="Times New Roman"/>
        <charset val="134"/>
      </rPr>
      <t>HD1192</t>
    </r>
  </si>
  <si>
    <r>
      <rPr>
        <sz val="9"/>
        <rFont val="Microsoft Sans Serif"/>
        <charset val="134"/>
      </rPr>
      <t>11 ARCOIRIS CH_CARCASA</t>
    </r>
  </si>
  <si>
    <r>
      <rPr>
        <sz val="8"/>
        <rFont val="Times New Roman"/>
        <charset val="134"/>
      </rPr>
      <t>HD1530</t>
    </r>
  </si>
  <si>
    <r>
      <rPr>
        <sz val="9"/>
        <rFont val="Microsoft Sans Serif"/>
        <charset val="134"/>
      </rPr>
      <t>11 BORDE DE COLOR CH_CARCASA</t>
    </r>
  </si>
  <si>
    <r>
      <rPr>
        <sz val="8"/>
        <rFont val="Times New Roman"/>
        <charset val="134"/>
      </rPr>
      <t>HD1484</t>
    </r>
  </si>
  <si>
    <r>
      <rPr>
        <sz val="9"/>
        <rFont val="Microsoft Sans Serif"/>
        <charset val="134"/>
      </rPr>
      <t>11 BROCHE UNICOLOR CH_CARCASA</t>
    </r>
  </si>
  <si>
    <r>
      <rPr>
        <sz val="8"/>
        <rFont val="Times New Roman"/>
        <charset val="134"/>
      </rPr>
      <t>HD1415</t>
    </r>
  </si>
  <si>
    <r>
      <rPr>
        <sz val="9"/>
        <rFont val="Microsoft Sans Serif"/>
        <charset val="134"/>
      </rPr>
      <t>11 ESCARCHADO CON BROCHE CH_CARCASA</t>
    </r>
  </si>
  <si>
    <r>
      <rPr>
        <sz val="8"/>
        <rFont val="Times New Roman"/>
        <charset val="134"/>
      </rPr>
      <t>HD1507</t>
    </r>
  </si>
  <si>
    <r>
      <rPr>
        <sz val="9"/>
        <rFont val="Microsoft Sans Serif"/>
        <charset val="134"/>
      </rPr>
      <t>11 FLOWERS CADENA CH_CARCASA</t>
    </r>
  </si>
  <si>
    <r>
      <rPr>
        <sz val="8"/>
        <rFont val="Times New Roman"/>
        <charset val="134"/>
      </rPr>
      <t>HD1179</t>
    </r>
  </si>
  <si>
    <r>
      <rPr>
        <sz val="9"/>
        <rFont val="Microsoft Sans Serif"/>
        <charset val="134"/>
      </rPr>
      <t>11 LADYS SENCILLO CH_CARCASA</t>
    </r>
  </si>
  <si>
    <r>
      <rPr>
        <sz val="8"/>
        <rFont val="Times New Roman"/>
        <charset val="134"/>
      </rPr>
      <t>HD1438</t>
    </r>
  </si>
  <si>
    <r>
      <rPr>
        <sz val="9"/>
        <rFont val="Microsoft Sans Serif"/>
        <charset val="134"/>
      </rPr>
      <t>11 LOVE CORAZON CH_CARCASA</t>
    </r>
  </si>
  <si>
    <r>
      <rPr>
        <sz val="8"/>
        <rFont val="Times New Roman"/>
        <charset val="134"/>
      </rPr>
      <t>HD1462</t>
    </r>
  </si>
  <si>
    <r>
      <rPr>
        <sz val="9"/>
        <rFont val="Microsoft Sans Serif"/>
        <charset val="134"/>
      </rPr>
      <t>11 MAX AMOR - CARCASA</t>
    </r>
  </si>
  <si>
    <r>
      <rPr>
        <sz val="8"/>
        <rFont val="Times New Roman"/>
        <charset val="134"/>
      </rPr>
      <t>HD1311</t>
    </r>
  </si>
  <si>
    <r>
      <rPr>
        <sz val="9"/>
        <rFont val="Microsoft Sans Serif"/>
        <charset val="134"/>
      </rPr>
      <t>11 MAX ANILLO_CARCASA</t>
    </r>
  </si>
  <si>
    <r>
      <rPr>
        <sz val="8"/>
        <rFont val="Times New Roman"/>
        <charset val="134"/>
      </rPr>
      <t>HD1403</t>
    </r>
  </si>
  <si>
    <r>
      <rPr>
        <sz val="8"/>
        <rFont val="Times New Roman"/>
        <charset val="134"/>
      </rPr>
      <t>HD1167</t>
    </r>
  </si>
  <si>
    <r>
      <rPr>
        <sz val="9"/>
        <rFont val="Microsoft Sans Serif"/>
        <charset val="134"/>
      </rPr>
      <t>11 MAX CADENA CORAZONES CH_CARCASA</t>
    </r>
  </si>
  <si>
    <r>
      <rPr>
        <sz val="8"/>
        <rFont val="Times New Roman"/>
        <charset val="134"/>
      </rPr>
      <t>HD1144</t>
    </r>
  </si>
  <si>
    <r>
      <rPr>
        <sz val="9"/>
        <rFont val="Microsoft Sans Serif"/>
        <charset val="134"/>
      </rPr>
      <t>11 MAX CORAZON_CARCASA</t>
    </r>
  </si>
  <si>
    <r>
      <rPr>
        <sz val="8"/>
        <rFont val="Times New Roman"/>
        <charset val="134"/>
      </rPr>
      <t>HD1180</t>
    </r>
  </si>
  <si>
    <r>
      <rPr>
        <sz val="9"/>
        <rFont val="Microsoft Sans Serif"/>
        <charset val="134"/>
      </rPr>
      <t>11 MAX LADYS SENCILLO CH_CARCASA</t>
    </r>
  </si>
  <si>
    <r>
      <rPr>
        <sz val="8"/>
        <rFont val="Times New Roman"/>
        <charset val="134"/>
      </rPr>
      <t>HD1052</t>
    </r>
  </si>
  <si>
    <r>
      <rPr>
        <sz val="9"/>
        <rFont val="Microsoft Sans Serif"/>
        <charset val="134"/>
      </rPr>
      <t>11 MAX MATE CHINA_CARCASA</t>
    </r>
  </si>
  <si>
    <r>
      <rPr>
        <sz val="8"/>
        <rFont val="Times New Roman"/>
        <charset val="134"/>
      </rPr>
      <t>HD1216</t>
    </r>
  </si>
  <si>
    <r>
      <rPr>
        <sz val="9"/>
        <rFont val="Microsoft Sans Serif"/>
        <charset val="134"/>
      </rPr>
      <t>11 MAX MATIZADO - CARCASA</t>
    </r>
  </si>
  <si>
    <r>
      <rPr>
        <sz val="8"/>
        <rFont val="Times New Roman"/>
        <charset val="134"/>
      </rPr>
      <t>HD1356</t>
    </r>
  </si>
  <si>
    <r>
      <rPr>
        <sz val="9"/>
        <rFont val="Microsoft Sans Serif"/>
        <charset val="134"/>
      </rPr>
      <t>11 MAX PERLAS_CARCASA</t>
    </r>
  </si>
  <si>
    <r>
      <rPr>
        <sz val="8"/>
        <rFont val="Times New Roman"/>
        <charset val="134"/>
      </rPr>
      <t>HD1128</t>
    </r>
  </si>
  <si>
    <r>
      <rPr>
        <sz val="9"/>
        <rFont val="Microsoft Sans Serif"/>
        <charset val="134"/>
      </rPr>
      <t>11 MAX PROTECTOR_CARCASA</t>
    </r>
  </si>
  <si>
    <r>
      <rPr>
        <sz val="8"/>
        <rFont val="Times New Roman"/>
        <charset val="134"/>
      </rPr>
      <t>HD1334</t>
    </r>
  </si>
  <si>
    <r>
      <rPr>
        <sz val="9"/>
        <rFont val="Microsoft Sans Serif"/>
        <charset val="134"/>
      </rPr>
      <t>11 MAX SUPREME_CARCASA</t>
    </r>
  </si>
  <si>
    <r>
      <rPr>
        <sz val="8"/>
        <rFont val="Times New Roman"/>
        <charset val="134"/>
      </rPr>
      <t>HD1096</t>
    </r>
  </si>
  <si>
    <r>
      <rPr>
        <sz val="9"/>
        <rFont val="Microsoft Sans Serif"/>
        <charset val="134"/>
      </rPr>
      <t>11 MAX TRANSPARENTE CH_CARCASA</t>
    </r>
  </si>
  <si>
    <r>
      <rPr>
        <sz val="8"/>
        <rFont val="Times New Roman"/>
        <charset val="134"/>
      </rPr>
      <t>HD1355</t>
    </r>
  </si>
  <si>
    <r>
      <rPr>
        <sz val="9"/>
        <rFont val="Microsoft Sans Serif"/>
        <charset val="134"/>
      </rPr>
      <t>11 PERLAS - CARCASA</t>
    </r>
  </si>
  <si>
    <r>
      <rPr>
        <sz val="8"/>
        <rFont val="Times New Roman"/>
        <charset val="134"/>
      </rPr>
      <t>HD1238</t>
    </r>
  </si>
  <si>
    <r>
      <rPr>
        <sz val="9"/>
        <rFont val="Microsoft Sans Serif"/>
        <charset val="134"/>
      </rPr>
      <t>11 RELIEVE FIGURAS CH_CARCASA</t>
    </r>
  </si>
  <si>
    <r>
      <rPr>
        <sz val="8"/>
        <rFont val="Times New Roman"/>
        <charset val="134"/>
      </rPr>
      <t>HD1297</t>
    </r>
  </si>
  <si>
    <r>
      <rPr>
        <sz val="9"/>
        <rFont val="Microsoft Sans Serif"/>
        <charset val="134"/>
      </rPr>
      <t>11 TACOS PROTECTOR CH_CARCASA</t>
    </r>
  </si>
  <si>
    <r>
      <rPr>
        <sz val="8"/>
        <rFont val="Times New Roman"/>
        <charset val="134"/>
      </rPr>
      <t>HD1193</t>
    </r>
  </si>
  <si>
    <r>
      <rPr>
        <sz val="9"/>
        <rFont val="Microsoft Sans Serif"/>
        <charset val="134"/>
      </rPr>
      <t>11MAX ARCOIRIS CH_CARCASA</t>
    </r>
  </si>
  <si>
    <r>
      <rPr>
        <sz val="8"/>
        <rFont val="Times New Roman"/>
        <charset val="134"/>
      </rPr>
      <t>HD1531</t>
    </r>
  </si>
  <si>
    <r>
      <rPr>
        <sz val="9"/>
        <rFont val="Microsoft Sans Serif"/>
        <charset val="134"/>
      </rPr>
      <t>11MAX BORDE DE COLOR CH_CARCASA</t>
    </r>
  </si>
  <si>
    <r>
      <rPr>
        <sz val="8"/>
        <rFont val="Times New Roman"/>
        <charset val="134"/>
      </rPr>
      <t>HD1485</t>
    </r>
  </si>
  <si>
    <r>
      <rPr>
        <sz val="9"/>
        <rFont val="Microsoft Sans Serif"/>
        <charset val="134"/>
      </rPr>
      <t>11MAX BROCHE UNICOLOR CH_CARCASA</t>
    </r>
  </si>
  <si>
    <r>
      <rPr>
        <sz val="8"/>
        <rFont val="Times New Roman"/>
        <charset val="134"/>
      </rPr>
      <t>HD1416</t>
    </r>
  </si>
  <si>
    <r>
      <rPr>
        <sz val="9"/>
        <rFont val="Microsoft Sans Serif"/>
        <charset val="134"/>
      </rPr>
      <t>11MAX ESCARCHADO CON BROCHE CH_CARCASA</t>
    </r>
  </si>
  <si>
    <r>
      <rPr>
        <sz val="8"/>
        <rFont val="Times New Roman"/>
        <charset val="134"/>
      </rPr>
      <t>HD1508</t>
    </r>
  </si>
  <si>
    <r>
      <rPr>
        <sz val="9"/>
        <rFont val="Microsoft Sans Serif"/>
        <charset val="134"/>
      </rPr>
      <t>11MAX FLOWERS CADENA CH_CARCASA</t>
    </r>
  </si>
  <si>
    <r>
      <rPr>
        <sz val="8"/>
        <rFont val="Times New Roman"/>
        <charset val="134"/>
      </rPr>
      <t>HD1275</t>
    </r>
  </si>
  <si>
    <r>
      <rPr>
        <sz val="9"/>
        <rFont val="Microsoft Sans Serif"/>
        <charset val="134"/>
      </rPr>
      <t>11MAX IPHONE UNICOLOR CH_CARCASA</t>
    </r>
  </si>
  <si>
    <r>
      <rPr>
        <sz val="8"/>
        <rFont val="Times New Roman"/>
        <charset val="134"/>
      </rPr>
      <t>HD1380</t>
    </r>
  </si>
  <si>
    <r>
      <rPr>
        <sz val="9"/>
        <rFont val="Microsoft Sans Serif"/>
        <charset val="134"/>
      </rPr>
      <t>11MAX LAZO GIRLS CH_CARCASA</t>
    </r>
  </si>
  <si>
    <r>
      <rPr>
        <sz val="8"/>
        <rFont val="Times New Roman"/>
        <charset val="134"/>
      </rPr>
      <t>HD1439</t>
    </r>
  </si>
  <si>
    <r>
      <rPr>
        <sz val="9"/>
        <rFont val="Microsoft Sans Serif"/>
        <charset val="134"/>
      </rPr>
      <t>11MAX LOVE CORAZON CH_CARCASA</t>
    </r>
  </si>
  <si>
    <r>
      <rPr>
        <sz val="8"/>
        <rFont val="Times New Roman"/>
        <charset val="134"/>
      </rPr>
      <t>HD1239</t>
    </r>
  </si>
  <si>
    <r>
      <rPr>
        <sz val="9"/>
        <rFont val="Microsoft Sans Serif"/>
        <charset val="134"/>
      </rPr>
      <t>11MAX RELIEVE FIGURAS CH_CARCASA</t>
    </r>
  </si>
  <si>
    <r>
      <rPr>
        <sz val="8"/>
        <rFont val="Times New Roman"/>
        <charset val="134"/>
      </rPr>
      <t>HD1262</t>
    </r>
  </si>
  <si>
    <r>
      <rPr>
        <sz val="9"/>
        <rFont val="Microsoft Sans Serif"/>
        <charset val="134"/>
      </rPr>
      <t>11MAX SUPREME1 CH_CARCASA</t>
    </r>
  </si>
  <si>
    <r>
      <rPr>
        <sz val="8"/>
        <rFont val="Times New Roman"/>
        <charset val="134"/>
      </rPr>
      <t>HD1298</t>
    </r>
  </si>
  <si>
    <r>
      <rPr>
        <sz val="9"/>
        <rFont val="Microsoft Sans Serif"/>
        <charset val="134"/>
      </rPr>
      <t>11MAX TACOS PROTECTOR CH_CARCASA</t>
    </r>
  </si>
  <si>
    <r>
      <rPr>
        <sz val="8"/>
        <rFont val="Times New Roman"/>
        <charset val="134"/>
      </rPr>
      <t>HD1824</t>
    </r>
  </si>
  <si>
    <r>
      <rPr>
        <sz val="9"/>
        <rFont val="Microsoft Sans Serif"/>
        <charset val="134"/>
      </rPr>
      <t>18W FOCO CHINA</t>
    </r>
  </si>
  <si>
    <r>
      <rPr>
        <sz val="8"/>
        <rFont val="Times New Roman"/>
        <charset val="134"/>
      </rPr>
      <t>HD1461</t>
    </r>
  </si>
  <si>
    <r>
      <rPr>
        <sz val="9"/>
        <rFont val="Microsoft Sans Serif"/>
        <charset val="134"/>
      </rPr>
      <t>1P 11 AMOR - CARCASA</t>
    </r>
  </si>
  <si>
    <r>
      <rPr>
        <sz val="8"/>
        <rFont val="Times New Roman"/>
        <charset val="134"/>
      </rPr>
      <t>HD3654</t>
    </r>
  </si>
  <si>
    <r>
      <rPr>
        <sz val="9"/>
        <rFont val="Microsoft Sans Serif"/>
        <charset val="134"/>
      </rPr>
      <t>3654 GAFAS CHINA</t>
    </r>
  </si>
  <si>
    <r>
      <rPr>
        <sz val="8"/>
        <rFont val="Times New Roman"/>
        <charset val="134"/>
      </rPr>
      <t>HD3179</t>
    </r>
  </si>
  <si>
    <r>
      <rPr>
        <sz val="9"/>
        <rFont val="Microsoft Sans Serif"/>
        <charset val="134"/>
      </rPr>
      <t>3D 05/2021 VISUALIZACION LAMPARA CREATIVE_FIG</t>
    </r>
  </si>
  <si>
    <r>
      <rPr>
        <sz val="8"/>
        <rFont val="Times New Roman"/>
        <charset val="134"/>
      </rPr>
      <t>HD5300</t>
    </r>
  </si>
  <si>
    <r>
      <rPr>
        <sz val="9"/>
        <rFont val="Microsoft Sans Serif"/>
        <charset val="134"/>
      </rPr>
      <t>5300 TRANSPARENTE CHINA</t>
    </r>
  </si>
  <si>
    <r>
      <rPr>
        <sz val="8"/>
        <rFont val="Times New Roman"/>
        <charset val="134"/>
      </rPr>
      <t>HD5301</t>
    </r>
  </si>
  <si>
    <r>
      <rPr>
        <sz val="9"/>
        <rFont val="Microsoft Sans Serif"/>
        <charset val="134"/>
      </rPr>
      <t>5301 TRANSPARENTE CHINA</t>
    </r>
  </si>
  <si>
    <r>
      <rPr>
        <sz val="8"/>
        <rFont val="Times New Roman"/>
        <charset val="134"/>
      </rPr>
      <t>HD5304</t>
    </r>
  </si>
  <si>
    <r>
      <rPr>
        <sz val="9"/>
        <rFont val="Microsoft Sans Serif"/>
        <charset val="134"/>
      </rPr>
      <t>5304 TRANSPARENTE CHINA</t>
    </r>
  </si>
  <si>
    <r>
      <rPr>
        <sz val="8"/>
        <rFont val="Times New Roman"/>
        <charset val="134"/>
      </rPr>
      <t>HD5305</t>
    </r>
  </si>
  <si>
    <r>
      <rPr>
        <sz val="9"/>
        <rFont val="Microsoft Sans Serif"/>
        <charset val="134"/>
      </rPr>
      <t>5305 TRANSPARENTE CHINA</t>
    </r>
  </si>
  <si>
    <r>
      <rPr>
        <sz val="8"/>
        <rFont val="Times New Roman"/>
        <charset val="134"/>
      </rPr>
      <t>HD5309</t>
    </r>
  </si>
  <si>
    <r>
      <rPr>
        <sz val="9"/>
        <rFont val="Microsoft Sans Serif"/>
        <charset val="134"/>
      </rPr>
      <t>5309 CELESTE CHINA</t>
    </r>
  </si>
  <si>
    <r>
      <rPr>
        <sz val="8"/>
        <rFont val="Times New Roman"/>
        <charset val="134"/>
      </rPr>
      <t>HD5312</t>
    </r>
  </si>
  <si>
    <r>
      <rPr>
        <sz val="9"/>
        <rFont val="Microsoft Sans Serif"/>
        <charset val="134"/>
      </rPr>
      <t>5312 ROSA CHINA</t>
    </r>
  </si>
  <si>
    <r>
      <rPr>
        <sz val="8"/>
        <rFont val="Times New Roman"/>
        <charset val="134"/>
      </rPr>
      <t>HD5313</t>
    </r>
  </si>
  <si>
    <r>
      <rPr>
        <sz val="9"/>
        <rFont val="Microsoft Sans Serif"/>
        <charset val="134"/>
      </rPr>
      <t>5313 TRANSPARENTE CHINA</t>
    </r>
  </si>
  <si>
    <r>
      <rPr>
        <sz val="8"/>
        <rFont val="Times New Roman"/>
        <charset val="134"/>
      </rPr>
      <t>HD5314</t>
    </r>
  </si>
  <si>
    <r>
      <rPr>
        <sz val="9"/>
        <rFont val="Microsoft Sans Serif"/>
        <charset val="134"/>
      </rPr>
      <t>5314 ROJO CHINA</t>
    </r>
  </si>
  <si>
    <r>
      <rPr>
        <sz val="8"/>
        <rFont val="Times New Roman"/>
        <charset val="134"/>
      </rPr>
      <t>HD5315</t>
    </r>
  </si>
  <si>
    <r>
      <rPr>
        <sz val="9"/>
        <rFont val="Microsoft Sans Serif"/>
        <charset val="134"/>
      </rPr>
      <t>5315 FUCSIA CHINA</t>
    </r>
  </si>
  <si>
    <r>
      <rPr>
        <sz val="8"/>
        <rFont val="Times New Roman"/>
        <charset val="134"/>
      </rPr>
      <t>HD5316</t>
    </r>
  </si>
  <si>
    <r>
      <rPr>
        <sz val="9"/>
        <rFont val="Microsoft Sans Serif"/>
        <charset val="134"/>
      </rPr>
      <t>5316 ROSA CHINA</t>
    </r>
  </si>
  <si>
    <r>
      <rPr>
        <sz val="8"/>
        <rFont val="Times New Roman"/>
        <charset val="134"/>
      </rPr>
      <t>HD5317</t>
    </r>
  </si>
  <si>
    <r>
      <rPr>
        <sz val="9"/>
        <rFont val="Microsoft Sans Serif"/>
        <charset val="134"/>
      </rPr>
      <t>5317 CELESTE CHINA</t>
    </r>
  </si>
  <si>
    <r>
      <rPr>
        <sz val="8"/>
        <rFont val="Times New Roman"/>
        <charset val="134"/>
      </rPr>
      <t>HD5318</t>
    </r>
  </si>
  <si>
    <r>
      <rPr>
        <sz val="9"/>
        <rFont val="Microsoft Sans Serif"/>
        <charset val="134"/>
      </rPr>
      <t>5318 TRANSPARENTE CHINA</t>
    </r>
  </si>
  <si>
    <r>
      <rPr>
        <sz val="8"/>
        <rFont val="Times New Roman"/>
        <charset val="134"/>
      </rPr>
      <t>HD5319</t>
    </r>
  </si>
  <si>
    <r>
      <rPr>
        <sz val="9"/>
        <rFont val="Microsoft Sans Serif"/>
        <charset val="134"/>
      </rPr>
      <t>5319 FUCSIA CHINA</t>
    </r>
  </si>
  <si>
    <r>
      <rPr>
        <sz val="8"/>
        <rFont val="Times New Roman"/>
        <charset val="134"/>
      </rPr>
      <t>HD5320</t>
    </r>
  </si>
  <si>
    <r>
      <rPr>
        <sz val="9"/>
        <rFont val="Microsoft Sans Serif"/>
        <charset val="134"/>
      </rPr>
      <t>5320 ROSA CHINA</t>
    </r>
  </si>
  <si>
    <r>
      <rPr>
        <sz val="8"/>
        <rFont val="Times New Roman"/>
        <charset val="134"/>
      </rPr>
      <t>HD5321</t>
    </r>
  </si>
  <si>
    <r>
      <rPr>
        <sz val="9"/>
        <rFont val="Microsoft Sans Serif"/>
        <charset val="134"/>
      </rPr>
      <t>5321 CELESTE CHINA</t>
    </r>
  </si>
  <si>
    <r>
      <rPr>
        <sz val="8"/>
        <rFont val="Times New Roman"/>
        <charset val="134"/>
      </rPr>
      <t>HD3246</t>
    </r>
  </si>
  <si>
    <r>
      <rPr>
        <sz val="9"/>
        <rFont val="Microsoft Sans Serif"/>
        <charset val="134"/>
      </rPr>
      <t>5363-2 WISKERO VASO 05/2021 LA CAJA ESTA 4,20</t>
    </r>
  </si>
  <si>
    <r>
      <rPr>
        <sz val="8"/>
        <rFont val="Times New Roman"/>
        <charset val="134"/>
      </rPr>
      <t>HD4457</t>
    </r>
  </si>
  <si>
    <r>
      <rPr>
        <sz val="9"/>
        <rFont val="Microsoft Sans Serif"/>
        <charset val="134"/>
      </rPr>
      <t>570-5 RELOJ 30*30*4CM</t>
    </r>
  </si>
  <si>
    <r>
      <rPr>
        <sz val="8"/>
        <rFont val="Times New Roman"/>
        <charset val="134"/>
      </rPr>
      <t>HD1450</t>
    </r>
  </si>
  <si>
    <r>
      <rPr>
        <sz val="9"/>
        <rFont val="Microsoft Sans Serif"/>
        <charset val="134"/>
      </rPr>
      <t>5S AMOR CH_CARCASA</t>
    </r>
  </si>
  <si>
    <r>
      <rPr>
        <sz val="8"/>
        <rFont val="Times New Roman"/>
        <charset val="134"/>
      </rPr>
      <t>HD1299</t>
    </r>
  </si>
  <si>
    <r>
      <rPr>
        <sz val="9"/>
        <rFont val="Microsoft Sans Serif"/>
        <charset val="134"/>
      </rPr>
      <t>5S ANILLO ROSA CH_CARCASA</t>
    </r>
  </si>
  <si>
    <r>
      <rPr>
        <sz val="8"/>
        <rFont val="Times New Roman"/>
        <charset val="134"/>
      </rPr>
      <t>HD1181</t>
    </r>
  </si>
  <si>
    <r>
      <rPr>
        <sz val="9"/>
        <rFont val="Microsoft Sans Serif"/>
        <charset val="134"/>
      </rPr>
      <t>5S ARCOIRIS CH_CARCASA</t>
    </r>
  </si>
  <si>
    <r>
      <rPr>
        <sz val="8"/>
        <rFont val="Times New Roman"/>
        <charset val="134"/>
      </rPr>
      <t>HD1519</t>
    </r>
  </si>
  <si>
    <r>
      <rPr>
        <sz val="9"/>
        <rFont val="Microsoft Sans Serif"/>
        <charset val="134"/>
      </rPr>
      <t>5S BORDE DE COLOR CH_CARCASA</t>
    </r>
  </si>
  <si>
    <r>
      <rPr>
        <sz val="8"/>
        <rFont val="Times New Roman"/>
        <charset val="134"/>
      </rPr>
      <t>HD1473</t>
    </r>
  </si>
  <si>
    <r>
      <rPr>
        <sz val="9"/>
        <rFont val="Microsoft Sans Serif"/>
        <charset val="134"/>
      </rPr>
      <t>5S BROCHE UNICOLOR CH_CARCASA</t>
    </r>
  </si>
  <si>
    <r>
      <rPr>
        <sz val="8"/>
        <rFont val="Times New Roman"/>
        <charset val="134"/>
      </rPr>
      <t>HD1155</t>
    </r>
  </si>
  <si>
    <r>
      <rPr>
        <sz val="9"/>
        <rFont val="Microsoft Sans Serif"/>
        <charset val="134"/>
      </rPr>
      <t>5S CADENA CORAZONES CH_CARCASA</t>
    </r>
  </si>
  <si>
    <r>
      <rPr>
        <sz val="8"/>
        <rFont val="Times New Roman"/>
        <charset val="134"/>
      </rPr>
      <t>HD1132</t>
    </r>
  </si>
  <si>
    <r>
      <rPr>
        <sz val="9"/>
        <rFont val="Microsoft Sans Serif"/>
        <charset val="134"/>
      </rPr>
      <t>5S CORAZON ESPEJO CH_CARCASA</t>
    </r>
  </si>
  <si>
    <r>
      <rPr>
        <sz val="8"/>
        <rFont val="Times New Roman"/>
        <charset val="134"/>
      </rPr>
      <t>HD1404</t>
    </r>
  </si>
  <si>
    <r>
      <rPr>
        <sz val="9"/>
        <rFont val="Microsoft Sans Serif"/>
        <charset val="134"/>
      </rPr>
      <t>5S ESCARCHADO CON BROCHE CH_CARCASA</t>
    </r>
  </si>
  <si>
    <r>
      <rPr>
        <sz val="8"/>
        <rFont val="Times New Roman"/>
        <charset val="134"/>
      </rPr>
      <t>HD1496</t>
    </r>
  </si>
  <si>
    <r>
      <rPr>
        <sz val="9"/>
        <rFont val="Microsoft Sans Serif"/>
        <charset val="134"/>
      </rPr>
      <t>5S FLOWERS CADENA CH_CARCASA</t>
    </r>
  </si>
  <si>
    <r>
      <rPr>
        <sz val="8"/>
        <rFont val="Times New Roman"/>
        <charset val="134"/>
      </rPr>
      <t>HD1263</t>
    </r>
  </si>
  <si>
    <r>
      <rPr>
        <sz val="9"/>
        <rFont val="Microsoft Sans Serif"/>
        <charset val="134"/>
      </rPr>
      <t>5S IPHONE UNICOLOR CH_CARCASA</t>
    </r>
  </si>
  <si>
    <r>
      <rPr>
        <sz val="8"/>
        <rFont val="Times New Roman"/>
        <charset val="134"/>
      </rPr>
      <t>HD1168</t>
    </r>
  </si>
  <si>
    <r>
      <rPr>
        <sz val="9"/>
        <rFont val="Microsoft Sans Serif"/>
        <charset val="134"/>
      </rPr>
      <t>5S LADYS SENCILLO CH_CARCASA</t>
    </r>
  </si>
  <si>
    <r>
      <rPr>
        <sz val="8"/>
        <rFont val="Times New Roman"/>
        <charset val="134"/>
      </rPr>
      <t>HD1368</t>
    </r>
  </si>
  <si>
    <r>
      <rPr>
        <sz val="9"/>
        <rFont val="Microsoft Sans Serif"/>
        <charset val="134"/>
      </rPr>
      <t>5S LAZO GIRLS CH_CARCASA</t>
    </r>
  </si>
  <si>
    <r>
      <rPr>
        <sz val="8"/>
        <rFont val="Times New Roman"/>
        <charset val="134"/>
      </rPr>
      <t>HD1427</t>
    </r>
  </si>
  <si>
    <r>
      <rPr>
        <sz val="9"/>
        <rFont val="Microsoft Sans Serif"/>
        <charset val="134"/>
      </rPr>
      <t>5S LOVE CORAZON CH_CARCASA</t>
    </r>
  </si>
  <si>
    <r>
      <rPr>
        <sz val="8"/>
        <rFont val="Times New Roman"/>
        <charset val="134"/>
      </rPr>
      <t>HD1204</t>
    </r>
  </si>
  <si>
    <r>
      <rPr>
        <sz val="9"/>
        <rFont val="Microsoft Sans Serif"/>
        <charset val="134"/>
      </rPr>
      <t>5S MATIZADO CON DORADO CH_CARCASA</t>
    </r>
  </si>
  <si>
    <r>
      <rPr>
        <sz val="8"/>
        <rFont val="Times New Roman"/>
        <charset val="134"/>
      </rPr>
      <t>HD1345</t>
    </r>
  </si>
  <si>
    <r>
      <rPr>
        <sz val="9"/>
        <rFont val="Microsoft Sans Serif"/>
        <charset val="134"/>
      </rPr>
      <t>5S PERLAS CORAZON CH_CARCASA</t>
    </r>
  </si>
  <si>
    <r>
      <rPr>
        <sz val="8"/>
        <rFont val="Times New Roman"/>
        <charset val="134"/>
      </rPr>
      <t>HD1115</t>
    </r>
  </si>
  <si>
    <r>
      <rPr>
        <sz val="9"/>
        <rFont val="Microsoft Sans Serif"/>
        <charset val="134"/>
      </rPr>
      <t>5S PROTECTOR TELF CH_CARCASA</t>
    </r>
  </si>
  <si>
    <r>
      <rPr>
        <sz val="8"/>
        <rFont val="Times New Roman"/>
        <charset val="134"/>
      </rPr>
      <t>HD1227</t>
    </r>
  </si>
  <si>
    <r>
      <rPr>
        <sz val="9"/>
        <rFont val="Microsoft Sans Serif"/>
        <charset val="134"/>
      </rPr>
      <t>5S RELIEVE FIGURAS CH_CARCASA</t>
    </r>
  </si>
  <si>
    <r>
      <rPr>
        <sz val="8"/>
        <rFont val="Times New Roman"/>
        <charset val="134"/>
      </rPr>
      <t>HD1391</t>
    </r>
  </si>
  <si>
    <r>
      <rPr>
        <sz val="9"/>
        <rFont val="Microsoft Sans Serif"/>
        <charset val="134"/>
      </rPr>
      <t>5S STAR CH_CARCASA</t>
    </r>
  </si>
  <si>
    <r>
      <rPr>
        <sz val="8"/>
        <rFont val="Times New Roman"/>
        <charset val="134"/>
      </rPr>
      <t>HD1250</t>
    </r>
  </si>
  <si>
    <r>
      <rPr>
        <sz val="9"/>
        <rFont val="Microsoft Sans Serif"/>
        <charset val="134"/>
      </rPr>
      <t>5S SUPREME1 CH-CARCASA</t>
    </r>
  </si>
  <si>
    <r>
      <rPr>
        <sz val="8"/>
        <rFont val="Times New Roman"/>
        <charset val="134"/>
      </rPr>
      <t>HD1322</t>
    </r>
  </si>
  <si>
    <r>
      <rPr>
        <sz val="9"/>
        <rFont val="Microsoft Sans Serif"/>
        <charset val="134"/>
      </rPr>
      <t>5S SUPREME2 CH_CARCASA</t>
    </r>
  </si>
  <si>
    <r>
      <rPr>
        <sz val="8"/>
        <rFont val="Times New Roman"/>
        <charset val="134"/>
      </rPr>
      <t>HD1286</t>
    </r>
  </si>
  <si>
    <r>
      <rPr>
        <sz val="9"/>
        <rFont val="Microsoft Sans Serif"/>
        <charset val="134"/>
      </rPr>
      <t>5S TACOS PROTECTOR CH_CARCASA</t>
    </r>
  </si>
  <si>
    <r>
      <rPr>
        <sz val="8"/>
        <rFont val="Times New Roman"/>
        <charset val="134"/>
      </rPr>
      <t>HD1103</t>
    </r>
  </si>
  <si>
    <r>
      <rPr>
        <sz val="9"/>
        <rFont val="Microsoft Sans Serif"/>
        <charset val="134"/>
      </rPr>
      <t>5S TRANSPARENTE CH_CARCASA</t>
    </r>
  </si>
  <si>
    <r>
      <rPr>
        <sz val="8"/>
        <rFont val="Times New Roman"/>
        <charset val="134"/>
      </rPr>
      <t>HD1133</t>
    </r>
  </si>
  <si>
    <r>
      <rPr>
        <sz val="9"/>
        <rFont val="Microsoft Sans Serif"/>
        <charset val="134"/>
      </rPr>
      <t>6 CORAZON ESPEJO CH_CARCASA</t>
    </r>
  </si>
  <si>
    <r>
      <rPr>
        <sz val="8"/>
        <rFont val="Times New Roman"/>
        <charset val="134"/>
      </rPr>
      <t>HD1453</t>
    </r>
  </si>
  <si>
    <r>
      <rPr>
        <sz val="9"/>
        <rFont val="Microsoft Sans Serif"/>
        <charset val="134"/>
      </rPr>
      <t>6 PLUS AMOR_CARCASA</t>
    </r>
  </si>
  <si>
    <r>
      <rPr>
        <sz val="8"/>
        <rFont val="Times New Roman"/>
        <charset val="134"/>
      </rPr>
      <t>HD1301</t>
    </r>
  </si>
  <si>
    <r>
      <rPr>
        <sz val="9"/>
        <rFont val="Microsoft Sans Serif"/>
        <charset val="134"/>
      </rPr>
      <t>6 PLUS ANILLO_CARCASA</t>
    </r>
  </si>
  <si>
    <r>
      <rPr>
        <sz val="8"/>
        <rFont val="Times New Roman"/>
        <charset val="134"/>
      </rPr>
      <t>HD1135</t>
    </r>
  </si>
  <si>
    <r>
      <rPr>
        <sz val="9"/>
        <rFont val="Microsoft Sans Serif"/>
        <charset val="134"/>
      </rPr>
      <t>6 PLUS CORAZON_CARCASA</t>
    </r>
  </si>
  <si>
    <r>
      <rPr>
        <sz val="8"/>
        <rFont val="Times New Roman"/>
        <charset val="134"/>
      </rPr>
      <t>HD1371</t>
    </r>
  </si>
  <si>
    <r>
      <rPr>
        <sz val="9"/>
        <rFont val="Microsoft Sans Serif"/>
        <charset val="134"/>
      </rPr>
      <t>6 PLUS LAZO_CARCASA</t>
    </r>
  </si>
  <si>
    <r>
      <rPr>
        <sz val="8"/>
        <rFont val="Times New Roman"/>
        <charset val="134"/>
      </rPr>
      <t>HD1207</t>
    </r>
  </si>
  <si>
    <r>
      <rPr>
        <sz val="9"/>
        <rFont val="Microsoft Sans Serif"/>
        <charset val="134"/>
      </rPr>
      <t>6 PLUS MATIZADO_CARCASA</t>
    </r>
  </si>
  <si>
    <r>
      <rPr>
        <sz val="8"/>
        <rFont val="Times New Roman"/>
        <charset val="134"/>
      </rPr>
      <t>HD1367</t>
    </r>
  </si>
  <si>
    <r>
      <rPr>
        <sz val="9"/>
        <rFont val="Microsoft Sans Serif"/>
        <charset val="134"/>
      </rPr>
      <t>6 PLUS PERLAS_CARCASA</t>
    </r>
  </si>
  <si>
    <r>
      <rPr>
        <sz val="8"/>
        <rFont val="Times New Roman"/>
        <charset val="134"/>
      </rPr>
      <t>HD1118</t>
    </r>
  </si>
  <si>
    <r>
      <rPr>
        <sz val="9"/>
        <rFont val="Microsoft Sans Serif"/>
        <charset val="134"/>
      </rPr>
      <t>6 PLUS PROTECTOR_CARCASA</t>
    </r>
  </si>
  <si>
    <r>
      <rPr>
        <sz val="8"/>
        <rFont val="Times New Roman"/>
        <charset val="134"/>
      </rPr>
      <t>HD1394</t>
    </r>
  </si>
  <si>
    <r>
      <rPr>
        <sz val="9"/>
        <rFont val="Microsoft Sans Serif"/>
        <charset val="134"/>
      </rPr>
      <t>6 PLUS STAR_CARCASA</t>
    </r>
  </si>
  <si>
    <r>
      <rPr>
        <sz val="8"/>
        <rFont val="Times New Roman"/>
        <charset val="134"/>
      </rPr>
      <t>HD1325</t>
    </r>
  </si>
  <si>
    <r>
      <rPr>
        <sz val="9"/>
        <rFont val="Microsoft Sans Serif"/>
        <charset val="134"/>
      </rPr>
      <t>6 PLUS SUPREME - CARCASA</t>
    </r>
  </si>
  <si>
    <r>
      <rPr>
        <sz val="8"/>
        <rFont val="Times New Roman"/>
        <charset val="134"/>
      </rPr>
      <t>HD1253</t>
    </r>
  </si>
  <si>
    <r>
      <rPr>
        <sz val="9"/>
        <rFont val="Microsoft Sans Serif"/>
        <charset val="134"/>
      </rPr>
      <t>6 PLUS SUPREME_CARCASA</t>
    </r>
  </si>
  <si>
    <r>
      <rPr>
        <sz val="8"/>
        <rFont val="Times New Roman"/>
        <charset val="134"/>
      </rPr>
      <t>HD1116</t>
    </r>
  </si>
  <si>
    <r>
      <rPr>
        <sz val="9"/>
        <rFont val="Microsoft Sans Serif"/>
        <charset val="134"/>
      </rPr>
      <t>6 PROTECTOR TELF CH_CARCASA</t>
    </r>
  </si>
  <si>
    <r>
      <rPr>
        <sz val="8"/>
        <rFont val="Times New Roman"/>
        <charset val="134"/>
      </rPr>
      <t>HD3230</t>
    </r>
  </si>
  <si>
    <r>
      <rPr>
        <sz val="9"/>
        <rFont val="Microsoft Sans Serif"/>
        <charset val="134"/>
      </rPr>
      <t>6118 AGENDAS GRANDE 05/2021</t>
    </r>
  </si>
  <si>
    <r>
      <rPr>
        <sz val="8"/>
        <rFont val="Times New Roman"/>
        <charset val="134"/>
      </rPr>
      <t>HD3231</t>
    </r>
  </si>
  <si>
    <r>
      <rPr>
        <sz val="9"/>
        <rFont val="Microsoft Sans Serif"/>
        <charset val="134"/>
      </rPr>
      <t>6125 AGENDAS MEDIANA 05/2021</t>
    </r>
  </si>
  <si>
    <r>
      <rPr>
        <sz val="8"/>
        <rFont val="Times New Roman"/>
        <charset val="134"/>
      </rPr>
      <t>HD650</t>
    </r>
  </si>
  <si>
    <r>
      <rPr>
        <sz val="9"/>
        <rFont val="Microsoft Sans Serif"/>
        <charset val="134"/>
      </rPr>
      <t>650 GAFAS CHINA</t>
    </r>
  </si>
  <si>
    <r>
      <rPr>
        <sz val="8"/>
        <rFont val="Times New Roman"/>
        <charset val="134"/>
      </rPr>
      <t>HD2248</t>
    </r>
  </si>
  <si>
    <r>
      <rPr>
        <sz val="9"/>
        <rFont val="Microsoft Sans Serif"/>
        <charset val="134"/>
      </rPr>
      <t>652 GAFAS CHINA</t>
    </r>
  </si>
  <si>
    <r>
      <rPr>
        <sz val="8"/>
        <rFont val="Times New Roman"/>
        <charset val="134"/>
      </rPr>
      <t>HD2250</t>
    </r>
  </si>
  <si>
    <r>
      <rPr>
        <sz val="9"/>
        <rFont val="Microsoft Sans Serif"/>
        <charset val="134"/>
      </rPr>
      <t>657 GAFAS CHINA</t>
    </r>
  </si>
  <si>
    <r>
      <rPr>
        <sz val="8"/>
        <rFont val="Times New Roman"/>
        <charset val="134"/>
      </rPr>
      <t>HD2235</t>
    </r>
  </si>
  <si>
    <r>
      <rPr>
        <sz val="9"/>
        <rFont val="Microsoft Sans Serif"/>
        <charset val="134"/>
      </rPr>
      <t>660 GAFAS CHINA</t>
    </r>
  </si>
  <si>
    <r>
      <rPr>
        <sz val="8"/>
        <rFont val="Times New Roman"/>
        <charset val="134"/>
      </rPr>
      <t>HD2242</t>
    </r>
  </si>
  <si>
    <r>
      <rPr>
        <sz val="9"/>
        <rFont val="Microsoft Sans Serif"/>
        <charset val="134"/>
      </rPr>
      <t>661 GAFAS CHINA</t>
    </r>
  </si>
  <si>
    <r>
      <rPr>
        <sz val="8"/>
        <rFont val="Times New Roman"/>
        <charset val="134"/>
      </rPr>
      <t>HD2249</t>
    </r>
  </si>
  <si>
    <r>
      <rPr>
        <sz val="9"/>
        <rFont val="Microsoft Sans Serif"/>
        <charset val="134"/>
      </rPr>
      <t>662 GAFAS CHINA</t>
    </r>
  </si>
  <si>
    <r>
      <rPr>
        <sz val="8"/>
        <rFont val="Times New Roman"/>
        <charset val="134"/>
      </rPr>
      <t>HD2244</t>
    </r>
  </si>
  <si>
    <r>
      <rPr>
        <sz val="9"/>
        <rFont val="Microsoft Sans Serif"/>
        <charset val="134"/>
      </rPr>
      <t>663 GAFAS CHINA</t>
    </r>
  </si>
  <si>
    <r>
      <rPr>
        <sz val="8"/>
        <rFont val="Times New Roman"/>
        <charset val="134"/>
      </rPr>
      <t>HD0665</t>
    </r>
  </si>
  <si>
    <r>
      <rPr>
        <sz val="9"/>
        <rFont val="Microsoft Sans Serif"/>
        <charset val="134"/>
      </rPr>
      <t>665 GAFAS CHINA</t>
    </r>
  </si>
  <si>
    <r>
      <rPr>
        <sz val="8"/>
        <rFont val="Times New Roman"/>
        <charset val="134"/>
      </rPr>
      <t>HD2247</t>
    </r>
  </si>
  <si>
    <r>
      <rPr>
        <sz val="9"/>
        <rFont val="Microsoft Sans Serif"/>
        <charset val="134"/>
      </rPr>
      <t>666 GAFAS CHINA</t>
    </r>
  </si>
  <si>
    <r>
      <rPr>
        <sz val="8"/>
        <rFont val="Times New Roman"/>
        <charset val="134"/>
      </rPr>
      <t>HD4505</t>
    </r>
  </si>
  <si>
    <r>
      <rPr>
        <sz val="9"/>
        <rFont val="Microsoft Sans Serif"/>
        <charset val="134"/>
      </rPr>
      <t>66659 MOCHILA</t>
    </r>
  </si>
  <si>
    <r>
      <rPr>
        <sz val="8"/>
        <rFont val="Times New Roman"/>
        <charset val="134"/>
      </rPr>
      <t>HD3108</t>
    </r>
  </si>
  <si>
    <r>
      <rPr>
        <sz val="9"/>
        <rFont val="Microsoft Sans Serif"/>
        <charset val="134"/>
      </rPr>
      <t>668-17 GYM BABY 05/2021</t>
    </r>
  </si>
  <si>
    <r>
      <rPr>
        <sz val="8"/>
        <rFont val="Times New Roman"/>
        <charset val="134"/>
      </rPr>
      <t>HD3322</t>
    </r>
  </si>
  <si>
    <r>
      <rPr>
        <sz val="9"/>
        <rFont val="Microsoft Sans Serif"/>
        <charset val="134"/>
      </rPr>
      <t>66BT AURICULARES BLUETOOTH 05/2021</t>
    </r>
  </si>
  <si>
    <r>
      <rPr>
        <sz val="8"/>
        <rFont val="Times New Roman"/>
        <charset val="134"/>
      </rPr>
      <t>HD4518</t>
    </r>
  </si>
  <si>
    <r>
      <rPr>
        <sz val="9"/>
        <rFont val="Microsoft Sans Serif"/>
        <charset val="134"/>
      </rPr>
      <t>6735 MOCHILA</t>
    </r>
  </si>
  <si>
    <r>
      <rPr>
        <sz val="8"/>
        <rFont val="Times New Roman"/>
        <charset val="134"/>
      </rPr>
      <t>HD6802</t>
    </r>
  </si>
  <si>
    <r>
      <rPr>
        <sz val="9"/>
        <rFont val="Microsoft Sans Serif"/>
        <charset val="134"/>
      </rPr>
      <t>6802 EXAGONAL CHINA</t>
    </r>
  </si>
  <si>
    <r>
      <rPr>
        <sz val="8"/>
        <rFont val="Times New Roman"/>
        <charset val="134"/>
      </rPr>
      <t>HD4513</t>
    </r>
  </si>
  <si>
    <r>
      <rPr>
        <sz val="9"/>
        <rFont val="Microsoft Sans Serif"/>
        <charset val="134"/>
      </rPr>
      <t>69807 MOCHILA</t>
    </r>
  </si>
  <si>
    <r>
      <rPr>
        <sz val="8"/>
        <rFont val="Times New Roman"/>
        <charset val="134"/>
      </rPr>
      <t>HD1451</t>
    </r>
  </si>
  <si>
    <r>
      <rPr>
        <sz val="9"/>
        <rFont val="Microsoft Sans Serif"/>
        <charset val="134"/>
      </rPr>
      <t>6G AMOR CH_CARCASA</t>
    </r>
  </si>
  <si>
    <r>
      <rPr>
        <sz val="8"/>
        <rFont val="Times New Roman"/>
        <charset val="134"/>
      </rPr>
      <t>HD1300</t>
    </r>
  </si>
  <si>
    <r>
      <rPr>
        <sz val="9"/>
        <rFont val="Microsoft Sans Serif"/>
        <charset val="134"/>
      </rPr>
      <t>6G ANILLO ROSA CH_CARCASA</t>
    </r>
  </si>
  <si>
    <r>
      <rPr>
        <sz val="8"/>
        <rFont val="Times New Roman"/>
        <charset val="134"/>
      </rPr>
      <t>HD1182</t>
    </r>
  </si>
  <si>
    <r>
      <rPr>
        <sz val="9"/>
        <rFont val="Microsoft Sans Serif"/>
        <charset val="134"/>
      </rPr>
      <t>6G ARCOIRIS CH_CARCASA</t>
    </r>
  </si>
  <si>
    <r>
      <rPr>
        <sz val="8"/>
        <rFont val="Times New Roman"/>
        <charset val="134"/>
      </rPr>
      <t>HD1520</t>
    </r>
  </si>
  <si>
    <r>
      <rPr>
        <sz val="9"/>
        <rFont val="Microsoft Sans Serif"/>
        <charset val="134"/>
      </rPr>
      <t>6G BORDE DE COLOR CH_CARCASA</t>
    </r>
  </si>
  <si>
    <r>
      <rPr>
        <sz val="8"/>
        <rFont val="Times New Roman"/>
        <charset val="134"/>
      </rPr>
      <t>HD1474</t>
    </r>
  </si>
  <si>
    <r>
      <rPr>
        <sz val="9"/>
        <rFont val="Microsoft Sans Serif"/>
        <charset val="134"/>
      </rPr>
      <t>6G BROCHE UNICOLOR CH_CARCASA</t>
    </r>
  </si>
  <si>
    <r>
      <rPr>
        <sz val="8"/>
        <rFont val="Times New Roman"/>
        <charset val="134"/>
      </rPr>
      <t>HD1156</t>
    </r>
  </si>
  <si>
    <r>
      <rPr>
        <sz val="9"/>
        <rFont val="Microsoft Sans Serif"/>
        <charset val="134"/>
      </rPr>
      <t>6G CADENA CORAZONES CH_CARCASA</t>
    </r>
  </si>
  <si>
    <r>
      <rPr>
        <sz val="8"/>
        <rFont val="Times New Roman"/>
        <charset val="134"/>
      </rPr>
      <t>HD1405</t>
    </r>
  </si>
  <si>
    <r>
      <rPr>
        <sz val="9"/>
        <rFont val="Microsoft Sans Serif"/>
        <charset val="134"/>
      </rPr>
      <t>6G ESCARCHADO CON BROCHE CH_CARCASA</t>
    </r>
  </si>
  <si>
    <r>
      <rPr>
        <sz val="8"/>
        <rFont val="Times New Roman"/>
        <charset val="134"/>
      </rPr>
      <t>HD1497</t>
    </r>
  </si>
  <si>
    <r>
      <rPr>
        <sz val="9"/>
        <rFont val="Microsoft Sans Serif"/>
        <charset val="134"/>
      </rPr>
      <t>6G FLOWERS CADENA CH_CARCASA</t>
    </r>
  </si>
  <si>
    <r>
      <rPr>
        <sz val="8"/>
        <rFont val="Times New Roman"/>
        <charset val="134"/>
      </rPr>
      <t>HD1264</t>
    </r>
  </si>
  <si>
    <r>
      <rPr>
        <sz val="9"/>
        <rFont val="Microsoft Sans Serif"/>
        <charset val="134"/>
      </rPr>
      <t>6G IPHONE UNICOLOR CH_CARCASA</t>
    </r>
  </si>
  <si>
    <r>
      <rPr>
        <sz val="8"/>
        <rFont val="Times New Roman"/>
        <charset val="134"/>
      </rPr>
      <t>HD1169</t>
    </r>
  </si>
  <si>
    <r>
      <rPr>
        <sz val="9"/>
        <rFont val="Microsoft Sans Serif"/>
        <charset val="134"/>
      </rPr>
      <t>6G LADYS SENCILLO CH_CARCASA</t>
    </r>
  </si>
  <si>
    <r>
      <rPr>
        <sz val="8"/>
        <rFont val="Times New Roman"/>
        <charset val="134"/>
      </rPr>
      <t>HD1428</t>
    </r>
  </si>
  <si>
    <r>
      <rPr>
        <sz val="9"/>
        <rFont val="Microsoft Sans Serif"/>
        <charset val="134"/>
      </rPr>
      <t>6G LOVE CORAZON CH_CARCASA</t>
    </r>
  </si>
  <si>
    <r>
      <rPr>
        <sz val="8"/>
        <rFont val="Times New Roman"/>
        <charset val="134"/>
      </rPr>
      <t>HD1205</t>
    </r>
  </si>
  <si>
    <r>
      <rPr>
        <sz val="9"/>
        <rFont val="Microsoft Sans Serif"/>
        <charset val="134"/>
      </rPr>
      <t>6G MATIZADO CON DORADO CH_CARCASA</t>
    </r>
  </si>
  <si>
    <r>
      <rPr>
        <sz val="8"/>
        <rFont val="Times New Roman"/>
        <charset val="134"/>
      </rPr>
      <t>HD1346</t>
    </r>
  </si>
  <si>
    <r>
      <rPr>
        <sz val="9"/>
        <rFont val="Microsoft Sans Serif"/>
        <charset val="134"/>
      </rPr>
      <t>6G PERLAS CORAZON CH_CARCASA</t>
    </r>
  </si>
  <si>
    <r>
      <rPr>
        <sz val="8"/>
        <rFont val="Times New Roman"/>
        <charset val="134"/>
      </rPr>
      <t>HD1228</t>
    </r>
  </si>
  <si>
    <r>
      <rPr>
        <sz val="9"/>
        <rFont val="Microsoft Sans Serif"/>
        <charset val="134"/>
      </rPr>
      <t>6G RELIEVE FIGURAS CH_CARCASA</t>
    </r>
  </si>
  <si>
    <r>
      <rPr>
        <sz val="8"/>
        <rFont val="Times New Roman"/>
        <charset val="134"/>
      </rPr>
      <t>HD1392</t>
    </r>
  </si>
  <si>
    <r>
      <rPr>
        <sz val="9"/>
        <rFont val="Microsoft Sans Serif"/>
        <charset val="134"/>
      </rPr>
      <t>6G STAR CH_CARCASA</t>
    </r>
  </si>
  <si>
    <r>
      <rPr>
        <sz val="8"/>
        <rFont val="Times New Roman"/>
        <charset val="134"/>
      </rPr>
      <t>HD1251</t>
    </r>
  </si>
  <si>
    <r>
      <rPr>
        <sz val="9"/>
        <rFont val="Microsoft Sans Serif"/>
        <charset val="134"/>
      </rPr>
      <t>6G SUPREME1 CH_CARCASA</t>
    </r>
  </si>
  <si>
    <r>
      <rPr>
        <sz val="8"/>
        <rFont val="Times New Roman"/>
        <charset val="134"/>
      </rPr>
      <t>HD1323</t>
    </r>
  </si>
  <si>
    <r>
      <rPr>
        <sz val="9"/>
        <rFont val="Microsoft Sans Serif"/>
        <charset val="134"/>
      </rPr>
      <t>6G SUPREME2 CH_CARCASA</t>
    </r>
  </si>
  <si>
    <r>
      <rPr>
        <sz val="8"/>
        <rFont val="Times New Roman"/>
        <charset val="134"/>
      </rPr>
      <t>HD1287</t>
    </r>
  </si>
  <si>
    <r>
      <rPr>
        <sz val="9"/>
        <rFont val="Microsoft Sans Serif"/>
        <charset val="134"/>
      </rPr>
      <t>6G TACOS PROTECTOR CH_CARCASA</t>
    </r>
  </si>
  <si>
    <r>
      <rPr>
        <sz val="8"/>
        <rFont val="Times New Roman"/>
        <charset val="134"/>
      </rPr>
      <t>HD1184</t>
    </r>
  </si>
  <si>
    <r>
      <rPr>
        <sz val="9"/>
        <rFont val="Microsoft Sans Serif"/>
        <charset val="134"/>
      </rPr>
      <t>6PLUS ARCOIRIS CH_CARCASA</t>
    </r>
  </si>
  <si>
    <r>
      <rPr>
        <sz val="8"/>
        <rFont val="Times New Roman"/>
        <charset val="134"/>
      </rPr>
      <t>HD1522</t>
    </r>
  </si>
  <si>
    <r>
      <rPr>
        <sz val="9"/>
        <rFont val="Microsoft Sans Serif"/>
        <charset val="134"/>
      </rPr>
      <t>6PLUS BORDE DE COLOR CH_CARCASA</t>
    </r>
  </si>
  <si>
    <r>
      <rPr>
        <sz val="8"/>
        <rFont val="Times New Roman"/>
        <charset val="134"/>
      </rPr>
      <t>HD1475</t>
    </r>
  </si>
  <si>
    <r>
      <rPr>
        <sz val="9"/>
        <rFont val="Microsoft Sans Serif"/>
        <charset val="134"/>
      </rPr>
      <t>6PLUS BROCHE UNICOLOR CH_CARCASA</t>
    </r>
  </si>
  <si>
    <r>
      <rPr>
        <sz val="8"/>
        <rFont val="Times New Roman"/>
        <charset val="134"/>
      </rPr>
      <t>HD1158</t>
    </r>
  </si>
  <si>
    <r>
      <rPr>
        <sz val="9"/>
        <rFont val="Microsoft Sans Serif"/>
        <charset val="134"/>
      </rPr>
      <t>6PLUS CADENA CORAZONES CH_CARCASA</t>
    </r>
  </si>
  <si>
    <r>
      <rPr>
        <sz val="8"/>
        <rFont val="Times New Roman"/>
        <charset val="134"/>
      </rPr>
      <t>HD1407</t>
    </r>
  </si>
  <si>
    <r>
      <rPr>
        <sz val="9"/>
        <rFont val="Microsoft Sans Serif"/>
        <charset val="134"/>
      </rPr>
      <t>6PLUS ESCARCHADO CON BROCHE CH</t>
    </r>
  </si>
  <si>
    <r>
      <rPr>
        <sz val="8"/>
        <rFont val="Times New Roman"/>
        <charset val="134"/>
      </rPr>
      <t>HD1499</t>
    </r>
  </si>
  <si>
    <r>
      <rPr>
        <sz val="9"/>
        <rFont val="Microsoft Sans Serif"/>
        <charset val="134"/>
      </rPr>
      <t>6PLUS FLOWERS CADENA CH</t>
    </r>
  </si>
  <si>
    <r>
      <rPr>
        <sz val="8"/>
        <rFont val="Times New Roman"/>
        <charset val="134"/>
      </rPr>
      <t>HD1266</t>
    </r>
  </si>
  <si>
    <r>
      <rPr>
        <sz val="9"/>
        <rFont val="Microsoft Sans Serif"/>
        <charset val="134"/>
      </rPr>
      <t>6PLUS IPHONE UNICOLOR CH_CARCASA</t>
    </r>
  </si>
  <si>
    <r>
      <rPr>
        <sz val="8"/>
        <rFont val="Times New Roman"/>
        <charset val="134"/>
      </rPr>
      <t>HD1171</t>
    </r>
  </si>
  <si>
    <r>
      <rPr>
        <sz val="9"/>
        <rFont val="Microsoft Sans Serif"/>
        <charset val="134"/>
      </rPr>
      <t>6PLUS LADYS SENCILLO CH_CARCASA</t>
    </r>
  </si>
  <si>
    <r>
      <rPr>
        <sz val="8"/>
        <rFont val="Times New Roman"/>
        <charset val="134"/>
      </rPr>
      <t>HD1430</t>
    </r>
  </si>
  <si>
    <r>
      <rPr>
        <sz val="9"/>
        <rFont val="Microsoft Sans Serif"/>
        <charset val="134"/>
      </rPr>
      <t>6PLUS LOVE CORAZON CH_CARCASA</t>
    </r>
  </si>
  <si>
    <r>
      <rPr>
        <sz val="8"/>
        <rFont val="Times New Roman"/>
        <charset val="134"/>
      </rPr>
      <t>HD1067</t>
    </r>
  </si>
  <si>
    <r>
      <rPr>
        <sz val="9"/>
        <rFont val="Microsoft Sans Serif"/>
        <charset val="134"/>
      </rPr>
      <t>6PLUS OSCURO CHINA_CARCASA</t>
    </r>
  </si>
  <si>
    <r>
      <rPr>
        <sz val="8"/>
        <rFont val="Times New Roman"/>
        <charset val="134"/>
      </rPr>
      <t>HD1230</t>
    </r>
  </si>
  <si>
    <r>
      <rPr>
        <sz val="9"/>
        <rFont val="Microsoft Sans Serif"/>
        <charset val="134"/>
      </rPr>
      <t>6PLUS RELIEVE FIGURAS CH_CARCASA</t>
    </r>
  </si>
  <si>
    <r>
      <rPr>
        <sz val="8"/>
        <rFont val="Times New Roman"/>
        <charset val="134"/>
      </rPr>
      <t>HD1289</t>
    </r>
  </si>
  <si>
    <r>
      <rPr>
        <sz val="9"/>
        <rFont val="Microsoft Sans Serif"/>
        <charset val="134"/>
      </rPr>
      <t>6PLUS TACOS PROTECTOR CH_CARCASA</t>
    </r>
  </si>
  <si>
    <r>
      <rPr>
        <sz val="8"/>
        <rFont val="Times New Roman"/>
        <charset val="134"/>
      </rPr>
      <t>HD1105</t>
    </r>
  </si>
  <si>
    <r>
      <rPr>
        <sz val="9"/>
        <rFont val="Microsoft Sans Serif"/>
        <charset val="134"/>
      </rPr>
      <t>6PLUS TRANSPARENTE CH_CARCASA</t>
    </r>
  </si>
  <si>
    <r>
      <rPr>
        <sz val="8"/>
        <rFont val="Times New Roman"/>
        <charset val="134"/>
      </rPr>
      <t>HD1452</t>
    </r>
  </si>
  <si>
    <r>
      <rPr>
        <sz val="9"/>
        <rFont val="Microsoft Sans Serif"/>
        <charset val="134"/>
      </rPr>
      <t>6S AMOR CH_CARCASA</t>
    </r>
  </si>
  <si>
    <r>
      <rPr>
        <sz val="8"/>
        <rFont val="Times New Roman"/>
        <charset val="134"/>
      </rPr>
      <t>HD1302</t>
    </r>
  </si>
  <si>
    <r>
      <rPr>
        <sz val="9"/>
        <rFont val="Microsoft Sans Serif"/>
        <charset val="134"/>
      </rPr>
      <t>6S ANILLO ROSA CH_CARCASA</t>
    </r>
  </si>
  <si>
    <r>
      <rPr>
        <sz val="8"/>
        <rFont val="Times New Roman"/>
        <charset val="134"/>
      </rPr>
      <t>HD1183</t>
    </r>
  </si>
  <si>
    <r>
      <rPr>
        <sz val="9"/>
        <rFont val="Microsoft Sans Serif"/>
        <charset val="134"/>
      </rPr>
      <t>6S ARCOIRIS CH_CARCASA</t>
    </r>
  </si>
  <si>
    <r>
      <rPr>
        <sz val="8"/>
        <rFont val="Times New Roman"/>
        <charset val="134"/>
      </rPr>
      <t>HD1521</t>
    </r>
  </si>
  <si>
    <r>
      <rPr>
        <sz val="9"/>
        <rFont val="Microsoft Sans Serif"/>
        <charset val="134"/>
      </rPr>
      <t>6S BORDE DE COLOR CH_CARCASA</t>
    </r>
  </si>
  <si>
    <r>
      <rPr>
        <sz val="8"/>
        <rFont val="Times New Roman"/>
        <charset val="134"/>
      </rPr>
      <t>HD1476</t>
    </r>
  </si>
  <si>
    <r>
      <rPr>
        <sz val="9"/>
        <rFont val="Microsoft Sans Serif"/>
        <charset val="134"/>
      </rPr>
      <t>6S BROCHE UNICOLOR CH_CARCASA</t>
    </r>
  </si>
  <si>
    <r>
      <rPr>
        <sz val="8"/>
        <rFont val="Times New Roman"/>
        <charset val="134"/>
      </rPr>
      <t>HD1157</t>
    </r>
  </si>
  <si>
    <r>
      <rPr>
        <sz val="9"/>
        <rFont val="Microsoft Sans Serif"/>
        <charset val="134"/>
      </rPr>
      <t>6S CADENA CORAZONES CH_CARCASA</t>
    </r>
  </si>
  <si>
    <r>
      <rPr>
        <sz val="8"/>
        <rFont val="Times New Roman"/>
        <charset val="134"/>
      </rPr>
      <t>HD1134</t>
    </r>
  </si>
  <si>
    <r>
      <rPr>
        <sz val="9"/>
        <rFont val="Microsoft Sans Serif"/>
        <charset val="134"/>
      </rPr>
      <t>6S CORAZON ESPEJO CH_CARCASA</t>
    </r>
  </si>
  <si>
    <r>
      <rPr>
        <sz val="8"/>
        <rFont val="Times New Roman"/>
        <charset val="134"/>
      </rPr>
      <t>HD1406</t>
    </r>
  </si>
  <si>
    <r>
      <rPr>
        <sz val="9"/>
        <rFont val="Microsoft Sans Serif"/>
        <charset val="134"/>
      </rPr>
      <t>6S ESCARCHADO CON BROCHE CH_CARCASA</t>
    </r>
  </si>
  <si>
    <r>
      <rPr>
        <sz val="8"/>
        <rFont val="Times New Roman"/>
        <charset val="134"/>
      </rPr>
      <t>HD1498</t>
    </r>
  </si>
  <si>
    <r>
      <rPr>
        <sz val="9"/>
        <rFont val="Microsoft Sans Serif"/>
        <charset val="134"/>
      </rPr>
      <t>6S FLOWERS CADENA CH_CARCASA</t>
    </r>
  </si>
  <si>
    <r>
      <rPr>
        <sz val="8"/>
        <rFont val="Times New Roman"/>
        <charset val="134"/>
      </rPr>
      <t>HD1265</t>
    </r>
  </si>
  <si>
    <r>
      <rPr>
        <sz val="9"/>
        <rFont val="Microsoft Sans Serif"/>
        <charset val="134"/>
      </rPr>
      <t>6S IPHONE UNICOLOR CH_CARCASA</t>
    </r>
  </si>
  <si>
    <r>
      <rPr>
        <sz val="8"/>
        <rFont val="Times New Roman"/>
        <charset val="134"/>
      </rPr>
      <t>HD1170</t>
    </r>
  </si>
  <si>
    <r>
      <rPr>
        <sz val="9"/>
        <rFont val="Microsoft Sans Serif"/>
        <charset val="134"/>
      </rPr>
      <t>6S LADYS SENCILLO CH_CARCASA</t>
    </r>
  </si>
  <si>
    <r>
      <rPr>
        <sz val="8"/>
        <rFont val="Times New Roman"/>
        <charset val="134"/>
      </rPr>
      <t>HD1370</t>
    </r>
  </si>
  <si>
    <r>
      <rPr>
        <sz val="9"/>
        <rFont val="Microsoft Sans Serif"/>
        <charset val="134"/>
      </rPr>
      <t>6S LAZO GIRLS CH_CARCASA</t>
    </r>
  </si>
  <si>
    <r>
      <rPr>
        <sz val="8"/>
        <rFont val="Times New Roman"/>
        <charset val="134"/>
      </rPr>
      <t>HD1429</t>
    </r>
  </si>
  <si>
    <r>
      <rPr>
        <sz val="9"/>
        <rFont val="Microsoft Sans Serif"/>
        <charset val="134"/>
      </rPr>
      <t>6S LOVE CORAZON CH_CARCASA</t>
    </r>
  </si>
  <si>
    <r>
      <rPr>
        <sz val="8"/>
        <rFont val="Times New Roman"/>
        <charset val="134"/>
      </rPr>
      <t>HD1347</t>
    </r>
  </si>
  <si>
    <r>
      <rPr>
        <sz val="9"/>
        <rFont val="Microsoft Sans Serif"/>
        <charset val="134"/>
      </rPr>
      <t>6S PERLAS CORAZON CH_CARCASA</t>
    </r>
  </si>
  <si>
    <r>
      <rPr>
        <sz val="8"/>
        <rFont val="Times New Roman"/>
        <charset val="134"/>
      </rPr>
      <t>HD1117</t>
    </r>
  </si>
  <si>
    <r>
      <rPr>
        <sz val="9"/>
        <rFont val="Microsoft Sans Serif"/>
        <charset val="134"/>
      </rPr>
      <t>6S PROTECTOR TELF CH_CARCASA</t>
    </r>
  </si>
  <si>
    <r>
      <rPr>
        <sz val="8"/>
        <rFont val="Times New Roman"/>
        <charset val="134"/>
      </rPr>
      <t>HD1229</t>
    </r>
  </si>
  <si>
    <r>
      <rPr>
        <sz val="9"/>
        <rFont val="Microsoft Sans Serif"/>
        <charset val="134"/>
      </rPr>
      <t>6S RELIEVE FIGURAS CH_CARCASA</t>
    </r>
  </si>
  <si>
    <r>
      <rPr>
        <sz val="8"/>
        <rFont val="Times New Roman"/>
        <charset val="134"/>
      </rPr>
      <t>HD1393</t>
    </r>
  </si>
  <si>
    <r>
      <rPr>
        <sz val="9"/>
        <rFont val="Microsoft Sans Serif"/>
        <charset val="134"/>
      </rPr>
      <t>6S STAR CH_CARCASA</t>
    </r>
  </si>
  <si>
    <r>
      <rPr>
        <sz val="8"/>
        <rFont val="Times New Roman"/>
        <charset val="134"/>
      </rPr>
      <t>HD1252</t>
    </r>
  </si>
  <si>
    <r>
      <rPr>
        <sz val="9"/>
        <rFont val="Microsoft Sans Serif"/>
        <charset val="134"/>
      </rPr>
      <t>6S SUPREME1 CH_CARCASA</t>
    </r>
  </si>
  <si>
    <r>
      <rPr>
        <sz val="8"/>
        <rFont val="Times New Roman"/>
        <charset val="134"/>
      </rPr>
      <t>HD1324</t>
    </r>
  </si>
  <si>
    <r>
      <rPr>
        <sz val="9"/>
        <rFont val="Microsoft Sans Serif"/>
        <charset val="134"/>
      </rPr>
      <t>6S SUPREME2 CH_CARCASA</t>
    </r>
  </si>
  <si>
    <r>
      <rPr>
        <sz val="8"/>
        <rFont val="Times New Roman"/>
        <charset val="134"/>
      </rPr>
      <t>HD1288</t>
    </r>
  </si>
  <si>
    <r>
      <rPr>
        <sz val="9"/>
        <rFont val="Microsoft Sans Serif"/>
        <charset val="134"/>
      </rPr>
      <t>6S TACO PROTECTOR CH_CARCASA</t>
    </r>
  </si>
  <si>
    <r>
      <rPr>
        <sz val="8"/>
        <rFont val="Times New Roman"/>
        <charset val="134"/>
      </rPr>
      <t>HD1100</t>
    </r>
  </si>
  <si>
    <r>
      <rPr>
        <sz val="9"/>
        <rFont val="Microsoft Sans Serif"/>
        <charset val="134"/>
      </rPr>
      <t>6S TRANSPARENTE CH_CARCASA</t>
    </r>
  </si>
  <si>
    <r>
      <rPr>
        <sz val="8"/>
        <rFont val="Times New Roman"/>
        <charset val="134"/>
      </rPr>
      <t>HD1136</t>
    </r>
  </si>
  <si>
    <r>
      <rPr>
        <sz val="9"/>
        <rFont val="Microsoft Sans Serif"/>
        <charset val="134"/>
      </rPr>
      <t>7 CORAZON ESPEJO CH_CARCASA</t>
    </r>
  </si>
  <si>
    <r>
      <rPr>
        <sz val="8"/>
        <rFont val="Times New Roman"/>
        <charset val="134"/>
      </rPr>
      <t>HD1068</t>
    </r>
  </si>
  <si>
    <r>
      <rPr>
        <sz val="9"/>
        <rFont val="Microsoft Sans Serif"/>
        <charset val="134"/>
      </rPr>
      <t>7 OSCURO CHINA_CARCASA</t>
    </r>
  </si>
  <si>
    <r>
      <rPr>
        <sz val="8"/>
        <rFont val="Times New Roman"/>
        <charset val="134"/>
      </rPr>
      <t>HD1455</t>
    </r>
  </si>
  <si>
    <r>
      <rPr>
        <sz val="9"/>
        <rFont val="Microsoft Sans Serif"/>
        <charset val="134"/>
      </rPr>
      <t>7 PLUS AMOR_CARCASA</t>
    </r>
  </si>
  <si>
    <r>
      <rPr>
        <sz val="8"/>
        <rFont val="Times New Roman"/>
        <charset val="134"/>
      </rPr>
      <t>HD1304</t>
    </r>
  </si>
  <si>
    <r>
      <rPr>
        <sz val="9"/>
        <rFont val="Microsoft Sans Serif"/>
        <charset val="134"/>
      </rPr>
      <t>7 PLUS ANILLO_CARCASA</t>
    </r>
  </si>
  <si>
    <r>
      <rPr>
        <sz val="8"/>
        <rFont val="Times New Roman"/>
        <charset val="134"/>
      </rPr>
      <t>HD1137</t>
    </r>
  </si>
  <si>
    <r>
      <rPr>
        <sz val="9"/>
        <rFont val="Microsoft Sans Serif"/>
        <charset val="134"/>
      </rPr>
      <t>7 PLUS CORAZON_CARCASA</t>
    </r>
  </si>
  <si>
    <r>
      <rPr>
        <sz val="8"/>
        <rFont val="Times New Roman"/>
        <charset val="134"/>
      </rPr>
      <t>HD1373</t>
    </r>
  </si>
  <si>
    <r>
      <rPr>
        <sz val="9"/>
        <rFont val="Microsoft Sans Serif"/>
        <charset val="134"/>
      </rPr>
      <t>7 PLUS LAZO - CARCASA</t>
    </r>
  </si>
  <si>
    <r>
      <rPr>
        <sz val="8"/>
        <rFont val="Times New Roman"/>
        <charset val="134"/>
      </rPr>
      <t>HD1209</t>
    </r>
  </si>
  <si>
    <r>
      <rPr>
        <sz val="9"/>
        <rFont val="Microsoft Sans Serif"/>
        <charset val="134"/>
      </rPr>
      <t>7 PLUS MATIZADO_CARCASA</t>
    </r>
  </si>
  <si>
    <r>
      <rPr>
        <sz val="8"/>
        <rFont val="Times New Roman"/>
        <charset val="134"/>
      </rPr>
      <t>HD1081</t>
    </r>
  </si>
  <si>
    <r>
      <rPr>
        <sz val="9"/>
        <rFont val="Microsoft Sans Serif"/>
        <charset val="134"/>
      </rPr>
      <t>7 PLUS OSCURO_CARCASA</t>
    </r>
  </si>
  <si>
    <r>
      <rPr>
        <sz val="8"/>
        <rFont val="Times New Roman"/>
        <charset val="134"/>
      </rPr>
      <t>HD1349</t>
    </r>
  </si>
  <si>
    <r>
      <rPr>
        <sz val="9"/>
        <rFont val="Microsoft Sans Serif"/>
        <charset val="134"/>
      </rPr>
      <t>7 PLUS PERLAS -CARCASA</t>
    </r>
  </si>
  <si>
    <r>
      <rPr>
        <sz val="8"/>
        <rFont val="Times New Roman"/>
        <charset val="134"/>
      </rPr>
      <t>HD1120</t>
    </r>
  </si>
  <si>
    <r>
      <rPr>
        <sz val="9"/>
        <rFont val="Microsoft Sans Serif"/>
        <charset val="134"/>
      </rPr>
      <t>7 PLUS PROTECTOR_CARCASA</t>
    </r>
  </si>
  <si>
    <r>
      <rPr>
        <sz val="8"/>
        <rFont val="Times New Roman"/>
        <charset val="134"/>
      </rPr>
      <t>HD1396</t>
    </r>
  </si>
  <si>
    <r>
      <rPr>
        <sz val="9"/>
        <rFont val="Microsoft Sans Serif"/>
        <charset val="134"/>
      </rPr>
      <t>7 PLUS STARS - CARCASA</t>
    </r>
  </si>
  <si>
    <r>
      <rPr>
        <sz val="8"/>
        <rFont val="Times New Roman"/>
        <charset val="134"/>
      </rPr>
      <t>HD1255</t>
    </r>
  </si>
  <si>
    <r>
      <rPr>
        <sz val="9"/>
        <rFont val="Microsoft Sans Serif"/>
        <charset val="134"/>
      </rPr>
      <t>7 PLUS SUPREME_CARCASA</t>
    </r>
  </si>
  <si>
    <r>
      <rPr>
        <sz val="8"/>
        <rFont val="Times New Roman"/>
        <charset val="134"/>
      </rPr>
      <t>HD1327</t>
    </r>
  </si>
  <si>
    <r>
      <rPr>
        <sz val="8"/>
        <rFont val="Times New Roman"/>
        <charset val="134"/>
      </rPr>
      <t>HD1093</t>
    </r>
  </si>
  <si>
    <r>
      <rPr>
        <sz val="9"/>
        <rFont val="Microsoft Sans Serif"/>
        <charset val="134"/>
      </rPr>
      <t>7 TRANSPARENTE CH_CARCASA</t>
    </r>
  </si>
  <si>
    <r>
      <rPr>
        <sz val="8"/>
        <rFont val="Times New Roman"/>
        <charset val="134"/>
      </rPr>
      <t>HD1454</t>
    </r>
  </si>
  <si>
    <r>
      <rPr>
        <sz val="9"/>
        <rFont val="Microsoft Sans Serif"/>
        <charset val="134"/>
      </rPr>
      <t>7G AMOR CH_CARCASA</t>
    </r>
  </si>
  <si>
    <r>
      <rPr>
        <sz val="8"/>
        <rFont val="Times New Roman"/>
        <charset val="134"/>
      </rPr>
      <t>HD1303</t>
    </r>
  </si>
  <si>
    <r>
      <rPr>
        <sz val="9"/>
        <rFont val="Microsoft Sans Serif"/>
        <charset val="134"/>
      </rPr>
      <t>7G ANILLO ROSA CH_CARCASA</t>
    </r>
  </si>
  <si>
    <r>
      <rPr>
        <sz val="8"/>
        <rFont val="Times New Roman"/>
        <charset val="134"/>
      </rPr>
      <t>HD1185</t>
    </r>
  </si>
  <si>
    <r>
      <rPr>
        <sz val="9"/>
        <rFont val="Microsoft Sans Serif"/>
        <charset val="134"/>
      </rPr>
      <t>7G ARCOIRIS CH_CARCASA</t>
    </r>
  </si>
  <si>
    <r>
      <rPr>
        <sz val="8"/>
        <rFont val="Times New Roman"/>
        <charset val="134"/>
      </rPr>
      <t>HD1523</t>
    </r>
  </si>
  <si>
    <r>
      <rPr>
        <sz val="9"/>
        <rFont val="Microsoft Sans Serif"/>
        <charset val="134"/>
      </rPr>
      <t>7G BORDE DE COLOR CH_CARCASA</t>
    </r>
  </si>
  <si>
    <r>
      <rPr>
        <sz val="8"/>
        <rFont val="Times New Roman"/>
        <charset val="134"/>
      </rPr>
      <t>HD1477</t>
    </r>
  </si>
  <si>
    <r>
      <rPr>
        <sz val="9"/>
        <rFont val="Microsoft Sans Serif"/>
        <charset val="134"/>
      </rPr>
      <t>7G BROCHE UNICOLOR CH_CARCASA</t>
    </r>
  </si>
  <si>
    <r>
      <rPr>
        <sz val="8"/>
        <rFont val="Times New Roman"/>
        <charset val="134"/>
      </rPr>
      <t>HD1159</t>
    </r>
  </si>
  <si>
    <r>
      <rPr>
        <sz val="9"/>
        <rFont val="Microsoft Sans Serif"/>
        <charset val="134"/>
      </rPr>
      <t>7G CADENA CORAZONES CH_CARCASA</t>
    </r>
  </si>
  <si>
    <r>
      <rPr>
        <sz val="8"/>
        <rFont val="Times New Roman"/>
        <charset val="134"/>
      </rPr>
      <t>HD1408</t>
    </r>
  </si>
  <si>
    <r>
      <rPr>
        <sz val="9"/>
        <rFont val="Microsoft Sans Serif"/>
        <charset val="134"/>
      </rPr>
      <t>7G ESCARCHADO CON BROCHE CH_CARCASA</t>
    </r>
  </si>
  <si>
    <r>
      <rPr>
        <sz val="8"/>
        <rFont val="Times New Roman"/>
        <charset val="134"/>
      </rPr>
      <t>HD1500</t>
    </r>
  </si>
  <si>
    <r>
      <rPr>
        <sz val="9"/>
        <rFont val="Microsoft Sans Serif"/>
        <charset val="134"/>
      </rPr>
      <t>7G FLOWERS CADENA CH_CARCASA</t>
    </r>
  </si>
  <si>
    <r>
      <rPr>
        <sz val="8"/>
        <rFont val="Times New Roman"/>
        <charset val="134"/>
      </rPr>
      <t>HD1267</t>
    </r>
  </si>
  <si>
    <r>
      <rPr>
        <sz val="9"/>
        <rFont val="Microsoft Sans Serif"/>
        <charset val="134"/>
      </rPr>
      <t>7G IPHONE UNICOLOR CH_CARCASA</t>
    </r>
  </si>
  <si>
    <r>
      <rPr>
        <sz val="8"/>
        <rFont val="Times New Roman"/>
        <charset val="134"/>
      </rPr>
      <t>HD1172</t>
    </r>
  </si>
  <si>
    <r>
      <rPr>
        <sz val="9"/>
        <rFont val="Microsoft Sans Serif"/>
        <charset val="134"/>
      </rPr>
      <t>7G LADYS SENCILLO CH_CARCASA</t>
    </r>
  </si>
  <si>
    <r>
      <rPr>
        <sz val="8"/>
        <rFont val="Times New Roman"/>
        <charset val="134"/>
      </rPr>
      <t>HD1372</t>
    </r>
  </si>
  <si>
    <r>
      <rPr>
        <sz val="9"/>
        <rFont val="Microsoft Sans Serif"/>
        <charset val="134"/>
      </rPr>
      <t>7G LAZO GIRLS CH_CARCASA</t>
    </r>
  </si>
  <si>
    <r>
      <rPr>
        <sz val="8"/>
        <rFont val="Times New Roman"/>
        <charset val="134"/>
      </rPr>
      <t>HD1431</t>
    </r>
  </si>
  <si>
    <r>
      <rPr>
        <sz val="9"/>
        <rFont val="Microsoft Sans Serif"/>
        <charset val="134"/>
      </rPr>
      <t>7G LOVE CORAZON CH_CARCASA</t>
    </r>
  </si>
  <si>
    <r>
      <rPr>
        <sz val="8"/>
        <rFont val="Times New Roman"/>
        <charset val="134"/>
      </rPr>
      <t>HD1348</t>
    </r>
  </si>
  <si>
    <r>
      <rPr>
        <sz val="9"/>
        <rFont val="Microsoft Sans Serif"/>
        <charset val="134"/>
      </rPr>
      <t>7G PERLAS CORAZON CH_CARCASA</t>
    </r>
  </si>
  <si>
    <r>
      <rPr>
        <sz val="8"/>
        <rFont val="Times New Roman"/>
        <charset val="134"/>
      </rPr>
      <t>HD1231</t>
    </r>
  </si>
  <si>
    <r>
      <rPr>
        <sz val="9"/>
        <rFont val="Microsoft Sans Serif"/>
        <charset val="134"/>
      </rPr>
      <t>7G RELIEVE FIGURAS CH_CARCASA</t>
    </r>
  </si>
  <si>
    <r>
      <rPr>
        <sz val="8"/>
        <rFont val="Times New Roman"/>
        <charset val="134"/>
      </rPr>
      <t>HD1395</t>
    </r>
  </si>
  <si>
    <r>
      <rPr>
        <sz val="9"/>
        <rFont val="Microsoft Sans Serif"/>
        <charset val="134"/>
      </rPr>
      <t>7G STAR CH_CARCASA</t>
    </r>
  </si>
  <si>
    <r>
      <rPr>
        <sz val="8"/>
        <rFont val="Times New Roman"/>
        <charset val="134"/>
      </rPr>
      <t>HD1290</t>
    </r>
  </si>
  <si>
    <r>
      <rPr>
        <sz val="9"/>
        <rFont val="Microsoft Sans Serif"/>
        <charset val="134"/>
      </rPr>
      <t>7G TACOS PROTECTOR CH_CARCASA</t>
    </r>
  </si>
  <si>
    <r>
      <rPr>
        <sz val="8"/>
        <rFont val="Times New Roman"/>
        <charset val="134"/>
      </rPr>
      <t>HD1186</t>
    </r>
  </si>
  <si>
    <r>
      <rPr>
        <sz val="9"/>
        <rFont val="Microsoft Sans Serif"/>
        <charset val="134"/>
      </rPr>
      <t>7PLUS ARCOIRIS CH_CARCASA</t>
    </r>
  </si>
  <si>
    <r>
      <rPr>
        <sz val="8"/>
        <rFont val="Times New Roman"/>
        <charset val="134"/>
      </rPr>
      <t>HD1524</t>
    </r>
  </si>
  <si>
    <r>
      <rPr>
        <sz val="9"/>
        <rFont val="Microsoft Sans Serif"/>
        <charset val="134"/>
      </rPr>
      <t>7PLUS BORDE DE COLOR CH_CARCASA</t>
    </r>
  </si>
  <si>
    <r>
      <rPr>
        <sz val="8"/>
        <rFont val="Times New Roman"/>
        <charset val="134"/>
      </rPr>
      <t>HD1478</t>
    </r>
  </si>
  <si>
    <r>
      <rPr>
        <sz val="9"/>
        <rFont val="Microsoft Sans Serif"/>
        <charset val="134"/>
      </rPr>
      <t>7PLUS BROCHE UNICOLOR CH_CARCASA</t>
    </r>
  </si>
  <si>
    <r>
      <rPr>
        <sz val="8"/>
        <rFont val="Times New Roman"/>
        <charset val="134"/>
      </rPr>
      <t>HD1160</t>
    </r>
  </si>
  <si>
    <r>
      <rPr>
        <sz val="9"/>
        <rFont val="Microsoft Sans Serif"/>
        <charset val="134"/>
      </rPr>
      <t>7PLUS CADENA CORAZONES CH_CARCASA</t>
    </r>
  </si>
  <si>
    <r>
      <rPr>
        <sz val="8"/>
        <rFont val="Times New Roman"/>
        <charset val="134"/>
      </rPr>
      <t>HD1409</t>
    </r>
  </si>
  <si>
    <r>
      <rPr>
        <sz val="9"/>
        <rFont val="Microsoft Sans Serif"/>
        <charset val="134"/>
      </rPr>
      <t>7PLUS ESCARCHADO CON BROCHE CH_CARCASA</t>
    </r>
  </si>
  <si>
    <r>
      <rPr>
        <sz val="8"/>
        <rFont val="Times New Roman"/>
        <charset val="134"/>
      </rPr>
      <t>HD1501</t>
    </r>
  </si>
  <si>
    <r>
      <rPr>
        <sz val="9"/>
        <rFont val="Microsoft Sans Serif"/>
        <charset val="134"/>
      </rPr>
      <t>7PLUS FLOWERS CADENA CH_CARCASA</t>
    </r>
  </si>
  <si>
    <r>
      <rPr>
        <sz val="8"/>
        <rFont val="Times New Roman"/>
        <charset val="134"/>
      </rPr>
      <t>HD1268</t>
    </r>
  </si>
  <si>
    <r>
      <rPr>
        <sz val="9"/>
        <rFont val="Microsoft Sans Serif"/>
        <charset val="134"/>
      </rPr>
      <t>7PLUS IPHONE UNICOLOR CH_CARCASA</t>
    </r>
  </si>
  <si>
    <r>
      <rPr>
        <sz val="8"/>
        <rFont val="Times New Roman"/>
        <charset val="134"/>
      </rPr>
      <t>HD1173</t>
    </r>
  </si>
  <si>
    <r>
      <rPr>
        <sz val="9"/>
        <rFont val="Microsoft Sans Serif"/>
        <charset val="134"/>
      </rPr>
      <t>7PLUS LADYS SENCILLO CH_CARCASA</t>
    </r>
  </si>
  <si>
    <r>
      <rPr>
        <sz val="8"/>
        <rFont val="Times New Roman"/>
        <charset val="134"/>
      </rPr>
      <t>HD1432</t>
    </r>
  </si>
  <si>
    <r>
      <rPr>
        <sz val="9"/>
        <rFont val="Microsoft Sans Serif"/>
        <charset val="134"/>
      </rPr>
      <t>7PLUS LOVE CORAZON CH_CARCASA</t>
    </r>
  </si>
  <si>
    <r>
      <rPr>
        <sz val="8"/>
        <rFont val="Times New Roman"/>
        <charset val="134"/>
      </rPr>
      <t>HD1232</t>
    </r>
  </si>
  <si>
    <r>
      <rPr>
        <sz val="9"/>
        <rFont val="Microsoft Sans Serif"/>
        <charset val="134"/>
      </rPr>
      <t>7PLUS RELIEVE FIGURAS CH_CARCASA</t>
    </r>
  </si>
  <si>
    <r>
      <rPr>
        <sz val="8"/>
        <rFont val="Times New Roman"/>
        <charset val="134"/>
      </rPr>
      <t>HD1291</t>
    </r>
  </si>
  <si>
    <r>
      <rPr>
        <sz val="9"/>
        <rFont val="Microsoft Sans Serif"/>
        <charset val="134"/>
      </rPr>
      <t>7PLUS TACOS PROTECTOR CH_CARCASA</t>
    </r>
  </si>
  <si>
    <r>
      <rPr>
        <sz val="8"/>
        <rFont val="Times New Roman"/>
        <charset val="134"/>
      </rPr>
      <t>HD1090</t>
    </r>
  </si>
  <si>
    <r>
      <rPr>
        <sz val="9"/>
        <rFont val="Microsoft Sans Serif"/>
        <charset val="134"/>
      </rPr>
      <t>7PLUS TRANSPARENTE CH_CARCASA</t>
    </r>
  </si>
  <si>
    <r>
      <rPr>
        <sz val="8"/>
        <rFont val="Times New Roman"/>
        <charset val="134"/>
      </rPr>
      <t>HD1211</t>
    </r>
  </si>
  <si>
    <r>
      <rPr>
        <sz val="9"/>
        <rFont val="Microsoft Sans Serif"/>
        <charset val="134"/>
      </rPr>
      <t>8 BLUS MATIZADO_CARCASA</t>
    </r>
  </si>
  <si>
    <r>
      <rPr>
        <sz val="8"/>
        <rFont val="Times New Roman"/>
        <charset val="134"/>
      </rPr>
      <t>HD1045</t>
    </r>
  </si>
  <si>
    <r>
      <rPr>
        <sz val="9"/>
        <rFont val="Microsoft Sans Serif"/>
        <charset val="134"/>
      </rPr>
      <t>8 MATE CHINA_CARCASA</t>
    </r>
  </si>
  <si>
    <r>
      <rPr>
        <sz val="8"/>
        <rFont val="Times New Roman"/>
        <charset val="134"/>
      </rPr>
      <t>HD1046</t>
    </r>
  </si>
  <si>
    <r>
      <rPr>
        <sz val="9"/>
        <rFont val="Microsoft Sans Serif"/>
        <charset val="134"/>
      </rPr>
      <t>8 MATE PLUS CHINA_CARCASA</t>
    </r>
  </si>
  <si>
    <r>
      <rPr>
        <sz val="8"/>
        <rFont val="Times New Roman"/>
        <charset val="134"/>
      </rPr>
      <t>HD1457</t>
    </r>
  </si>
  <si>
    <r>
      <rPr>
        <sz val="9"/>
        <rFont val="Microsoft Sans Serif"/>
        <charset val="134"/>
      </rPr>
      <t>8 PLUS AMOR_CARCASA</t>
    </r>
  </si>
  <si>
    <r>
      <rPr>
        <sz val="8"/>
        <rFont val="Times New Roman"/>
        <charset val="134"/>
      </rPr>
      <t>HD1139</t>
    </r>
  </si>
  <si>
    <r>
      <rPr>
        <sz val="9"/>
        <rFont val="Microsoft Sans Serif"/>
        <charset val="134"/>
      </rPr>
      <t>8 PLUS CORAZON_CARCASA</t>
    </r>
  </si>
  <si>
    <r>
      <rPr>
        <sz val="8"/>
        <rFont val="Times New Roman"/>
        <charset val="134"/>
      </rPr>
      <t>HD1375</t>
    </r>
  </si>
  <si>
    <r>
      <rPr>
        <sz val="9"/>
        <rFont val="Microsoft Sans Serif"/>
        <charset val="134"/>
      </rPr>
      <t>8 PLUS LAZO_CARCASA</t>
    </r>
  </si>
  <si>
    <r>
      <rPr>
        <sz val="8"/>
        <rFont val="Times New Roman"/>
        <charset val="134"/>
      </rPr>
      <t>HD1082</t>
    </r>
  </si>
  <si>
    <r>
      <rPr>
        <sz val="9"/>
        <rFont val="Microsoft Sans Serif"/>
        <charset val="134"/>
      </rPr>
      <t>8 PLUS OSCURO_CARCASA</t>
    </r>
  </si>
  <si>
    <r>
      <rPr>
        <sz val="8"/>
        <rFont val="Times New Roman"/>
        <charset val="134"/>
      </rPr>
      <t>HD1351</t>
    </r>
  </si>
  <si>
    <r>
      <rPr>
        <sz val="9"/>
        <rFont val="Microsoft Sans Serif"/>
        <charset val="134"/>
      </rPr>
      <t>8 PLUS PERLAS_CARCASA</t>
    </r>
  </si>
  <si>
    <r>
      <rPr>
        <sz val="8"/>
        <rFont val="Times New Roman"/>
        <charset val="134"/>
      </rPr>
      <t>HD1123</t>
    </r>
  </si>
  <si>
    <r>
      <rPr>
        <sz val="9"/>
        <rFont val="Microsoft Sans Serif"/>
        <charset val="134"/>
      </rPr>
      <t>8 PLUS PROTECTOR_CARCASA</t>
    </r>
  </si>
  <si>
    <r>
      <rPr>
        <sz val="8"/>
        <rFont val="Times New Roman"/>
        <charset val="134"/>
      </rPr>
      <t>HD1398</t>
    </r>
  </si>
  <si>
    <r>
      <rPr>
        <sz val="9"/>
        <rFont val="Microsoft Sans Serif"/>
        <charset val="134"/>
      </rPr>
      <t>8 PLUS STAR_CARCASA</t>
    </r>
  </si>
  <si>
    <r>
      <rPr>
        <sz val="8"/>
        <rFont val="Times New Roman"/>
        <charset val="134"/>
      </rPr>
      <t>HD1257</t>
    </r>
  </si>
  <si>
    <r>
      <rPr>
        <sz val="9"/>
        <rFont val="Microsoft Sans Serif"/>
        <charset val="134"/>
      </rPr>
      <t>8 PLUS SUPREME_CARCASA</t>
    </r>
  </si>
  <si>
    <r>
      <rPr>
        <sz val="8"/>
        <rFont val="Times New Roman"/>
        <charset val="134"/>
      </rPr>
      <t>HD1329</t>
    </r>
  </si>
  <si>
    <r>
      <rPr>
        <sz val="8"/>
        <rFont val="Times New Roman"/>
        <charset val="134"/>
      </rPr>
      <t>HD1102</t>
    </r>
  </si>
  <si>
    <r>
      <rPr>
        <sz val="9"/>
        <rFont val="Microsoft Sans Serif"/>
        <charset val="134"/>
      </rPr>
      <t>8 TRANSPARENTE CH_CARCASA</t>
    </r>
  </si>
  <si>
    <r>
      <rPr>
        <sz val="8"/>
        <rFont val="Times New Roman"/>
        <charset val="134"/>
      </rPr>
      <t>HD1879</t>
    </r>
  </si>
  <si>
    <r>
      <rPr>
        <sz val="9"/>
        <rFont val="Microsoft Sans Serif"/>
        <charset val="134"/>
      </rPr>
      <t>8*10J PORTARETRATO CHINA</t>
    </r>
  </si>
  <si>
    <r>
      <rPr>
        <sz val="8"/>
        <rFont val="Times New Roman"/>
        <charset val="134"/>
      </rPr>
      <t>HD3148</t>
    </r>
  </si>
  <si>
    <r>
      <rPr>
        <sz val="9"/>
        <rFont val="Microsoft Sans Serif"/>
        <charset val="134"/>
      </rPr>
      <t>8014-3 ESTUCHE COSMETICO X3 05/2021</t>
    </r>
  </si>
  <si>
    <r>
      <rPr>
        <sz val="8"/>
        <rFont val="Times New Roman"/>
        <charset val="134"/>
      </rPr>
      <t>HD4520</t>
    </r>
  </si>
  <si>
    <r>
      <rPr>
        <sz val="9"/>
        <rFont val="Microsoft Sans Serif"/>
        <charset val="134"/>
      </rPr>
      <t>8015 MOCHILA</t>
    </r>
  </si>
  <si>
    <r>
      <rPr>
        <sz val="8"/>
        <rFont val="Times New Roman"/>
        <charset val="134"/>
      </rPr>
      <t>HD3229</t>
    </r>
  </si>
  <si>
    <r>
      <rPr>
        <sz val="9"/>
        <rFont val="Microsoft Sans Serif"/>
        <charset val="134"/>
      </rPr>
      <t>81225-2 AGENDAS 05/2021</t>
    </r>
  </si>
  <si>
    <r>
      <rPr>
        <sz val="8"/>
        <rFont val="Times New Roman"/>
        <charset val="134"/>
      </rPr>
      <t>HD3135</t>
    </r>
  </si>
  <si>
    <r>
      <rPr>
        <sz val="9"/>
        <rFont val="Microsoft Sans Serif"/>
        <charset val="134"/>
      </rPr>
      <t>8165HP CAMARA 05/2021</t>
    </r>
  </si>
  <si>
    <r>
      <rPr>
        <sz val="8"/>
        <rFont val="Times New Roman"/>
        <charset val="134"/>
      </rPr>
      <t>HD3136</t>
    </r>
  </si>
  <si>
    <r>
      <rPr>
        <sz val="9"/>
        <rFont val="Microsoft Sans Serif"/>
        <charset val="134"/>
      </rPr>
      <t>8166XP CAMARA 05/2021</t>
    </r>
  </si>
  <si>
    <r>
      <rPr>
        <sz val="8"/>
        <rFont val="Times New Roman"/>
        <charset val="134"/>
      </rPr>
      <t>HD2133</t>
    </r>
  </si>
  <si>
    <r>
      <rPr>
        <sz val="9"/>
        <rFont val="Microsoft Sans Serif"/>
        <charset val="134"/>
      </rPr>
      <t>8311 TERMO 500ML SZM</t>
    </r>
  </si>
  <si>
    <r>
      <rPr>
        <sz val="8"/>
        <rFont val="Times New Roman"/>
        <charset val="134"/>
      </rPr>
      <t>HD1753</t>
    </r>
  </si>
  <si>
    <r>
      <rPr>
        <sz val="9"/>
        <rFont val="Microsoft Sans Serif"/>
        <charset val="134"/>
      </rPr>
      <t>8827 VENTILADOR CHINA</t>
    </r>
  </si>
  <si>
    <r>
      <rPr>
        <sz val="8"/>
        <rFont val="Times New Roman"/>
        <charset val="134"/>
      </rPr>
      <t>HD4372</t>
    </r>
  </si>
  <si>
    <r>
      <rPr>
        <sz val="9"/>
        <rFont val="Microsoft Sans Serif"/>
        <charset val="134"/>
      </rPr>
      <t>8B SARTEN PORCELAN CUADRADO</t>
    </r>
  </si>
  <si>
    <r>
      <rPr>
        <sz val="8"/>
        <rFont val="Times New Roman"/>
        <charset val="134"/>
      </rPr>
      <t>HD1456</t>
    </r>
  </si>
  <si>
    <r>
      <rPr>
        <sz val="9"/>
        <rFont val="Microsoft Sans Serif"/>
        <charset val="134"/>
      </rPr>
      <t>8G AMOR CH_CARCASA</t>
    </r>
  </si>
  <si>
    <r>
      <rPr>
        <sz val="8"/>
        <rFont val="Times New Roman"/>
        <charset val="134"/>
      </rPr>
      <t>HD1187</t>
    </r>
  </si>
  <si>
    <r>
      <rPr>
        <sz val="9"/>
        <rFont val="Microsoft Sans Serif"/>
        <charset val="134"/>
      </rPr>
      <t>8G ARCOIRIS CH_CARCASA</t>
    </r>
  </si>
  <si>
    <r>
      <rPr>
        <sz val="8"/>
        <rFont val="Times New Roman"/>
        <charset val="134"/>
      </rPr>
      <t>HD1525</t>
    </r>
  </si>
  <si>
    <r>
      <rPr>
        <sz val="9"/>
        <rFont val="Microsoft Sans Serif"/>
        <charset val="134"/>
      </rPr>
      <t>8G BORDE DE COLOR CH_CARCASA</t>
    </r>
  </si>
  <si>
    <r>
      <rPr>
        <sz val="8"/>
        <rFont val="Times New Roman"/>
        <charset val="134"/>
      </rPr>
      <t>HD1479</t>
    </r>
  </si>
  <si>
    <r>
      <rPr>
        <sz val="9"/>
        <rFont val="Microsoft Sans Serif"/>
        <charset val="134"/>
      </rPr>
      <t>8G BROCHE UNICOLOR CH_CARCASA</t>
    </r>
  </si>
  <si>
    <r>
      <rPr>
        <sz val="8"/>
        <rFont val="Times New Roman"/>
        <charset val="134"/>
      </rPr>
      <t>HD1161</t>
    </r>
  </si>
  <si>
    <r>
      <rPr>
        <sz val="9"/>
        <rFont val="Microsoft Sans Serif"/>
        <charset val="134"/>
      </rPr>
      <t>8G CADENA CORAZONES CH_CARCASA</t>
    </r>
  </si>
  <si>
    <r>
      <rPr>
        <sz val="8"/>
        <rFont val="Times New Roman"/>
        <charset val="134"/>
      </rPr>
      <t>HD1410</t>
    </r>
  </si>
  <si>
    <r>
      <rPr>
        <sz val="9"/>
        <rFont val="Microsoft Sans Serif"/>
        <charset val="134"/>
      </rPr>
      <t>8G ESCARCHADO CON BROCHE CH_CARCASA</t>
    </r>
  </si>
  <si>
    <r>
      <rPr>
        <sz val="8"/>
        <rFont val="Times New Roman"/>
        <charset val="134"/>
      </rPr>
      <t>HD1502</t>
    </r>
  </si>
  <si>
    <r>
      <rPr>
        <sz val="9"/>
        <rFont val="Microsoft Sans Serif"/>
        <charset val="134"/>
      </rPr>
      <t>8G FLOWERS CADENA CH_CARCASA</t>
    </r>
  </si>
  <si>
    <r>
      <rPr>
        <sz val="8"/>
        <rFont val="Times New Roman"/>
        <charset val="134"/>
      </rPr>
      <t>HD1269</t>
    </r>
  </si>
  <si>
    <r>
      <rPr>
        <sz val="9"/>
        <rFont val="Microsoft Sans Serif"/>
        <charset val="134"/>
      </rPr>
      <t>8G IPHONE UNICOLOR CH_CARCASA</t>
    </r>
  </si>
  <si>
    <r>
      <rPr>
        <sz val="8"/>
        <rFont val="Times New Roman"/>
        <charset val="134"/>
      </rPr>
      <t>HD1174</t>
    </r>
  </si>
  <si>
    <r>
      <rPr>
        <sz val="9"/>
        <rFont val="Microsoft Sans Serif"/>
        <charset val="134"/>
      </rPr>
      <t>8G LADYS SENCILLO CH_CARCASA</t>
    </r>
  </si>
  <si>
    <r>
      <rPr>
        <sz val="8"/>
        <rFont val="Times New Roman"/>
        <charset val="134"/>
      </rPr>
      <t>HD1374</t>
    </r>
  </si>
  <si>
    <r>
      <rPr>
        <sz val="9"/>
        <rFont val="Microsoft Sans Serif"/>
        <charset val="134"/>
      </rPr>
      <t>8G LAZO GIRLS CH_CARCASA</t>
    </r>
  </si>
  <si>
    <r>
      <rPr>
        <sz val="8"/>
        <rFont val="Times New Roman"/>
        <charset val="134"/>
      </rPr>
      <t>HD1433</t>
    </r>
  </si>
  <si>
    <r>
      <rPr>
        <sz val="9"/>
        <rFont val="Microsoft Sans Serif"/>
        <charset val="134"/>
      </rPr>
      <t>8G LOVE CORAZON CH_CARCASA</t>
    </r>
  </si>
  <si>
    <r>
      <rPr>
        <sz val="8"/>
        <rFont val="Times New Roman"/>
        <charset val="134"/>
      </rPr>
      <t>HD1233</t>
    </r>
  </si>
  <si>
    <r>
      <rPr>
        <sz val="9"/>
        <rFont val="Microsoft Sans Serif"/>
        <charset val="134"/>
      </rPr>
      <t>8G RELIEVE FIGURAS CH_CARCASA</t>
    </r>
  </si>
  <si>
    <r>
      <rPr>
        <sz val="8"/>
        <rFont val="Times New Roman"/>
        <charset val="134"/>
      </rPr>
      <t>HD1397</t>
    </r>
  </si>
  <si>
    <r>
      <rPr>
        <sz val="9"/>
        <rFont val="Microsoft Sans Serif"/>
        <charset val="134"/>
      </rPr>
      <t>8G STAR CH_CARCASA</t>
    </r>
  </si>
  <si>
    <r>
      <rPr>
        <sz val="8"/>
        <rFont val="Times New Roman"/>
        <charset val="134"/>
      </rPr>
      <t>HD1292</t>
    </r>
  </si>
  <si>
    <r>
      <rPr>
        <sz val="9"/>
        <rFont val="Microsoft Sans Serif"/>
        <charset val="134"/>
      </rPr>
      <t>8G TACOS PROTECTOR CH_CARCASA</t>
    </r>
  </si>
  <si>
    <r>
      <rPr>
        <sz val="8"/>
        <rFont val="Times New Roman"/>
        <charset val="134"/>
      </rPr>
      <t>HD1306</t>
    </r>
  </si>
  <si>
    <r>
      <rPr>
        <sz val="9"/>
        <rFont val="Microsoft Sans Serif"/>
        <charset val="134"/>
      </rPr>
      <t>8PERLAS_CARCASA</t>
    </r>
  </si>
  <si>
    <r>
      <rPr>
        <sz val="8"/>
        <rFont val="Times New Roman"/>
        <charset val="134"/>
      </rPr>
      <t>HD1188</t>
    </r>
  </si>
  <si>
    <r>
      <rPr>
        <sz val="9"/>
        <rFont val="Microsoft Sans Serif"/>
        <charset val="134"/>
      </rPr>
      <t>8PLUS ARCOIRIS CH_CARCASA</t>
    </r>
  </si>
  <si>
    <r>
      <rPr>
        <sz val="8"/>
        <rFont val="Times New Roman"/>
        <charset val="134"/>
      </rPr>
      <t>HD1526</t>
    </r>
  </si>
  <si>
    <r>
      <rPr>
        <sz val="9"/>
        <rFont val="Microsoft Sans Serif"/>
        <charset val="134"/>
      </rPr>
      <t>8PLUS BORDE DE COLOR CH_CARCASA</t>
    </r>
  </si>
  <si>
    <r>
      <rPr>
        <sz val="8"/>
        <rFont val="Times New Roman"/>
        <charset val="134"/>
      </rPr>
      <t>HD1480</t>
    </r>
  </si>
  <si>
    <r>
      <rPr>
        <sz val="9"/>
        <rFont val="Microsoft Sans Serif"/>
        <charset val="134"/>
      </rPr>
      <t>8PLUS BROCHE UNICOLOR CH_CARCASA</t>
    </r>
  </si>
  <si>
    <r>
      <rPr>
        <sz val="8"/>
        <rFont val="Times New Roman"/>
        <charset val="134"/>
      </rPr>
      <t>HD1162</t>
    </r>
  </si>
  <si>
    <r>
      <rPr>
        <sz val="9"/>
        <rFont val="Microsoft Sans Serif"/>
        <charset val="134"/>
      </rPr>
      <t>8PLUS CADENA CORAZONES CH_CARCASA</t>
    </r>
  </si>
  <si>
    <r>
      <rPr>
        <sz val="8"/>
        <rFont val="Times New Roman"/>
        <charset val="134"/>
      </rPr>
      <t>HD1411</t>
    </r>
  </si>
  <si>
    <r>
      <rPr>
        <sz val="9"/>
        <rFont val="Microsoft Sans Serif"/>
        <charset val="134"/>
      </rPr>
      <t>8PLUS ESCARCHADO CON BROCHE CH_CARCASA</t>
    </r>
  </si>
  <si>
    <r>
      <rPr>
        <sz val="8"/>
        <rFont val="Times New Roman"/>
        <charset val="134"/>
      </rPr>
      <t>HD1503</t>
    </r>
  </si>
  <si>
    <r>
      <rPr>
        <sz val="9"/>
        <rFont val="Microsoft Sans Serif"/>
        <charset val="134"/>
      </rPr>
      <t>8PLUS FLOWERS CADENA CH_CARCASA</t>
    </r>
  </si>
  <si>
    <r>
      <rPr>
        <sz val="8"/>
        <rFont val="Times New Roman"/>
        <charset val="134"/>
      </rPr>
      <t>HD1270</t>
    </r>
  </si>
  <si>
    <r>
      <rPr>
        <sz val="9"/>
        <rFont val="Microsoft Sans Serif"/>
        <charset val="134"/>
      </rPr>
      <t>8PLUS IPHONE UNICOLOR CH_CARCASA</t>
    </r>
  </si>
  <si>
    <r>
      <rPr>
        <sz val="8"/>
        <rFont val="Times New Roman"/>
        <charset val="134"/>
      </rPr>
      <t>HD1175</t>
    </r>
  </si>
  <si>
    <r>
      <rPr>
        <sz val="9"/>
        <rFont val="Microsoft Sans Serif"/>
        <charset val="134"/>
      </rPr>
      <t>8PLUS LADYS SENCILLO CH_CARCASA</t>
    </r>
  </si>
  <si>
    <r>
      <rPr>
        <sz val="8"/>
        <rFont val="Times New Roman"/>
        <charset val="134"/>
      </rPr>
      <t>HD1434</t>
    </r>
  </si>
  <si>
    <r>
      <rPr>
        <sz val="9"/>
        <rFont val="Microsoft Sans Serif"/>
        <charset val="134"/>
      </rPr>
      <t>8PLUS LOVE CORAZON CH_CARCASA</t>
    </r>
  </si>
  <si>
    <r>
      <rPr>
        <sz val="8"/>
        <rFont val="Times New Roman"/>
        <charset val="134"/>
      </rPr>
      <t>HD1234</t>
    </r>
  </si>
  <si>
    <r>
      <rPr>
        <sz val="9"/>
        <rFont val="Microsoft Sans Serif"/>
        <charset val="134"/>
      </rPr>
      <t>8PLUS RELIEVE FIGURAS CH_CARCASA</t>
    </r>
  </si>
  <si>
    <r>
      <rPr>
        <sz val="8"/>
        <rFont val="Times New Roman"/>
        <charset val="134"/>
      </rPr>
      <t>HD1293</t>
    </r>
  </si>
  <si>
    <r>
      <rPr>
        <sz val="9"/>
        <rFont val="Microsoft Sans Serif"/>
        <charset val="134"/>
      </rPr>
      <t>8PLUS TACOS PROTECTOR CH_CARCASA</t>
    </r>
  </si>
  <si>
    <r>
      <rPr>
        <sz val="8"/>
        <rFont val="Times New Roman"/>
        <charset val="134"/>
      </rPr>
      <t>HD1101</t>
    </r>
  </si>
  <si>
    <r>
      <rPr>
        <sz val="9"/>
        <rFont val="Microsoft Sans Serif"/>
        <charset val="134"/>
      </rPr>
      <t>8PLUS TRANSPARENTE CH_CARCASA</t>
    </r>
  </si>
  <si>
    <r>
      <rPr>
        <sz val="8"/>
        <rFont val="Times New Roman"/>
        <charset val="134"/>
      </rPr>
      <t>HD4296-1</t>
    </r>
  </si>
  <si>
    <r>
      <rPr>
        <sz val="9"/>
        <rFont val="Microsoft Sans Serif"/>
        <charset val="134"/>
      </rPr>
      <t>9185 PALILLOS PLASTICOS</t>
    </r>
  </si>
  <si>
    <r>
      <rPr>
        <sz val="8"/>
        <rFont val="Times New Roman"/>
        <charset val="134"/>
      </rPr>
      <t>HD3214</t>
    </r>
  </si>
  <si>
    <r>
      <rPr>
        <sz val="9"/>
        <rFont val="Microsoft Sans Serif"/>
        <charset val="134"/>
      </rPr>
      <t xml:space="preserve">9653 PORTA CARPETA PLASTICA X3 AZUL
</t>
    </r>
    <r>
      <rPr>
        <sz val="9"/>
        <rFont val="Microsoft Sans Serif"/>
        <charset val="134"/>
      </rPr>
      <t>05/2021</t>
    </r>
  </si>
  <si>
    <r>
      <rPr>
        <sz val="8"/>
        <rFont val="Times New Roman"/>
        <charset val="134"/>
      </rPr>
      <t>HD3109</t>
    </r>
  </si>
  <si>
    <r>
      <rPr>
        <sz val="9"/>
        <rFont val="Microsoft Sans Serif"/>
        <charset val="134"/>
      </rPr>
      <t>9903 GYM BABY</t>
    </r>
  </si>
  <si>
    <r>
      <rPr>
        <sz val="8"/>
        <rFont val="Times New Roman"/>
        <charset val="134"/>
      </rPr>
      <t>HD1740</t>
    </r>
  </si>
  <si>
    <r>
      <rPr>
        <sz val="9"/>
        <rFont val="Microsoft Sans Serif"/>
        <charset val="134"/>
      </rPr>
      <t>9933-A VENTILADOR CHINA</t>
    </r>
  </si>
  <si>
    <r>
      <rPr>
        <sz val="8"/>
        <rFont val="Times New Roman"/>
        <charset val="134"/>
      </rPr>
      <t>HD3171</t>
    </r>
  </si>
  <si>
    <r>
      <rPr>
        <sz val="9"/>
        <rFont val="Microsoft Sans Serif"/>
        <charset val="134"/>
      </rPr>
      <t>998D/110V CONTADORA BILLETE 05/2021</t>
    </r>
  </si>
  <si>
    <r>
      <rPr>
        <sz val="8"/>
        <rFont val="Times New Roman"/>
        <charset val="134"/>
      </rPr>
      <t>HD4500</t>
    </r>
  </si>
  <si>
    <r>
      <rPr>
        <sz val="9"/>
        <rFont val="Microsoft Sans Serif"/>
        <charset val="134"/>
      </rPr>
      <t>A10 PARLANTE CHINA</t>
    </r>
  </si>
  <si>
    <r>
      <rPr>
        <sz val="8"/>
        <rFont val="Times New Roman"/>
        <charset val="134"/>
      </rPr>
      <t>HD1463</t>
    </r>
  </si>
  <si>
    <r>
      <rPr>
        <sz val="9"/>
        <rFont val="Microsoft Sans Serif"/>
        <charset val="134"/>
      </rPr>
      <t>A10S AMOR CH_CARCASA</t>
    </r>
  </si>
  <si>
    <r>
      <rPr>
        <sz val="8"/>
        <rFont val="Times New Roman"/>
        <charset val="134"/>
      </rPr>
      <t>HD1194</t>
    </r>
  </si>
  <si>
    <r>
      <rPr>
        <sz val="9"/>
        <rFont val="Microsoft Sans Serif"/>
        <charset val="134"/>
      </rPr>
      <t>A10S ARCOIRIS CH_CARCASA</t>
    </r>
  </si>
  <si>
    <r>
      <rPr>
        <sz val="8"/>
        <rFont val="Times New Roman"/>
        <charset val="134"/>
      </rPr>
      <t>HD1417</t>
    </r>
  </si>
  <si>
    <r>
      <rPr>
        <sz val="9"/>
        <rFont val="Microsoft Sans Serif"/>
        <charset val="134"/>
      </rPr>
      <t>A10S ESCARCHADO CON BROCHE CH_CARCASA</t>
    </r>
  </si>
  <si>
    <r>
      <rPr>
        <sz val="8"/>
        <rFont val="Times New Roman"/>
        <charset val="134"/>
      </rPr>
      <t>HD1509</t>
    </r>
  </si>
  <si>
    <r>
      <rPr>
        <sz val="9"/>
        <rFont val="Microsoft Sans Serif"/>
        <charset val="134"/>
      </rPr>
      <t>A10S FLOWERS CADENA CH_CARCASA</t>
    </r>
  </si>
  <si>
    <r>
      <rPr>
        <sz val="8"/>
        <rFont val="Times New Roman"/>
        <charset val="134"/>
      </rPr>
      <t>HD1440</t>
    </r>
  </si>
  <si>
    <r>
      <rPr>
        <sz val="9"/>
        <rFont val="Microsoft Sans Serif"/>
        <charset val="134"/>
      </rPr>
      <t>A10S LOVE CORAZON CH_CARCASA</t>
    </r>
  </si>
  <si>
    <r>
      <rPr>
        <sz val="8"/>
        <rFont val="Times New Roman"/>
        <charset val="134"/>
      </rPr>
      <t>HD1464</t>
    </r>
  </si>
  <si>
    <r>
      <rPr>
        <sz val="9"/>
        <rFont val="Microsoft Sans Serif"/>
        <charset val="134"/>
      </rPr>
      <t>A20 AMOR CH_CARCASA</t>
    </r>
  </si>
  <si>
    <r>
      <rPr>
        <sz val="8"/>
        <rFont val="Times New Roman"/>
        <charset val="134"/>
      </rPr>
      <t>HD1313</t>
    </r>
  </si>
  <si>
    <r>
      <rPr>
        <sz val="9"/>
        <rFont val="Microsoft Sans Serif"/>
        <charset val="134"/>
      </rPr>
      <t>A20 ANILLO ROSA CH_CARCASA</t>
    </r>
  </si>
  <si>
    <r>
      <rPr>
        <sz val="8"/>
        <rFont val="Times New Roman"/>
        <charset val="134"/>
      </rPr>
      <t>HD1195</t>
    </r>
  </si>
  <si>
    <r>
      <rPr>
        <sz val="9"/>
        <rFont val="Microsoft Sans Serif"/>
        <charset val="134"/>
      </rPr>
      <t>A20 ARCOIRIS CH_CARCASA</t>
    </r>
  </si>
  <si>
    <r>
      <rPr>
        <sz val="8"/>
        <rFont val="Times New Roman"/>
        <charset val="134"/>
      </rPr>
      <t>HD1533</t>
    </r>
  </si>
  <si>
    <r>
      <rPr>
        <sz val="9"/>
        <rFont val="Microsoft Sans Serif"/>
        <charset val="134"/>
      </rPr>
      <t>A20 BORDE DE COLOR CH_CARCASA</t>
    </r>
  </si>
  <si>
    <r>
      <rPr>
        <sz val="8"/>
        <rFont val="Times New Roman"/>
        <charset val="134"/>
      </rPr>
      <t>HD1487</t>
    </r>
  </si>
  <si>
    <r>
      <rPr>
        <sz val="9"/>
        <rFont val="Microsoft Sans Serif"/>
        <charset val="134"/>
      </rPr>
      <t>A20 BROCHE UNICOLOR CH_CARCASA</t>
    </r>
  </si>
  <si>
    <r>
      <rPr>
        <sz val="8"/>
        <rFont val="Times New Roman"/>
        <charset val="134"/>
      </rPr>
      <t>HD1146</t>
    </r>
  </si>
  <si>
    <r>
      <rPr>
        <sz val="9"/>
        <rFont val="Microsoft Sans Serif"/>
        <charset val="134"/>
      </rPr>
      <t>A20 CORAZON ESPEJO CH_CARCASA</t>
    </r>
  </si>
  <si>
    <r>
      <rPr>
        <sz val="8"/>
        <rFont val="Times New Roman"/>
        <charset val="134"/>
      </rPr>
      <t>HD1418</t>
    </r>
  </si>
  <si>
    <r>
      <rPr>
        <sz val="9"/>
        <rFont val="Microsoft Sans Serif"/>
        <charset val="134"/>
      </rPr>
      <t>A20 ESCARCHADO CON BROCHE CH_CARCASA</t>
    </r>
  </si>
  <si>
    <r>
      <rPr>
        <sz val="8"/>
        <rFont val="Times New Roman"/>
        <charset val="134"/>
      </rPr>
      <t>HD1510</t>
    </r>
  </si>
  <si>
    <r>
      <rPr>
        <sz val="9"/>
        <rFont val="Microsoft Sans Serif"/>
        <charset val="134"/>
      </rPr>
      <t>A20 FLOWERS CADENA CH</t>
    </r>
  </si>
  <si>
    <r>
      <rPr>
        <sz val="8"/>
        <rFont val="Times New Roman"/>
        <charset val="134"/>
      </rPr>
      <t>HD1382</t>
    </r>
  </si>
  <si>
    <r>
      <rPr>
        <sz val="9"/>
        <rFont val="Microsoft Sans Serif"/>
        <charset val="134"/>
      </rPr>
      <t>A20 LAZO GIRLS CH</t>
    </r>
  </si>
  <si>
    <r>
      <rPr>
        <sz val="8"/>
        <rFont val="Times New Roman"/>
        <charset val="134"/>
      </rPr>
      <t>HD1072</t>
    </r>
  </si>
  <si>
    <r>
      <rPr>
        <sz val="9"/>
        <rFont val="Microsoft Sans Serif"/>
        <charset val="134"/>
      </rPr>
      <t>A20 OSCURO CH_CARCASA</t>
    </r>
  </si>
  <si>
    <r>
      <rPr>
        <sz val="8"/>
        <rFont val="Times New Roman"/>
        <charset val="134"/>
      </rPr>
      <t>HD1130</t>
    </r>
  </si>
  <si>
    <r>
      <rPr>
        <sz val="9"/>
        <rFont val="Microsoft Sans Serif"/>
        <charset val="134"/>
      </rPr>
      <t>A20 PROTECTOR TELF CH_CARCASA</t>
    </r>
  </si>
  <si>
    <r>
      <rPr>
        <sz val="8"/>
        <rFont val="Times New Roman"/>
        <charset val="134"/>
      </rPr>
      <t>HD1241</t>
    </r>
  </si>
  <si>
    <r>
      <rPr>
        <sz val="9"/>
        <rFont val="Microsoft Sans Serif"/>
        <charset val="134"/>
      </rPr>
      <t>A20 RELIEVE FIGURAS CH_CARCASA</t>
    </r>
  </si>
  <si>
    <r>
      <rPr>
        <sz val="8"/>
        <rFont val="Times New Roman"/>
        <charset val="134"/>
      </rPr>
      <t>HD1277</t>
    </r>
  </si>
  <si>
    <r>
      <rPr>
        <sz val="9"/>
        <rFont val="Microsoft Sans Serif"/>
        <charset val="134"/>
      </rPr>
      <t>A20 SAMSUNG UNICOLOR CH</t>
    </r>
  </si>
  <si>
    <r>
      <rPr>
        <sz val="8"/>
        <rFont val="Times New Roman"/>
        <charset val="134"/>
      </rPr>
      <t>HD1336</t>
    </r>
  </si>
  <si>
    <r>
      <rPr>
        <sz val="9"/>
        <rFont val="Microsoft Sans Serif"/>
        <charset val="134"/>
      </rPr>
      <t>A20 SUPREME2 CH</t>
    </r>
  </si>
  <si>
    <r>
      <rPr>
        <sz val="8"/>
        <rFont val="Times New Roman"/>
        <charset val="134"/>
      </rPr>
      <t>HD1465</t>
    </r>
  </si>
  <si>
    <r>
      <rPr>
        <sz val="9"/>
        <rFont val="Microsoft Sans Serif"/>
        <charset val="134"/>
      </rPr>
      <t>A30 AMOR CH</t>
    </r>
  </si>
  <si>
    <r>
      <rPr>
        <sz val="8"/>
        <rFont val="Times New Roman"/>
        <charset val="134"/>
      </rPr>
      <t>HD1314</t>
    </r>
  </si>
  <si>
    <r>
      <rPr>
        <sz val="9"/>
        <rFont val="Microsoft Sans Serif"/>
        <charset val="134"/>
      </rPr>
      <t>A30 ANILLO ROSA CH</t>
    </r>
  </si>
  <si>
    <r>
      <rPr>
        <sz val="8"/>
        <rFont val="Times New Roman"/>
        <charset val="134"/>
      </rPr>
      <t>HD1196</t>
    </r>
  </si>
  <si>
    <r>
      <rPr>
        <sz val="9"/>
        <rFont val="Microsoft Sans Serif"/>
        <charset val="134"/>
      </rPr>
      <t>A30 ARCOIRIS CH_CARCASA</t>
    </r>
  </si>
  <si>
    <r>
      <rPr>
        <sz val="8"/>
        <rFont val="Times New Roman"/>
        <charset val="134"/>
      </rPr>
      <t>HD1534</t>
    </r>
  </si>
  <si>
    <r>
      <rPr>
        <sz val="9"/>
        <rFont val="Microsoft Sans Serif"/>
        <charset val="134"/>
      </rPr>
      <t>A30 BORDE DE COLOR CH_CARCASA</t>
    </r>
  </si>
  <si>
    <r>
      <rPr>
        <sz val="8"/>
        <rFont val="Times New Roman"/>
        <charset val="134"/>
      </rPr>
      <t>HD1488</t>
    </r>
  </si>
  <si>
    <r>
      <rPr>
        <sz val="9"/>
        <rFont val="Microsoft Sans Serif"/>
        <charset val="134"/>
      </rPr>
      <t>A30 BROCHE UNICOLOR CH_CARCASA</t>
    </r>
  </si>
  <si>
    <r>
      <rPr>
        <sz val="8"/>
        <rFont val="Times New Roman"/>
        <charset val="134"/>
      </rPr>
      <t>HD1147</t>
    </r>
  </si>
  <si>
    <r>
      <rPr>
        <sz val="9"/>
        <rFont val="Microsoft Sans Serif"/>
        <charset val="134"/>
      </rPr>
      <t>A30 CORAZON ESPEJO CH_CARCASA</t>
    </r>
  </si>
  <si>
    <r>
      <rPr>
        <sz val="8"/>
        <rFont val="Times New Roman"/>
        <charset val="134"/>
      </rPr>
      <t>HD1419</t>
    </r>
  </si>
  <si>
    <r>
      <rPr>
        <sz val="9"/>
        <rFont val="Microsoft Sans Serif"/>
        <charset val="134"/>
      </rPr>
      <t>A30 ESCARCHADO CON BROCHE CH</t>
    </r>
  </si>
  <si>
    <r>
      <rPr>
        <sz val="8"/>
        <rFont val="Times New Roman"/>
        <charset val="134"/>
      </rPr>
      <t>HD1511</t>
    </r>
  </si>
  <si>
    <r>
      <rPr>
        <sz val="9"/>
        <rFont val="Microsoft Sans Serif"/>
        <charset val="134"/>
      </rPr>
      <t>A30 FLOWERS CADENA CH_CARCASA</t>
    </r>
  </si>
  <si>
    <r>
      <rPr>
        <sz val="8"/>
        <rFont val="Times New Roman"/>
        <charset val="134"/>
      </rPr>
      <t>HD1383</t>
    </r>
  </si>
  <si>
    <r>
      <rPr>
        <sz val="9"/>
        <rFont val="Microsoft Sans Serif"/>
        <charset val="134"/>
      </rPr>
      <t>A30 LAZO GIRLS CH_CARCASA</t>
    </r>
  </si>
  <si>
    <r>
      <rPr>
        <sz val="8"/>
        <rFont val="Times New Roman"/>
        <charset val="134"/>
      </rPr>
      <t>HD1442</t>
    </r>
  </si>
  <si>
    <r>
      <rPr>
        <sz val="9"/>
        <rFont val="Microsoft Sans Serif"/>
        <charset val="134"/>
      </rPr>
      <t>A30 LOVE CORAZON CH_CARCASA</t>
    </r>
  </si>
  <si>
    <r>
      <rPr>
        <sz val="8"/>
        <rFont val="Times New Roman"/>
        <charset val="134"/>
      </rPr>
      <t>HD1359</t>
    </r>
  </si>
  <si>
    <r>
      <rPr>
        <sz val="9"/>
        <rFont val="Microsoft Sans Serif"/>
        <charset val="134"/>
      </rPr>
      <t>A30 PERLAS CORAZON CH_CARCASA</t>
    </r>
  </si>
  <si>
    <r>
      <rPr>
        <sz val="8"/>
        <rFont val="Times New Roman"/>
        <charset val="134"/>
      </rPr>
      <t>HD1131</t>
    </r>
  </si>
  <si>
    <r>
      <rPr>
        <sz val="9"/>
        <rFont val="Microsoft Sans Serif"/>
        <charset val="134"/>
      </rPr>
      <t>A30 PROTECTOR TELF CH_CARCASA</t>
    </r>
  </si>
  <si>
    <r>
      <rPr>
        <sz val="8"/>
        <rFont val="Times New Roman"/>
        <charset val="134"/>
      </rPr>
      <t>HD1242</t>
    </r>
  </si>
  <si>
    <r>
      <rPr>
        <sz val="9"/>
        <rFont val="Microsoft Sans Serif"/>
        <charset val="134"/>
      </rPr>
      <t>A30 RELIEVE FIGURAS CH_CARCASA</t>
    </r>
  </si>
  <si>
    <r>
      <rPr>
        <sz val="8"/>
        <rFont val="Times New Roman"/>
        <charset val="134"/>
      </rPr>
      <t>HD1278</t>
    </r>
  </si>
  <si>
    <r>
      <rPr>
        <sz val="9"/>
        <rFont val="Microsoft Sans Serif"/>
        <charset val="134"/>
      </rPr>
      <t>A30 SAMSUNG UNICOLOR CH_CARCASA</t>
    </r>
  </si>
  <si>
    <r>
      <rPr>
        <sz val="8"/>
        <rFont val="Times New Roman"/>
        <charset val="134"/>
      </rPr>
      <t>HD1337</t>
    </r>
  </si>
  <si>
    <r>
      <rPr>
        <sz val="9"/>
        <rFont val="Microsoft Sans Serif"/>
        <charset val="134"/>
      </rPr>
      <t>A30 SUPREME2 CH_CARCASA</t>
    </r>
  </si>
  <si>
    <r>
      <rPr>
        <sz val="8"/>
        <rFont val="Times New Roman"/>
        <charset val="134"/>
      </rPr>
      <t>HD1466</t>
    </r>
  </si>
  <si>
    <r>
      <rPr>
        <sz val="9"/>
        <rFont val="Microsoft Sans Serif"/>
        <charset val="134"/>
      </rPr>
      <t>A30S AMOR CH_CARCASA</t>
    </r>
  </si>
  <si>
    <r>
      <rPr>
        <sz val="8"/>
        <rFont val="Times New Roman"/>
        <charset val="134"/>
      </rPr>
      <t>HD1315</t>
    </r>
  </si>
  <si>
    <r>
      <rPr>
        <sz val="9"/>
        <rFont val="Microsoft Sans Serif"/>
        <charset val="134"/>
      </rPr>
      <t>A30S ANILLO ROSA CH_CARCASA</t>
    </r>
  </si>
  <si>
    <r>
      <rPr>
        <sz val="8"/>
        <rFont val="Times New Roman"/>
        <charset val="134"/>
      </rPr>
      <t>HD1197</t>
    </r>
  </si>
  <si>
    <r>
      <rPr>
        <sz val="9"/>
        <rFont val="Microsoft Sans Serif"/>
        <charset val="134"/>
      </rPr>
      <t>A30S ARCOIRIS CH_CARCASA</t>
    </r>
  </si>
  <si>
    <r>
      <rPr>
        <sz val="8"/>
        <rFont val="Times New Roman"/>
        <charset val="134"/>
      </rPr>
      <t>HD1535</t>
    </r>
  </si>
  <si>
    <r>
      <rPr>
        <sz val="9"/>
        <rFont val="Microsoft Sans Serif"/>
        <charset val="134"/>
      </rPr>
      <t>A30S BORDE DE COLOR CH_CARCASA</t>
    </r>
  </si>
  <si>
    <r>
      <rPr>
        <sz val="8"/>
        <rFont val="Times New Roman"/>
        <charset val="134"/>
      </rPr>
      <t>HD1489</t>
    </r>
  </si>
  <si>
    <r>
      <rPr>
        <sz val="9"/>
        <rFont val="Microsoft Sans Serif"/>
        <charset val="134"/>
      </rPr>
      <t>A30S BROCHE UNICOLOR CH_CARCASA</t>
    </r>
  </si>
  <si>
    <r>
      <rPr>
        <sz val="8"/>
        <rFont val="Times New Roman"/>
        <charset val="134"/>
      </rPr>
      <t>HD1148</t>
    </r>
  </si>
  <si>
    <r>
      <rPr>
        <sz val="9"/>
        <rFont val="Microsoft Sans Serif"/>
        <charset val="134"/>
      </rPr>
      <t>A30S CORAZON ESPEJO CH_CARCASA</t>
    </r>
  </si>
  <si>
    <r>
      <rPr>
        <sz val="8"/>
        <rFont val="Times New Roman"/>
        <charset val="134"/>
      </rPr>
      <t>HD1420</t>
    </r>
  </si>
  <si>
    <r>
      <rPr>
        <sz val="9"/>
        <rFont val="Microsoft Sans Serif"/>
        <charset val="134"/>
      </rPr>
      <t>A30S ESCARCHADO CON BROCHE CH_CARCASA</t>
    </r>
  </si>
  <si>
    <r>
      <rPr>
        <sz val="8"/>
        <rFont val="Times New Roman"/>
        <charset val="134"/>
      </rPr>
      <t>HD1512</t>
    </r>
  </si>
  <si>
    <r>
      <rPr>
        <sz val="9"/>
        <rFont val="Microsoft Sans Serif"/>
        <charset val="134"/>
      </rPr>
      <t>A30S FLOWERS CADENA CH_CARCASA</t>
    </r>
  </si>
  <si>
    <r>
      <rPr>
        <sz val="8"/>
        <rFont val="Times New Roman"/>
        <charset val="134"/>
      </rPr>
      <t>HD1384</t>
    </r>
  </si>
  <si>
    <r>
      <rPr>
        <sz val="9"/>
        <rFont val="Microsoft Sans Serif"/>
        <charset val="134"/>
      </rPr>
      <t>A30S LAZO GIRLS CH_CARCASA</t>
    </r>
  </si>
  <si>
    <r>
      <rPr>
        <sz val="8"/>
        <rFont val="Times New Roman"/>
        <charset val="134"/>
      </rPr>
      <t>HD1443</t>
    </r>
  </si>
  <si>
    <r>
      <rPr>
        <sz val="9"/>
        <rFont val="Microsoft Sans Serif"/>
        <charset val="134"/>
      </rPr>
      <t>A30S LOVE CORAZON CH_CARCASA</t>
    </r>
  </si>
  <si>
    <r>
      <rPr>
        <sz val="8"/>
        <rFont val="Times New Roman"/>
        <charset val="134"/>
      </rPr>
      <t>HD1220</t>
    </r>
  </si>
  <si>
    <r>
      <rPr>
        <sz val="9"/>
        <rFont val="Microsoft Sans Serif"/>
        <charset val="134"/>
      </rPr>
      <t>A30S MATIZADO CON DORADO CH_CARCASA</t>
    </r>
  </si>
  <si>
    <r>
      <rPr>
        <sz val="8"/>
        <rFont val="Times New Roman"/>
        <charset val="134"/>
      </rPr>
      <t>HD1360</t>
    </r>
  </si>
  <si>
    <r>
      <rPr>
        <sz val="9"/>
        <rFont val="Microsoft Sans Serif"/>
        <charset val="134"/>
      </rPr>
      <t>A30S PERLAS CORAZON CH_CARCASA</t>
    </r>
  </si>
  <si>
    <r>
      <rPr>
        <sz val="8"/>
        <rFont val="Times New Roman"/>
        <charset val="134"/>
      </rPr>
      <t>HD1108</t>
    </r>
  </si>
  <si>
    <r>
      <rPr>
        <sz val="9"/>
        <rFont val="Microsoft Sans Serif"/>
        <charset val="134"/>
      </rPr>
      <t>A30S PROT. CH_CARCASA</t>
    </r>
  </si>
  <si>
    <r>
      <rPr>
        <sz val="8"/>
        <rFont val="Times New Roman"/>
        <charset val="134"/>
      </rPr>
      <t>HD1243</t>
    </r>
  </si>
  <si>
    <r>
      <rPr>
        <sz val="9"/>
        <rFont val="Microsoft Sans Serif"/>
        <charset val="134"/>
      </rPr>
      <t>A30S RELIEVE FIGURAS CH_CARCASA</t>
    </r>
  </si>
  <si>
    <r>
      <rPr>
        <sz val="8"/>
        <rFont val="Times New Roman"/>
        <charset val="134"/>
      </rPr>
      <t>HD1279</t>
    </r>
  </si>
  <si>
    <r>
      <rPr>
        <sz val="9"/>
        <rFont val="Microsoft Sans Serif"/>
        <charset val="134"/>
      </rPr>
      <t>A30S SAMSUNG UNICOLOR CH_CARCASA</t>
    </r>
  </si>
  <si>
    <r>
      <rPr>
        <sz val="8"/>
        <rFont val="Times New Roman"/>
        <charset val="134"/>
      </rPr>
      <t>HD1338</t>
    </r>
  </si>
  <si>
    <r>
      <rPr>
        <sz val="9"/>
        <rFont val="Microsoft Sans Serif"/>
        <charset val="134"/>
      </rPr>
      <t>A30S SUPREME2 CH_CARCASA</t>
    </r>
  </si>
  <si>
    <r>
      <rPr>
        <sz val="8"/>
        <rFont val="Times New Roman"/>
        <charset val="134"/>
      </rPr>
      <t>HD1467</t>
    </r>
  </si>
  <si>
    <r>
      <rPr>
        <sz val="9"/>
        <rFont val="Microsoft Sans Serif"/>
        <charset val="134"/>
      </rPr>
      <t>A50 AMOR CH_CARCASA</t>
    </r>
  </si>
  <si>
    <r>
      <rPr>
        <sz val="8"/>
        <rFont val="Times New Roman"/>
        <charset val="134"/>
      </rPr>
      <t>HD1316</t>
    </r>
  </si>
  <si>
    <r>
      <rPr>
        <sz val="9"/>
        <rFont val="Microsoft Sans Serif"/>
        <charset val="134"/>
      </rPr>
      <t>A50 ANILLO ROSA CH_CARCASA</t>
    </r>
  </si>
  <si>
    <r>
      <rPr>
        <sz val="8"/>
        <rFont val="Times New Roman"/>
        <charset val="134"/>
      </rPr>
      <t>HD1198</t>
    </r>
  </si>
  <si>
    <r>
      <rPr>
        <sz val="9"/>
        <rFont val="Microsoft Sans Serif"/>
        <charset val="134"/>
      </rPr>
      <t>A50 ARCOIRIS CH_CARCASA</t>
    </r>
  </si>
  <si>
    <r>
      <rPr>
        <sz val="8"/>
        <rFont val="Times New Roman"/>
        <charset val="134"/>
      </rPr>
      <t>HD1149</t>
    </r>
  </si>
  <si>
    <r>
      <rPr>
        <sz val="9"/>
        <rFont val="Microsoft Sans Serif"/>
        <charset val="134"/>
      </rPr>
      <t>A50 CORAZON ESPEJO CH_CARCASA</t>
    </r>
  </si>
  <si>
    <r>
      <rPr>
        <sz val="8"/>
        <rFont val="Times New Roman"/>
        <charset val="134"/>
      </rPr>
      <t>HD1421</t>
    </r>
  </si>
  <si>
    <r>
      <rPr>
        <sz val="9"/>
        <rFont val="Microsoft Sans Serif"/>
        <charset val="134"/>
      </rPr>
      <t>A50 ESCARCHADO CON BROCHE CH_CARCASA</t>
    </r>
  </si>
  <si>
    <r>
      <rPr>
        <sz val="8"/>
        <rFont val="Times New Roman"/>
        <charset val="134"/>
      </rPr>
      <t>HD1513</t>
    </r>
  </si>
  <si>
    <r>
      <rPr>
        <sz val="9"/>
        <rFont val="Microsoft Sans Serif"/>
        <charset val="134"/>
      </rPr>
      <t>A50 FLOWERS CADENA CH_CARCASA</t>
    </r>
  </si>
  <si>
    <r>
      <rPr>
        <sz val="8"/>
        <rFont val="Times New Roman"/>
        <charset val="134"/>
      </rPr>
      <t>HD1385</t>
    </r>
  </si>
  <si>
    <r>
      <rPr>
        <sz val="9"/>
        <rFont val="Microsoft Sans Serif"/>
        <charset val="134"/>
      </rPr>
      <t>A50 LAZO GIRLS CH_CARCASA</t>
    </r>
  </si>
  <si>
    <r>
      <rPr>
        <sz val="8"/>
        <rFont val="Times New Roman"/>
        <charset val="134"/>
      </rPr>
      <t>HD1444</t>
    </r>
  </si>
  <si>
    <r>
      <rPr>
        <sz val="9"/>
        <rFont val="Microsoft Sans Serif"/>
        <charset val="134"/>
      </rPr>
      <t>A50 LOVE CORAZON CH_CARCASA</t>
    </r>
  </si>
  <si>
    <r>
      <rPr>
        <sz val="8"/>
        <rFont val="Times New Roman"/>
        <charset val="134"/>
      </rPr>
      <t>HD1221</t>
    </r>
  </si>
  <si>
    <r>
      <rPr>
        <sz val="9"/>
        <rFont val="Microsoft Sans Serif"/>
        <charset val="134"/>
      </rPr>
      <t>A50 MATIZADO CON DORADO CH_CARCASA</t>
    </r>
  </si>
  <si>
    <r>
      <rPr>
        <sz val="8"/>
        <rFont val="Times New Roman"/>
        <charset val="134"/>
      </rPr>
      <t>HD1361</t>
    </r>
  </si>
  <si>
    <r>
      <rPr>
        <sz val="9"/>
        <rFont val="Microsoft Sans Serif"/>
        <charset val="134"/>
      </rPr>
      <t>A50 PERLAS CORAZON CH_CARCASA</t>
    </r>
  </si>
  <si>
    <r>
      <rPr>
        <sz val="8"/>
        <rFont val="Times New Roman"/>
        <charset val="134"/>
      </rPr>
      <t>HD1109</t>
    </r>
  </si>
  <si>
    <r>
      <rPr>
        <sz val="9"/>
        <rFont val="Microsoft Sans Serif"/>
        <charset val="134"/>
      </rPr>
      <t>A50 PROTECTOR TELF CH_CARCASA</t>
    </r>
  </si>
  <si>
    <r>
      <rPr>
        <sz val="8"/>
        <rFont val="Times New Roman"/>
        <charset val="134"/>
      </rPr>
      <t>HD1244</t>
    </r>
  </si>
  <si>
    <r>
      <rPr>
        <sz val="9"/>
        <rFont val="Microsoft Sans Serif"/>
        <charset val="134"/>
      </rPr>
      <t>A50 RELIEVE FIGURAS CH_CARCASA</t>
    </r>
  </si>
  <si>
    <r>
      <rPr>
        <sz val="8"/>
        <rFont val="Times New Roman"/>
        <charset val="134"/>
      </rPr>
      <t>HD1280</t>
    </r>
  </si>
  <si>
    <r>
      <rPr>
        <sz val="9"/>
        <rFont val="Microsoft Sans Serif"/>
        <charset val="134"/>
      </rPr>
      <t>A50 SAMSUNG UNICOLOR CH_CARCASA</t>
    </r>
  </si>
  <si>
    <r>
      <rPr>
        <sz val="8"/>
        <rFont val="Times New Roman"/>
        <charset val="134"/>
      </rPr>
      <t>HD1339</t>
    </r>
  </si>
  <si>
    <r>
      <rPr>
        <sz val="9"/>
        <rFont val="Microsoft Sans Serif"/>
        <charset val="134"/>
      </rPr>
      <t>A50 SUPREME2 CH_CARCASA</t>
    </r>
  </si>
  <si>
    <r>
      <rPr>
        <sz val="8"/>
        <rFont val="Times New Roman"/>
        <charset val="134"/>
      </rPr>
      <t>HD2021</t>
    </r>
  </si>
  <si>
    <r>
      <rPr>
        <sz val="9"/>
        <rFont val="Microsoft Sans Serif"/>
        <charset val="134"/>
      </rPr>
      <t>A9 MINI MUSIC SPEAKER</t>
    </r>
  </si>
  <si>
    <r>
      <rPr>
        <sz val="8"/>
        <rFont val="Times New Roman"/>
        <charset val="134"/>
      </rPr>
      <t>EX0010</t>
    </r>
  </si>
  <si>
    <r>
      <rPr>
        <sz val="9"/>
        <rFont val="Microsoft Sans Serif"/>
        <charset val="134"/>
      </rPr>
      <t>ACC . TELEFONO  MI A2</t>
    </r>
  </si>
  <si>
    <r>
      <rPr>
        <sz val="9"/>
        <rFont val="Microsoft Sans Serif"/>
        <charset val="134"/>
      </rPr>
      <t>ACC. TELEFONO MARMOL ESCA</t>
    </r>
  </si>
  <si>
    <r>
      <rPr>
        <sz val="8"/>
        <rFont val="Times New Roman"/>
        <charset val="134"/>
      </rPr>
      <t>HD2036</t>
    </r>
  </si>
  <si>
    <r>
      <rPr>
        <sz val="9"/>
        <rFont val="Microsoft Sans Serif"/>
        <charset val="134"/>
      </rPr>
      <t>ACCE TELF PHONE CARD</t>
    </r>
  </si>
  <si>
    <r>
      <rPr>
        <sz val="8"/>
        <rFont val="Times New Roman"/>
        <charset val="134"/>
      </rPr>
      <t>HD2035</t>
    </r>
  </si>
  <si>
    <r>
      <rPr>
        <sz val="9"/>
        <rFont val="Microsoft Sans Serif"/>
        <charset val="134"/>
      </rPr>
      <t>ACCE TELF SINGLE LAYER</t>
    </r>
  </si>
  <si>
    <r>
      <rPr>
        <sz val="8"/>
        <rFont val="Times New Roman"/>
        <charset val="134"/>
      </rPr>
      <t>HD2037</t>
    </r>
  </si>
  <si>
    <r>
      <rPr>
        <sz val="9"/>
        <rFont val="Microsoft Sans Serif"/>
        <charset val="134"/>
      </rPr>
      <t>ACCE TELF U SHAPE</t>
    </r>
  </si>
  <si>
    <r>
      <rPr>
        <sz val="8"/>
        <rFont val="Times New Roman"/>
        <charset val="134"/>
      </rPr>
      <t>HD3115</t>
    </r>
  </si>
  <si>
    <r>
      <rPr>
        <sz val="9"/>
        <rFont val="Microsoft Sans Serif"/>
        <charset val="134"/>
      </rPr>
      <t>ACCESORIO BEBE AM</t>
    </r>
  </si>
  <si>
    <r>
      <rPr>
        <sz val="9"/>
        <rFont val="Microsoft Sans Serif"/>
        <charset val="134"/>
      </rPr>
      <t>ACCESORIO DE BELLEZA</t>
    </r>
  </si>
  <si>
    <r>
      <rPr>
        <sz val="9"/>
        <rFont val="Microsoft Sans Serif"/>
        <charset val="134"/>
      </rPr>
      <t>ACCESORIO DE BELLEZA  H6007</t>
    </r>
  </si>
  <si>
    <r>
      <rPr>
        <sz val="9"/>
        <rFont val="Microsoft Sans Serif"/>
        <charset val="134"/>
      </rPr>
      <t>ACCESORIO DE BELLEZA  H6214</t>
    </r>
  </si>
  <si>
    <r>
      <rPr>
        <sz val="9"/>
        <rFont val="Microsoft Sans Serif"/>
        <charset val="134"/>
      </rPr>
      <t>ACCESORIO DE BELLEZA H6007</t>
    </r>
  </si>
  <si>
    <r>
      <rPr>
        <sz val="9"/>
        <rFont val="Microsoft Sans Serif"/>
        <charset val="134"/>
      </rPr>
      <t>ACCESORIO DE BELLEZA H6209</t>
    </r>
  </si>
  <si>
    <r>
      <rPr>
        <sz val="9"/>
        <rFont val="Microsoft Sans Serif"/>
        <charset val="134"/>
      </rPr>
      <t>ACCESORIO DE BELLEZA H6509</t>
    </r>
  </si>
  <si>
    <r>
      <rPr>
        <sz val="8"/>
        <rFont val="Times New Roman"/>
        <charset val="134"/>
      </rPr>
      <t>HD2246</t>
    </r>
  </si>
  <si>
    <r>
      <rPr>
        <sz val="9"/>
        <rFont val="Microsoft Sans Serif"/>
        <charset val="134"/>
      </rPr>
      <t>ACCESORIO HOGAR</t>
    </r>
  </si>
  <si>
    <r>
      <rPr>
        <sz val="8"/>
        <rFont val="Times New Roman"/>
        <charset val="134"/>
      </rPr>
      <t>HD301</t>
    </r>
  </si>
  <si>
    <r>
      <rPr>
        <sz val="8"/>
        <rFont val="Times New Roman"/>
        <charset val="134"/>
      </rPr>
      <t>HD3117</t>
    </r>
  </si>
  <si>
    <r>
      <rPr>
        <sz val="9"/>
        <rFont val="Microsoft Sans Serif"/>
        <charset val="134"/>
      </rPr>
      <t>ACCESORIO HOGAR AM</t>
    </r>
  </si>
  <si>
    <r>
      <rPr>
        <sz val="8"/>
        <rFont val="Times New Roman"/>
        <charset val="134"/>
      </rPr>
      <t>HD5656</t>
    </r>
  </si>
  <si>
    <r>
      <rPr>
        <sz val="9"/>
        <rFont val="Microsoft Sans Serif"/>
        <charset val="134"/>
      </rPr>
      <t>ACCESORIOS BELLEZA</t>
    </r>
  </si>
  <si>
    <r>
      <rPr>
        <sz val="8"/>
        <rFont val="Times New Roman"/>
        <charset val="134"/>
      </rPr>
      <t>HD269</t>
    </r>
  </si>
  <si>
    <r>
      <rPr>
        <sz val="9"/>
        <rFont val="Microsoft Sans Serif"/>
        <charset val="134"/>
      </rPr>
      <t>ACCESORIOS BELLEZA AM</t>
    </r>
  </si>
  <si>
    <r>
      <rPr>
        <sz val="8"/>
        <rFont val="Times New Roman"/>
        <charset val="134"/>
      </rPr>
      <t>HD675</t>
    </r>
  </si>
  <si>
    <r>
      <rPr>
        <sz val="9"/>
        <rFont val="Microsoft Sans Serif"/>
        <charset val="134"/>
      </rPr>
      <t>ACCESORIOS DE BELLEZ H6008</t>
    </r>
  </si>
  <si>
    <r>
      <rPr>
        <sz val="9"/>
        <rFont val="Microsoft Sans Serif"/>
        <charset val="134"/>
      </rPr>
      <t>ACCESORIOS DE BELLEZ H6212</t>
    </r>
  </si>
  <si>
    <r>
      <rPr>
        <sz val="8"/>
        <rFont val="Times New Roman"/>
        <charset val="134"/>
      </rPr>
      <t>HD3697</t>
    </r>
  </si>
  <si>
    <r>
      <rPr>
        <sz val="9"/>
        <rFont val="Microsoft Sans Serif"/>
        <charset val="134"/>
      </rPr>
      <t>ADACTADOR HD</t>
    </r>
  </si>
  <si>
    <r>
      <rPr>
        <sz val="8"/>
        <rFont val="Times New Roman"/>
        <charset val="134"/>
      </rPr>
      <t>HD3699</t>
    </r>
  </si>
  <si>
    <r>
      <rPr>
        <sz val="9"/>
        <rFont val="Microsoft Sans Serif"/>
        <charset val="134"/>
      </rPr>
      <t>ADACTADOR HD 3/1</t>
    </r>
  </si>
  <si>
    <r>
      <rPr>
        <sz val="8"/>
        <rFont val="Times New Roman"/>
        <charset val="134"/>
      </rPr>
      <t>HD3700</t>
    </r>
  </si>
  <si>
    <r>
      <rPr>
        <sz val="9"/>
        <rFont val="Microsoft Sans Serif"/>
        <charset val="134"/>
      </rPr>
      <t>ADACTADOR HD IPHONE</t>
    </r>
  </si>
  <si>
    <r>
      <rPr>
        <sz val="8"/>
        <rFont val="Times New Roman"/>
        <charset val="134"/>
      </rPr>
      <t>HD3703</t>
    </r>
  </si>
  <si>
    <r>
      <rPr>
        <sz val="9"/>
        <rFont val="Microsoft Sans Serif"/>
        <charset val="134"/>
      </rPr>
      <t>ADACTADOR HD IPHONE.</t>
    </r>
  </si>
  <si>
    <r>
      <rPr>
        <sz val="8"/>
        <rFont val="Times New Roman"/>
        <charset val="134"/>
      </rPr>
      <t>HD3704</t>
    </r>
  </si>
  <si>
    <r>
      <rPr>
        <sz val="9"/>
        <rFont val="Microsoft Sans Serif"/>
        <charset val="134"/>
      </rPr>
      <t>ADACTADOR HD IPHONE..</t>
    </r>
  </si>
  <si>
    <r>
      <rPr>
        <sz val="8"/>
        <rFont val="Times New Roman"/>
        <charset val="134"/>
      </rPr>
      <t>HD3698</t>
    </r>
  </si>
  <si>
    <r>
      <rPr>
        <sz val="9"/>
        <rFont val="Microsoft Sans Serif"/>
        <charset val="134"/>
      </rPr>
      <t>ADACTADOR HD TC054</t>
    </r>
  </si>
  <si>
    <r>
      <rPr>
        <sz val="8"/>
        <rFont val="Times New Roman"/>
        <charset val="134"/>
      </rPr>
      <t>HD3701</t>
    </r>
  </si>
  <si>
    <r>
      <rPr>
        <sz val="9"/>
        <rFont val="Microsoft Sans Serif"/>
        <charset val="134"/>
      </rPr>
      <t>ADACTADOR HD TYPE-C</t>
    </r>
  </si>
  <si>
    <r>
      <rPr>
        <sz val="8"/>
        <rFont val="Times New Roman"/>
        <charset val="134"/>
      </rPr>
      <t>HD3702</t>
    </r>
  </si>
  <si>
    <r>
      <rPr>
        <sz val="9"/>
        <rFont val="Microsoft Sans Serif"/>
        <charset val="134"/>
      </rPr>
      <t>ADACTADOR HD TYPE-C JH-030</t>
    </r>
  </si>
  <si>
    <r>
      <rPr>
        <sz val="8"/>
        <rFont val="Times New Roman"/>
        <charset val="134"/>
      </rPr>
      <t>HD3695</t>
    </r>
  </si>
  <si>
    <r>
      <rPr>
        <sz val="9"/>
        <rFont val="Microsoft Sans Serif"/>
        <charset val="134"/>
      </rPr>
      <t>ADACTADOR HD.</t>
    </r>
  </si>
  <si>
    <r>
      <rPr>
        <sz val="8"/>
        <rFont val="Times New Roman"/>
        <charset val="134"/>
      </rPr>
      <t>HD3705</t>
    </r>
  </si>
  <si>
    <r>
      <rPr>
        <sz val="9"/>
        <rFont val="Microsoft Sans Serif"/>
        <charset val="134"/>
      </rPr>
      <t>ADACTADOR HD..</t>
    </r>
  </si>
  <si>
    <r>
      <rPr>
        <sz val="8"/>
        <rFont val="Times New Roman"/>
        <charset val="134"/>
      </rPr>
      <t>HD3696</t>
    </r>
  </si>
  <si>
    <r>
      <rPr>
        <sz val="9"/>
        <rFont val="Microsoft Sans Serif"/>
        <charset val="134"/>
      </rPr>
      <t>ADACTADOR TYPE-C HD</t>
    </r>
  </si>
  <si>
    <r>
      <rPr>
        <sz val="8"/>
        <rFont val="Times New Roman"/>
        <charset val="134"/>
      </rPr>
      <t>HD3694</t>
    </r>
  </si>
  <si>
    <r>
      <rPr>
        <sz val="9"/>
        <rFont val="Microsoft Sans Serif"/>
        <charset val="134"/>
      </rPr>
      <t>ADAPTADOR + NOTA</t>
    </r>
  </si>
  <si>
    <r>
      <rPr>
        <sz val="8"/>
        <rFont val="Times New Roman"/>
        <charset val="134"/>
      </rPr>
      <t>HD3614</t>
    </r>
  </si>
  <si>
    <r>
      <rPr>
        <sz val="9"/>
        <rFont val="Microsoft Sans Serif"/>
        <charset val="134"/>
      </rPr>
      <t>ADAPTADOR A-2 HD</t>
    </r>
  </si>
  <si>
    <r>
      <rPr>
        <sz val="8"/>
        <rFont val="Times New Roman"/>
        <charset val="134"/>
      </rPr>
      <t>HD3690</t>
    </r>
  </si>
  <si>
    <r>
      <rPr>
        <sz val="9"/>
        <rFont val="Microsoft Sans Serif"/>
        <charset val="134"/>
      </rPr>
      <t>ADAPTADOR GL044IP HD</t>
    </r>
  </si>
  <si>
    <r>
      <rPr>
        <sz val="8"/>
        <rFont val="Times New Roman"/>
        <charset val="134"/>
      </rPr>
      <t>HD3691</t>
    </r>
  </si>
  <si>
    <r>
      <rPr>
        <sz val="9"/>
        <rFont val="Microsoft Sans Serif"/>
        <charset val="134"/>
      </rPr>
      <t>ADAPTADOR JH-101IP HD</t>
    </r>
  </si>
  <si>
    <r>
      <rPr>
        <sz val="8"/>
        <rFont val="Times New Roman"/>
        <charset val="134"/>
      </rPr>
      <t>HD3692</t>
    </r>
  </si>
  <si>
    <r>
      <rPr>
        <sz val="9"/>
        <rFont val="Microsoft Sans Serif"/>
        <charset val="134"/>
      </rPr>
      <t>ADAPTADOR TYPE-C HD</t>
    </r>
  </si>
  <si>
    <r>
      <rPr>
        <sz val="8"/>
        <rFont val="Times New Roman"/>
        <charset val="134"/>
      </rPr>
      <t>HD3693</t>
    </r>
  </si>
  <si>
    <r>
      <rPr>
        <sz val="9"/>
        <rFont val="Microsoft Sans Serif"/>
        <charset val="134"/>
      </rPr>
      <t>ADAPTADOR TYPE-C HD.</t>
    </r>
  </si>
  <si>
    <r>
      <rPr>
        <sz val="8"/>
        <rFont val="Times New Roman"/>
        <charset val="134"/>
      </rPr>
      <t>HD3497</t>
    </r>
  </si>
  <si>
    <r>
      <rPr>
        <sz val="9"/>
        <rFont val="Microsoft Sans Serif"/>
        <charset val="134"/>
      </rPr>
      <t>ADHESIVO PARA PARED AMARILLO HD</t>
    </r>
  </si>
  <si>
    <r>
      <rPr>
        <sz val="8"/>
        <rFont val="Times New Roman"/>
        <charset val="134"/>
      </rPr>
      <t>HD3498</t>
    </r>
  </si>
  <si>
    <r>
      <rPr>
        <sz val="9"/>
        <rFont val="Microsoft Sans Serif"/>
        <charset val="134"/>
      </rPr>
      <t>ADHESIVO PARA PARED ROSADO HD</t>
    </r>
  </si>
  <si>
    <r>
      <rPr>
        <sz val="8"/>
        <rFont val="Times New Roman"/>
        <charset val="134"/>
      </rPr>
      <t>HD3032</t>
    </r>
  </si>
  <si>
    <r>
      <rPr>
        <sz val="9"/>
        <rFont val="Microsoft Sans Serif"/>
        <charset val="134"/>
      </rPr>
      <t>ADHESIVO PARED 3 X 60</t>
    </r>
  </si>
  <si>
    <r>
      <rPr>
        <sz val="8"/>
        <rFont val="Times New Roman"/>
        <charset val="134"/>
      </rPr>
      <t>HD3505-1</t>
    </r>
  </si>
  <si>
    <r>
      <rPr>
        <sz val="9"/>
        <rFont val="Microsoft Sans Serif"/>
        <charset val="134"/>
      </rPr>
      <t>ADHESIVO PISO JM8603 HD 60x60</t>
    </r>
  </si>
  <si>
    <r>
      <rPr>
        <sz val="8"/>
        <rFont val="Times New Roman"/>
        <charset val="134"/>
      </rPr>
      <t>HD3502-1</t>
    </r>
  </si>
  <si>
    <r>
      <rPr>
        <sz val="9"/>
        <rFont val="Microsoft Sans Serif"/>
        <charset val="134"/>
      </rPr>
      <t>ADHESIVO PISO JM8605 HD 60x60</t>
    </r>
  </si>
  <si>
    <r>
      <rPr>
        <sz val="8"/>
        <rFont val="Times New Roman"/>
        <charset val="134"/>
      </rPr>
      <t>HD3501-1</t>
    </r>
  </si>
  <si>
    <r>
      <rPr>
        <sz val="9"/>
        <rFont val="Microsoft Sans Serif"/>
        <charset val="134"/>
      </rPr>
      <t>ADHESIVO PISO JM8611 HD 60x60</t>
    </r>
  </si>
  <si>
    <r>
      <rPr>
        <sz val="8"/>
        <rFont val="Times New Roman"/>
        <charset val="134"/>
      </rPr>
      <t>HD3500-1</t>
    </r>
  </si>
  <si>
    <r>
      <rPr>
        <sz val="9"/>
        <rFont val="Microsoft Sans Serif"/>
        <charset val="134"/>
      </rPr>
      <t>ADHESIVO PISO JM8615 HD 60x60</t>
    </r>
  </si>
  <si>
    <r>
      <rPr>
        <sz val="8"/>
        <rFont val="Times New Roman"/>
        <charset val="134"/>
      </rPr>
      <t>HD3504-1</t>
    </r>
  </si>
  <si>
    <r>
      <rPr>
        <sz val="9"/>
        <rFont val="Microsoft Sans Serif"/>
        <charset val="134"/>
      </rPr>
      <t>ADHESIVO PISO JM8616 HD 60x60</t>
    </r>
  </si>
  <si>
    <r>
      <rPr>
        <sz val="8"/>
        <rFont val="Times New Roman"/>
        <charset val="134"/>
      </rPr>
      <t>EX0002</t>
    </r>
  </si>
  <si>
    <r>
      <rPr>
        <sz val="9"/>
        <rFont val="Microsoft Sans Serif"/>
        <charset val="134"/>
      </rPr>
      <t>ADORNO NAVIDAD 1</t>
    </r>
  </si>
  <si>
    <r>
      <rPr>
        <sz val="8"/>
        <rFont val="Times New Roman"/>
        <charset val="134"/>
      </rPr>
      <t>EX0001</t>
    </r>
  </si>
  <si>
    <r>
      <rPr>
        <sz val="9"/>
        <rFont val="Microsoft Sans Serif"/>
        <charset val="134"/>
      </rPr>
      <t>ADORNO NAVIDAD 1 VARIOS</t>
    </r>
  </si>
  <si>
    <r>
      <rPr>
        <sz val="8"/>
        <rFont val="Times New Roman"/>
        <charset val="134"/>
      </rPr>
      <t>HD287</t>
    </r>
  </si>
  <si>
    <r>
      <rPr>
        <sz val="9"/>
        <rFont val="Microsoft Sans Serif"/>
        <charset val="134"/>
      </rPr>
      <t>ADORNO NV</t>
    </r>
  </si>
  <si>
    <r>
      <rPr>
        <sz val="8"/>
        <rFont val="Times New Roman"/>
        <charset val="134"/>
      </rPr>
      <t>HD286</t>
    </r>
  </si>
  <si>
    <r>
      <rPr>
        <sz val="9"/>
        <rFont val="Microsoft Sans Serif"/>
        <charset val="134"/>
      </rPr>
      <t>ADORNO PAP NOEL</t>
    </r>
  </si>
  <si>
    <r>
      <rPr>
        <sz val="8"/>
        <rFont val="Times New Roman"/>
        <charset val="134"/>
      </rPr>
      <t>HD2579</t>
    </r>
  </si>
  <si>
    <r>
      <rPr>
        <sz val="9"/>
        <rFont val="Microsoft Sans Serif"/>
        <charset val="134"/>
      </rPr>
      <t>ADORNO X3 NAVIDAD con juego de luces</t>
    </r>
  </si>
  <si>
    <r>
      <rPr>
        <sz val="8"/>
        <rFont val="Times New Roman"/>
        <charset val="134"/>
      </rPr>
      <t>HD177</t>
    </r>
  </si>
  <si>
    <r>
      <rPr>
        <sz val="9"/>
        <rFont val="Microsoft Sans Serif"/>
        <charset val="134"/>
      </rPr>
      <t>AG12720 CARTERA CHINA</t>
    </r>
  </si>
  <si>
    <r>
      <rPr>
        <sz val="8"/>
        <rFont val="Times New Roman"/>
        <charset val="134"/>
      </rPr>
      <t>HD179</t>
    </r>
  </si>
  <si>
    <r>
      <rPr>
        <sz val="9"/>
        <rFont val="Microsoft Sans Serif"/>
        <charset val="134"/>
      </rPr>
      <t>AG13244 CARTERA CHINA</t>
    </r>
  </si>
  <si>
    <r>
      <rPr>
        <sz val="8"/>
        <rFont val="Times New Roman"/>
        <charset val="134"/>
      </rPr>
      <t>HD178</t>
    </r>
  </si>
  <si>
    <r>
      <rPr>
        <sz val="9"/>
        <rFont val="Microsoft Sans Serif"/>
        <charset val="134"/>
      </rPr>
      <t>AG13288 CARTERA CHINA</t>
    </r>
  </si>
  <si>
    <r>
      <rPr>
        <sz val="8"/>
        <rFont val="Times New Roman"/>
        <charset val="134"/>
      </rPr>
      <t>HD180</t>
    </r>
  </si>
  <si>
    <r>
      <rPr>
        <sz val="9"/>
        <rFont val="Microsoft Sans Serif"/>
        <charset val="134"/>
      </rPr>
      <t>AG13581 CARTERA CHINA</t>
    </r>
  </si>
  <si>
    <r>
      <rPr>
        <sz val="8"/>
        <rFont val="Times New Roman"/>
        <charset val="134"/>
      </rPr>
      <t>HD3653</t>
    </r>
  </si>
  <si>
    <r>
      <rPr>
        <sz val="9"/>
        <rFont val="Microsoft Sans Serif"/>
        <charset val="134"/>
      </rPr>
      <t>AGARRADERA PARA FLEX HD YX-FW</t>
    </r>
  </si>
  <si>
    <r>
      <rPr>
        <sz val="8"/>
        <rFont val="Times New Roman"/>
        <charset val="134"/>
      </rPr>
      <t>HD4224</t>
    </r>
  </si>
  <si>
    <r>
      <rPr>
        <sz val="9"/>
        <rFont val="Microsoft Sans Serif"/>
        <charset val="134"/>
      </rPr>
      <t>AGENDA HD 14918</t>
    </r>
  </si>
  <si>
    <r>
      <rPr>
        <sz val="8"/>
        <rFont val="Times New Roman"/>
        <charset val="134"/>
      </rPr>
      <t>HD4226</t>
    </r>
  </si>
  <si>
    <r>
      <rPr>
        <sz val="9"/>
        <rFont val="Microsoft Sans Serif"/>
        <charset val="134"/>
      </rPr>
      <t>AGENDA HD 14948</t>
    </r>
  </si>
  <si>
    <r>
      <rPr>
        <sz val="8"/>
        <rFont val="Times New Roman"/>
        <charset val="134"/>
      </rPr>
      <t>HD4218</t>
    </r>
  </si>
  <si>
    <r>
      <rPr>
        <sz val="9"/>
        <rFont val="Microsoft Sans Serif"/>
        <charset val="134"/>
      </rPr>
      <t>AGENDA HD 25012</t>
    </r>
  </si>
  <si>
    <r>
      <rPr>
        <sz val="8"/>
        <rFont val="Times New Roman"/>
        <charset val="134"/>
      </rPr>
      <t>HD4217</t>
    </r>
  </si>
  <si>
    <r>
      <rPr>
        <sz val="9"/>
        <rFont val="Microsoft Sans Serif"/>
        <charset val="134"/>
      </rPr>
      <t>AGENDA HD 25-55</t>
    </r>
  </si>
  <si>
    <r>
      <rPr>
        <sz val="8"/>
        <rFont val="Times New Roman"/>
        <charset val="134"/>
      </rPr>
      <t>HD4221</t>
    </r>
  </si>
  <si>
    <r>
      <rPr>
        <sz val="9"/>
        <rFont val="Microsoft Sans Serif"/>
        <charset val="134"/>
      </rPr>
      <t>AGENDA HD 7625-3</t>
    </r>
  </si>
  <si>
    <r>
      <rPr>
        <sz val="8"/>
        <rFont val="Times New Roman"/>
        <charset val="134"/>
      </rPr>
      <t>HD4222</t>
    </r>
  </si>
  <si>
    <r>
      <rPr>
        <sz val="9"/>
        <rFont val="Microsoft Sans Serif"/>
        <charset val="134"/>
      </rPr>
      <t>AGENDA HD 805-25</t>
    </r>
  </si>
  <si>
    <r>
      <rPr>
        <sz val="8"/>
        <rFont val="Times New Roman"/>
        <charset val="134"/>
      </rPr>
      <t>HD4219</t>
    </r>
  </si>
  <si>
    <r>
      <rPr>
        <sz val="9"/>
        <rFont val="Microsoft Sans Serif"/>
        <charset val="134"/>
      </rPr>
      <t>AGENDA HD 9918</t>
    </r>
  </si>
  <si>
    <r>
      <rPr>
        <sz val="8"/>
        <rFont val="Times New Roman"/>
        <charset val="134"/>
      </rPr>
      <t>HD4220</t>
    </r>
  </si>
  <si>
    <r>
      <rPr>
        <sz val="9"/>
        <rFont val="Microsoft Sans Serif"/>
        <charset val="134"/>
      </rPr>
      <t>AGENDA HD 9925</t>
    </r>
  </si>
  <si>
    <r>
      <rPr>
        <sz val="8"/>
        <rFont val="Times New Roman"/>
        <charset val="134"/>
      </rPr>
      <t>HD4223</t>
    </r>
  </si>
  <si>
    <r>
      <rPr>
        <sz val="9"/>
        <rFont val="Microsoft Sans Serif"/>
        <charset val="134"/>
      </rPr>
      <t>AGENDA HD A5-140</t>
    </r>
  </si>
  <si>
    <r>
      <rPr>
        <sz val="8"/>
        <rFont val="Times New Roman"/>
        <charset val="134"/>
      </rPr>
      <t>HD3227</t>
    </r>
  </si>
  <si>
    <r>
      <rPr>
        <sz val="9"/>
        <rFont val="Microsoft Sans Serif"/>
        <charset val="134"/>
      </rPr>
      <t>AGENDAS 05/2021 11-25</t>
    </r>
  </si>
  <si>
    <r>
      <rPr>
        <sz val="8"/>
        <rFont val="Times New Roman"/>
        <charset val="134"/>
      </rPr>
      <t>HD3233</t>
    </r>
  </si>
  <si>
    <r>
      <rPr>
        <sz val="9"/>
        <rFont val="Microsoft Sans Serif"/>
        <charset val="134"/>
      </rPr>
      <t>AGENDAS 05/2021 175-25-1</t>
    </r>
  </si>
  <si>
    <r>
      <rPr>
        <sz val="8"/>
        <rFont val="Times New Roman"/>
        <charset val="134"/>
      </rPr>
      <t>HD3228</t>
    </r>
  </si>
  <si>
    <r>
      <rPr>
        <sz val="9"/>
        <rFont val="Microsoft Sans Serif"/>
        <charset val="134"/>
      </rPr>
      <t>AGENDAS 05/2021 175-25-2</t>
    </r>
  </si>
  <si>
    <r>
      <rPr>
        <sz val="8"/>
        <rFont val="Times New Roman"/>
        <charset val="134"/>
      </rPr>
      <t>HD3232</t>
    </r>
  </si>
  <si>
    <r>
      <rPr>
        <sz val="9"/>
        <rFont val="Microsoft Sans Serif"/>
        <charset val="134"/>
      </rPr>
      <t>AGENDAS PEQ 05/2021 6148</t>
    </r>
  </si>
  <si>
    <r>
      <rPr>
        <sz val="8"/>
        <rFont val="Times New Roman"/>
        <charset val="134"/>
      </rPr>
      <t>EX0004</t>
    </r>
  </si>
  <si>
    <r>
      <rPr>
        <sz val="9"/>
        <rFont val="Microsoft Sans Serif"/>
        <charset val="134"/>
      </rPr>
      <t>AGUINALDA ALGODON</t>
    </r>
  </si>
  <si>
    <r>
      <rPr>
        <sz val="8"/>
        <rFont val="Times New Roman"/>
        <charset val="134"/>
      </rPr>
      <t>HD1564</t>
    </r>
  </si>
  <si>
    <r>
      <rPr>
        <sz val="9"/>
        <rFont val="Microsoft Sans Serif"/>
        <charset val="134"/>
      </rPr>
      <t>AGUINALDA BOLAS BLANCA</t>
    </r>
  </si>
  <si>
    <r>
      <rPr>
        <sz val="8"/>
        <rFont val="Times New Roman"/>
        <charset val="134"/>
      </rPr>
      <t>EX0005</t>
    </r>
  </si>
  <si>
    <r>
      <rPr>
        <sz val="9"/>
        <rFont val="Microsoft Sans Serif"/>
        <charset val="134"/>
      </rPr>
      <t>AGUINALDA MERRY</t>
    </r>
  </si>
  <si>
    <r>
      <rPr>
        <sz val="8"/>
        <rFont val="Times New Roman"/>
        <charset val="134"/>
      </rPr>
      <t>HD644</t>
    </r>
  </si>
  <si>
    <r>
      <rPr>
        <sz val="9"/>
        <rFont val="Microsoft Sans Serif"/>
        <charset val="134"/>
      </rPr>
      <t>AGUJA A/B MAQUILLAJE CHINA</t>
    </r>
  </si>
  <si>
    <r>
      <rPr>
        <sz val="8"/>
        <rFont val="Times New Roman"/>
        <charset val="134"/>
      </rPr>
      <t>HD643</t>
    </r>
  </si>
  <si>
    <r>
      <rPr>
        <sz val="9"/>
        <rFont val="Microsoft Sans Serif"/>
        <charset val="134"/>
      </rPr>
      <t>AGUJAS DE MAQUILLAJE</t>
    </r>
  </si>
  <si>
    <r>
      <rPr>
        <sz val="8"/>
        <rFont val="Times New Roman"/>
        <charset val="134"/>
      </rPr>
      <t>RFD285577</t>
    </r>
  </si>
  <si>
    <r>
      <rPr>
        <sz val="9"/>
        <rFont val="Microsoft Sans Serif"/>
        <charset val="134"/>
      </rPr>
      <t>ALCANCIA</t>
    </r>
  </si>
  <si>
    <r>
      <rPr>
        <sz val="8"/>
        <rFont val="Times New Roman"/>
        <charset val="134"/>
      </rPr>
      <t>HD3675</t>
    </r>
  </si>
  <si>
    <r>
      <rPr>
        <sz val="9"/>
        <rFont val="Microsoft Sans Serif"/>
        <charset val="134"/>
      </rPr>
      <t>ALCANCIA DIGITAL 1506 HD</t>
    </r>
  </si>
  <si>
    <r>
      <rPr>
        <sz val="8"/>
        <rFont val="Times New Roman"/>
        <charset val="134"/>
      </rPr>
      <t>HD3674</t>
    </r>
  </si>
  <si>
    <r>
      <rPr>
        <sz val="9"/>
        <rFont val="Microsoft Sans Serif"/>
        <charset val="134"/>
      </rPr>
      <t>ALCANCIA DIGITAL 1508 HD QG-023</t>
    </r>
  </si>
  <si>
    <r>
      <rPr>
        <sz val="8"/>
        <rFont val="Times New Roman"/>
        <charset val="134"/>
      </rPr>
      <t>HD3676</t>
    </r>
  </si>
  <si>
    <r>
      <rPr>
        <sz val="9"/>
        <rFont val="Microsoft Sans Serif"/>
        <charset val="134"/>
      </rPr>
      <t>ALCANCIA DIGITAL HD 1808 (QG-032) ATM</t>
    </r>
  </si>
  <si>
    <r>
      <rPr>
        <sz val="8"/>
        <rFont val="Times New Roman"/>
        <charset val="134"/>
      </rPr>
      <t>HD3679</t>
    </r>
  </si>
  <si>
    <r>
      <rPr>
        <sz val="9"/>
        <rFont val="Microsoft Sans Serif"/>
        <charset val="134"/>
      </rPr>
      <t>ALCANCIA DIGITAL HD 8272</t>
    </r>
  </si>
  <si>
    <r>
      <rPr>
        <sz val="8"/>
        <rFont val="Times New Roman"/>
        <charset val="134"/>
      </rPr>
      <t>HD3678</t>
    </r>
  </si>
  <si>
    <r>
      <rPr>
        <sz val="9"/>
        <rFont val="Microsoft Sans Serif"/>
        <charset val="134"/>
      </rPr>
      <t>ALCANCIA DIGITAL HD 853 ATM</t>
    </r>
  </si>
  <si>
    <r>
      <rPr>
        <sz val="8"/>
        <rFont val="Times New Roman"/>
        <charset val="134"/>
      </rPr>
      <t>HD3673</t>
    </r>
  </si>
  <si>
    <r>
      <rPr>
        <sz val="9"/>
        <rFont val="Microsoft Sans Serif"/>
        <charset val="134"/>
      </rPr>
      <t>ALCANCIA DIGITAL QG-043 HD</t>
    </r>
  </si>
  <si>
    <r>
      <rPr>
        <sz val="8"/>
        <rFont val="Times New Roman"/>
        <charset val="134"/>
      </rPr>
      <t>HD3677</t>
    </r>
  </si>
  <si>
    <r>
      <rPr>
        <sz val="9"/>
        <rFont val="Microsoft Sans Serif"/>
        <charset val="134"/>
      </rPr>
      <t>ALCANCIADIGITAL 6709 HD</t>
    </r>
  </si>
  <si>
    <r>
      <rPr>
        <sz val="9"/>
        <rFont val="Microsoft Sans Serif"/>
        <charset val="134"/>
      </rPr>
      <t>ALICATE DE UÑAS</t>
    </r>
  </si>
  <si>
    <r>
      <rPr>
        <sz val="9"/>
        <rFont val="Microsoft Sans Serif"/>
        <charset val="134"/>
      </rPr>
      <t>ALICATES DE MAQUILLAJE</t>
    </r>
  </si>
  <si>
    <r>
      <rPr>
        <sz val="8"/>
        <rFont val="Times New Roman"/>
        <charset val="134"/>
      </rPr>
      <t>HD639</t>
    </r>
  </si>
  <si>
    <r>
      <rPr>
        <sz val="9"/>
        <rFont val="Microsoft Sans Serif"/>
        <charset val="134"/>
      </rPr>
      <t>ALICATES P/CEJA 2PCS</t>
    </r>
  </si>
  <si>
    <r>
      <rPr>
        <sz val="8"/>
        <rFont val="Times New Roman"/>
        <charset val="134"/>
      </rPr>
      <t>HD4579</t>
    </r>
  </si>
  <si>
    <r>
      <rPr>
        <sz val="9"/>
        <rFont val="Microsoft Sans Serif"/>
        <charset val="134"/>
      </rPr>
      <t>AMARILLO PERFUME 50ML RSS8203 RS8205</t>
    </r>
  </si>
  <si>
    <r>
      <rPr>
        <sz val="8"/>
        <rFont val="Times New Roman"/>
        <charset val="134"/>
      </rPr>
      <t>HD3285</t>
    </r>
  </si>
  <si>
    <r>
      <rPr>
        <sz val="9"/>
        <rFont val="Microsoft Sans Serif"/>
        <charset val="134"/>
      </rPr>
      <t>AND 6A CABLE 05/2021</t>
    </r>
  </si>
  <si>
    <r>
      <rPr>
        <sz val="8"/>
        <rFont val="Times New Roman"/>
        <charset val="134"/>
      </rPr>
      <t>HD3288</t>
    </r>
  </si>
  <si>
    <r>
      <rPr>
        <sz val="9"/>
        <rFont val="Microsoft Sans Serif"/>
        <charset val="134"/>
      </rPr>
      <t>AND TX-85 CABLE + CHANCHITO 05/2021</t>
    </r>
  </si>
  <si>
    <r>
      <rPr>
        <sz val="8"/>
        <rFont val="Times New Roman"/>
        <charset val="134"/>
      </rPr>
      <t>HD3291</t>
    </r>
  </si>
  <si>
    <r>
      <rPr>
        <sz val="9"/>
        <rFont val="Microsoft Sans Serif"/>
        <charset val="134"/>
      </rPr>
      <t>ANDROI 2MTRS CABLE 05/2021</t>
    </r>
  </si>
  <si>
    <r>
      <rPr>
        <sz val="8"/>
        <rFont val="Times New Roman"/>
        <charset val="134"/>
      </rPr>
      <t>HD660</t>
    </r>
  </si>
  <si>
    <r>
      <rPr>
        <sz val="9"/>
        <rFont val="Microsoft Sans Serif"/>
        <charset val="134"/>
      </rPr>
      <t>ANILLLO UNIDAD</t>
    </r>
  </si>
  <si>
    <r>
      <rPr>
        <sz val="8"/>
        <rFont val="Times New Roman"/>
        <charset val="134"/>
      </rPr>
      <t>HD682</t>
    </r>
  </si>
  <si>
    <r>
      <rPr>
        <sz val="8"/>
        <rFont val="Times New Roman"/>
        <charset val="134"/>
      </rPr>
      <t>HD658</t>
    </r>
  </si>
  <si>
    <r>
      <rPr>
        <sz val="9"/>
        <rFont val="Microsoft Sans Serif"/>
        <charset val="134"/>
      </rPr>
      <t>ANILLO (PAR)</t>
    </r>
  </si>
  <si>
    <r>
      <rPr>
        <sz val="8"/>
        <rFont val="Times New Roman"/>
        <charset val="134"/>
      </rPr>
      <t>HD663</t>
    </r>
  </si>
  <si>
    <r>
      <rPr>
        <sz val="8"/>
        <rFont val="Times New Roman"/>
        <charset val="134"/>
      </rPr>
      <t>HD665</t>
    </r>
  </si>
  <si>
    <r>
      <rPr>
        <sz val="8"/>
        <rFont val="Times New Roman"/>
        <charset val="134"/>
      </rPr>
      <t>HD680</t>
    </r>
  </si>
  <si>
    <r>
      <rPr>
        <sz val="8"/>
        <rFont val="Times New Roman"/>
        <charset val="134"/>
      </rPr>
      <t>HD683</t>
    </r>
  </si>
  <si>
    <r>
      <rPr>
        <sz val="8"/>
        <rFont val="Times New Roman"/>
        <charset val="134"/>
      </rPr>
      <t>HD657</t>
    </r>
  </si>
  <si>
    <r>
      <rPr>
        <sz val="9"/>
        <rFont val="Microsoft Sans Serif"/>
        <charset val="134"/>
      </rPr>
      <t>ANILLO (PAR) 289</t>
    </r>
  </si>
  <si>
    <r>
      <rPr>
        <sz val="8"/>
        <rFont val="Times New Roman"/>
        <charset val="134"/>
      </rPr>
      <t>HD661</t>
    </r>
  </si>
  <si>
    <r>
      <rPr>
        <sz val="9"/>
        <rFont val="Microsoft Sans Serif"/>
        <charset val="134"/>
      </rPr>
      <t>ANILLO (UNIDAD)</t>
    </r>
  </si>
  <si>
    <r>
      <rPr>
        <sz val="8"/>
        <rFont val="Times New Roman"/>
        <charset val="134"/>
      </rPr>
      <t>HD662</t>
    </r>
  </si>
  <si>
    <r>
      <rPr>
        <sz val="8"/>
        <rFont val="Times New Roman"/>
        <charset val="134"/>
      </rPr>
      <t>HD664</t>
    </r>
  </si>
  <si>
    <r>
      <rPr>
        <sz val="8"/>
        <rFont val="Times New Roman"/>
        <charset val="134"/>
      </rPr>
      <t>HD666</t>
    </r>
  </si>
  <si>
    <r>
      <rPr>
        <sz val="8"/>
        <rFont val="Times New Roman"/>
        <charset val="134"/>
      </rPr>
      <t>HD667</t>
    </r>
  </si>
  <si>
    <r>
      <rPr>
        <sz val="8"/>
        <rFont val="Times New Roman"/>
        <charset val="134"/>
      </rPr>
      <t>HD668</t>
    </r>
  </si>
  <si>
    <r>
      <rPr>
        <sz val="8"/>
        <rFont val="Times New Roman"/>
        <charset val="134"/>
      </rPr>
      <t>HD669</t>
    </r>
  </si>
  <si>
    <r>
      <rPr>
        <sz val="8"/>
        <rFont val="Times New Roman"/>
        <charset val="134"/>
      </rPr>
      <t>HD670</t>
    </r>
  </si>
  <si>
    <r>
      <rPr>
        <sz val="8"/>
        <rFont val="Times New Roman"/>
        <charset val="134"/>
      </rPr>
      <t>HD671</t>
    </r>
  </si>
  <si>
    <r>
      <rPr>
        <sz val="8"/>
        <rFont val="Times New Roman"/>
        <charset val="134"/>
      </rPr>
      <t>HD672</t>
    </r>
  </si>
  <si>
    <r>
      <rPr>
        <sz val="8"/>
        <rFont val="Times New Roman"/>
        <charset val="134"/>
      </rPr>
      <t>HD673</t>
    </r>
  </si>
  <si>
    <r>
      <rPr>
        <sz val="8"/>
        <rFont val="Times New Roman"/>
        <charset val="134"/>
      </rPr>
      <t>HD677</t>
    </r>
  </si>
  <si>
    <r>
      <rPr>
        <sz val="8"/>
        <rFont val="Times New Roman"/>
        <charset val="134"/>
      </rPr>
      <t>HD679</t>
    </r>
  </si>
  <si>
    <r>
      <rPr>
        <sz val="8"/>
        <rFont val="Times New Roman"/>
        <charset val="134"/>
      </rPr>
      <t>HD681</t>
    </r>
  </si>
  <si>
    <r>
      <rPr>
        <sz val="8"/>
        <rFont val="Times New Roman"/>
        <charset val="134"/>
      </rPr>
      <t>HD684</t>
    </r>
  </si>
  <si>
    <r>
      <rPr>
        <sz val="8"/>
        <rFont val="Times New Roman"/>
        <charset val="134"/>
      </rPr>
      <t>HD685</t>
    </r>
  </si>
  <si>
    <r>
      <rPr>
        <sz val="8"/>
        <rFont val="Times New Roman"/>
        <charset val="134"/>
      </rPr>
      <t>HD674</t>
    </r>
  </si>
  <si>
    <r>
      <rPr>
        <sz val="9"/>
        <rFont val="Microsoft Sans Serif"/>
        <charset val="134"/>
      </rPr>
      <t>ANILLO 0215</t>
    </r>
  </si>
  <si>
    <r>
      <rPr>
        <sz val="8"/>
        <rFont val="Times New Roman"/>
        <charset val="134"/>
      </rPr>
      <t>HD678</t>
    </r>
  </si>
  <si>
    <r>
      <rPr>
        <sz val="8"/>
        <rFont val="Times New Roman"/>
        <charset val="134"/>
      </rPr>
      <t>HD3762</t>
    </r>
  </si>
  <si>
    <r>
      <rPr>
        <sz val="9"/>
        <rFont val="Microsoft Sans Serif"/>
        <charset val="134"/>
      </rPr>
      <t>ANILLO DE NATACION 59251 HD 91CM</t>
    </r>
  </si>
  <si>
    <r>
      <rPr>
        <sz val="8"/>
        <rFont val="Times New Roman"/>
        <charset val="134"/>
      </rPr>
      <t>RFD415595</t>
    </r>
  </si>
  <si>
    <r>
      <rPr>
        <sz val="9"/>
        <rFont val="Microsoft Sans Serif"/>
        <charset val="134"/>
      </rPr>
      <t>ANKYLOSAURUS VARIOS JUGUETES</t>
    </r>
  </si>
  <si>
    <r>
      <rPr>
        <sz val="8"/>
        <rFont val="Times New Roman"/>
        <charset val="134"/>
      </rPr>
      <t>HD3831</t>
    </r>
  </si>
  <si>
    <r>
      <rPr>
        <sz val="9"/>
        <rFont val="Microsoft Sans Serif"/>
        <charset val="134"/>
      </rPr>
      <t>ANTIFAS HD</t>
    </r>
  </si>
  <si>
    <r>
      <rPr>
        <sz val="8"/>
        <rFont val="Times New Roman"/>
        <charset val="134"/>
      </rPr>
      <t>HD3832</t>
    </r>
  </si>
  <si>
    <r>
      <rPr>
        <sz val="9"/>
        <rFont val="Microsoft Sans Serif"/>
        <charset val="134"/>
      </rPr>
      <t>ANTIFAS HD VARIOS</t>
    </r>
  </si>
  <si>
    <r>
      <rPr>
        <sz val="8"/>
        <rFont val="Times New Roman"/>
        <charset val="134"/>
      </rPr>
      <t>HD3833</t>
    </r>
  </si>
  <si>
    <r>
      <rPr>
        <sz val="9"/>
        <rFont val="Microsoft Sans Serif"/>
        <charset val="134"/>
      </rPr>
      <t>ANTIFAS HD.</t>
    </r>
  </si>
  <si>
    <r>
      <rPr>
        <sz val="8"/>
        <rFont val="Times New Roman"/>
        <charset val="134"/>
      </rPr>
      <t>HD3835</t>
    </r>
  </si>
  <si>
    <r>
      <rPr>
        <sz val="9"/>
        <rFont val="Microsoft Sans Serif"/>
        <charset val="134"/>
      </rPr>
      <t>ANTIFAS HD..</t>
    </r>
  </si>
  <si>
    <t>HD3834</t>
  </si>
  <si>
    <t>ANTIFAS TPR HD</t>
  </si>
  <si>
    <r>
      <rPr>
        <sz val="8"/>
        <rFont val="Times New Roman"/>
        <charset val="134"/>
      </rPr>
      <t>HD2026</t>
    </r>
  </si>
  <si>
    <r>
      <rPr>
        <sz val="9"/>
        <rFont val="Microsoft Sans Serif"/>
        <charset val="134"/>
      </rPr>
      <t>AQ9 WIRELESS USB TF FM</t>
    </r>
  </si>
  <si>
    <r>
      <rPr>
        <sz val="8"/>
        <rFont val="Times New Roman"/>
        <charset val="134"/>
      </rPr>
      <t>HD2552</t>
    </r>
  </si>
  <si>
    <r>
      <rPr>
        <sz val="9"/>
        <rFont val="Microsoft Sans Serif"/>
        <charset val="134"/>
      </rPr>
      <t>ARBOL NAVIDAD 150CM200T</t>
    </r>
  </si>
  <si>
    <r>
      <rPr>
        <sz val="8"/>
        <rFont val="Times New Roman"/>
        <charset val="134"/>
      </rPr>
      <t>HD2553</t>
    </r>
  </si>
  <si>
    <r>
      <rPr>
        <sz val="8"/>
        <rFont val="Times New Roman"/>
        <charset val="134"/>
      </rPr>
      <t>HD2554</t>
    </r>
  </si>
  <si>
    <r>
      <rPr>
        <sz val="9"/>
        <rFont val="Microsoft Sans Serif"/>
        <charset val="134"/>
      </rPr>
      <t>ARBOL NAVIDAD 180CM</t>
    </r>
  </si>
  <si>
    <r>
      <rPr>
        <sz val="8"/>
        <rFont val="Times New Roman"/>
        <charset val="134"/>
      </rPr>
      <t>HD2066</t>
    </r>
  </si>
  <si>
    <r>
      <rPr>
        <sz val="9"/>
        <rFont val="Microsoft Sans Serif"/>
        <charset val="134"/>
      </rPr>
      <t>ARMADOR BABY 5PZ</t>
    </r>
  </si>
  <si>
    <r>
      <rPr>
        <sz val="8"/>
        <rFont val="Times New Roman"/>
        <charset val="134"/>
      </rPr>
      <t>HD2074</t>
    </r>
  </si>
  <si>
    <r>
      <rPr>
        <sz val="9"/>
        <rFont val="Microsoft Sans Serif"/>
        <charset val="134"/>
      </rPr>
      <t>ARO DE LUZ FOTO 1,6CM</t>
    </r>
  </si>
  <si>
    <r>
      <rPr>
        <sz val="8"/>
        <rFont val="Times New Roman"/>
        <charset val="134"/>
      </rPr>
      <t>HD3328</t>
    </r>
  </si>
  <si>
    <r>
      <rPr>
        <sz val="9"/>
        <rFont val="Microsoft Sans Serif"/>
        <charset val="134"/>
      </rPr>
      <t>AS-60 AURICULARES BLUETOOTH 05/202</t>
    </r>
  </si>
  <si>
    <r>
      <rPr>
        <sz val="8"/>
        <rFont val="Times New Roman"/>
        <charset val="134"/>
      </rPr>
      <t>HD3312</t>
    </r>
  </si>
  <si>
    <r>
      <rPr>
        <sz val="9"/>
        <rFont val="Microsoft Sans Serif"/>
        <charset val="134"/>
      </rPr>
      <t>ASPIRADORA BARREDORA 05/2021</t>
    </r>
  </si>
  <si>
    <r>
      <rPr>
        <sz val="8"/>
        <rFont val="Times New Roman"/>
        <charset val="134"/>
      </rPr>
      <t>HD4044</t>
    </r>
  </si>
  <si>
    <r>
      <rPr>
        <sz val="9"/>
        <rFont val="Microsoft Sans Serif"/>
        <charset val="134"/>
      </rPr>
      <t>ATOMISADOR X2 HD</t>
    </r>
  </si>
  <si>
    <r>
      <rPr>
        <sz val="8"/>
        <rFont val="Times New Roman"/>
        <charset val="134"/>
      </rPr>
      <t>HD4045</t>
    </r>
  </si>
  <si>
    <r>
      <rPr>
        <sz val="9"/>
        <rFont val="Microsoft Sans Serif"/>
        <charset val="134"/>
      </rPr>
      <t>ATOMISADOR X2 HD.</t>
    </r>
  </si>
  <si>
    <r>
      <rPr>
        <sz val="8"/>
        <rFont val="Times New Roman"/>
        <charset val="134"/>
      </rPr>
      <t>HD3475</t>
    </r>
  </si>
  <si>
    <r>
      <rPr>
        <sz val="9"/>
        <rFont val="Microsoft Sans Serif"/>
        <charset val="134"/>
      </rPr>
      <t>AZULEJO YYA-03 HD ROSADO 70x77-5MM</t>
    </r>
  </si>
  <si>
    <r>
      <rPr>
        <sz val="8"/>
        <rFont val="Times New Roman"/>
        <charset val="134"/>
      </rPr>
      <t>HD3490</t>
    </r>
  </si>
  <si>
    <r>
      <rPr>
        <sz val="9"/>
        <rFont val="Microsoft Sans Serif"/>
        <charset val="134"/>
      </rPr>
      <t>AZULEJOS YYD-01 HD 70x77</t>
    </r>
  </si>
  <si>
    <r>
      <rPr>
        <sz val="8"/>
        <rFont val="Times New Roman"/>
        <charset val="134"/>
      </rPr>
      <t>HD3493</t>
    </r>
  </si>
  <si>
    <r>
      <rPr>
        <sz val="9"/>
        <rFont val="Microsoft Sans Serif"/>
        <charset val="134"/>
      </rPr>
      <t>AZULEJOS YYD-24 HD 70x77</t>
    </r>
  </si>
  <si>
    <r>
      <rPr>
        <sz val="8"/>
        <rFont val="Times New Roman"/>
        <charset val="134"/>
      </rPr>
      <t>HD3137</t>
    </r>
  </si>
  <si>
    <r>
      <rPr>
        <sz val="9"/>
        <rFont val="Microsoft Sans Serif"/>
        <charset val="134"/>
      </rPr>
      <t>B&amp;H001-820476 CAMARA 05/2021</t>
    </r>
  </si>
  <si>
    <r>
      <rPr>
        <sz val="8"/>
        <rFont val="Times New Roman"/>
        <charset val="134"/>
      </rPr>
      <t>RFD432510</t>
    </r>
  </si>
  <si>
    <r>
      <rPr>
        <sz val="9"/>
        <rFont val="Microsoft Sans Serif"/>
        <charset val="134"/>
      </rPr>
      <t>B/O SWIM DOLPHIN JUGUETES</t>
    </r>
  </si>
  <si>
    <r>
      <rPr>
        <sz val="8"/>
        <rFont val="Times New Roman"/>
        <charset val="134"/>
      </rPr>
      <t>RFD393310</t>
    </r>
  </si>
  <si>
    <r>
      <rPr>
        <sz val="9"/>
        <rFont val="Microsoft Sans Serif"/>
        <charset val="134"/>
      </rPr>
      <t>BABY GAME HANDLE 6 PCS</t>
    </r>
  </si>
  <si>
    <r>
      <rPr>
        <sz val="8"/>
        <rFont val="Times New Roman"/>
        <charset val="134"/>
      </rPr>
      <t>RFD304846</t>
    </r>
  </si>
  <si>
    <r>
      <rPr>
        <sz val="9"/>
        <rFont val="Microsoft Sans Serif"/>
        <charset val="134"/>
      </rPr>
      <t>BABY SET MUSIC GUSANO JUGUETE</t>
    </r>
  </si>
  <si>
    <r>
      <rPr>
        <sz val="8"/>
        <rFont val="Times New Roman"/>
        <charset val="134"/>
      </rPr>
      <t>RFD295387</t>
    </r>
  </si>
  <si>
    <r>
      <rPr>
        <sz val="9"/>
        <rFont val="Microsoft Sans Serif"/>
        <charset val="134"/>
      </rPr>
      <t>BABY SET MUSIC JUGUETE</t>
    </r>
  </si>
  <si>
    <r>
      <rPr>
        <sz val="8"/>
        <rFont val="Times New Roman"/>
        <charset val="134"/>
      </rPr>
      <t>RFD295365</t>
    </r>
  </si>
  <si>
    <r>
      <rPr>
        <sz val="9"/>
        <rFont val="Microsoft Sans Serif"/>
        <charset val="134"/>
      </rPr>
      <t>BABY SET MUSIC PHONE JUGUETE</t>
    </r>
  </si>
  <si>
    <r>
      <rPr>
        <sz val="8"/>
        <rFont val="Times New Roman"/>
        <charset val="134"/>
      </rPr>
      <t>RFD426165</t>
    </r>
  </si>
  <si>
    <r>
      <rPr>
        <sz val="9"/>
        <rFont val="Microsoft Sans Serif"/>
        <charset val="134"/>
      </rPr>
      <t>BABYY TEETHER RATTLE JUGUETES</t>
    </r>
  </si>
  <si>
    <r>
      <rPr>
        <sz val="8"/>
        <rFont val="Times New Roman"/>
        <charset val="134"/>
      </rPr>
      <t>RFD429860</t>
    </r>
  </si>
  <si>
    <r>
      <rPr>
        <sz val="9"/>
        <rFont val="Microsoft Sans Serif"/>
        <charset val="134"/>
      </rPr>
      <t>BAG ANIMAL JUGUETES</t>
    </r>
  </si>
  <si>
    <r>
      <rPr>
        <sz val="8"/>
        <rFont val="Times New Roman"/>
        <charset val="134"/>
      </rPr>
      <t>HD3662</t>
    </r>
  </si>
  <si>
    <r>
      <rPr>
        <sz val="9"/>
        <rFont val="Microsoft Sans Serif"/>
        <charset val="134"/>
      </rPr>
      <t>BALANCIN ABDOMINAL XY-YW HD SUCTION SIT UP</t>
    </r>
  </si>
  <si>
    <r>
      <rPr>
        <sz val="8"/>
        <rFont val="Times New Roman"/>
        <charset val="134"/>
      </rPr>
      <t>HD4033</t>
    </r>
  </si>
  <si>
    <r>
      <rPr>
        <sz val="9"/>
        <rFont val="Microsoft Sans Serif"/>
        <charset val="134"/>
      </rPr>
      <t>BALANZA CORPORAL HD G</t>
    </r>
  </si>
  <si>
    <r>
      <rPr>
        <sz val="8"/>
        <rFont val="Times New Roman"/>
        <charset val="134"/>
      </rPr>
      <t>HD4032</t>
    </r>
  </si>
  <si>
    <r>
      <rPr>
        <sz val="9"/>
        <rFont val="Microsoft Sans Serif"/>
        <charset val="134"/>
      </rPr>
      <t>BALANZA CORPORAL HD P</t>
    </r>
  </si>
  <si>
    <r>
      <rPr>
        <sz val="8"/>
        <rFont val="Times New Roman"/>
        <charset val="134"/>
      </rPr>
      <t>HD4497</t>
    </r>
  </si>
  <si>
    <r>
      <rPr>
        <sz val="9"/>
        <rFont val="Microsoft Sans Serif"/>
        <charset val="134"/>
      </rPr>
      <t>BALD PEGAR</t>
    </r>
  </si>
  <si>
    <r>
      <rPr>
        <sz val="9"/>
        <rFont val="Microsoft Sans Serif"/>
        <charset val="134"/>
      </rPr>
      <t>BALSAMO LABIAL PERMANENTE</t>
    </r>
  </si>
  <si>
    <r>
      <rPr>
        <sz val="8"/>
        <rFont val="Times New Roman"/>
        <charset val="134"/>
      </rPr>
      <t>HD3947</t>
    </r>
  </si>
  <si>
    <r>
      <rPr>
        <sz val="9"/>
        <rFont val="Microsoft Sans Serif"/>
        <charset val="134"/>
      </rPr>
      <t>BANDA ELASTICA A07 HD X300</t>
    </r>
  </si>
  <si>
    <r>
      <rPr>
        <sz val="8"/>
        <rFont val="Times New Roman"/>
        <charset val="134"/>
      </rPr>
      <t>HD3948</t>
    </r>
  </si>
  <si>
    <r>
      <rPr>
        <sz val="9"/>
        <rFont val="Microsoft Sans Serif"/>
        <charset val="134"/>
      </rPr>
      <t>BANDA ELASTICA A07X300 HD</t>
    </r>
  </si>
  <si>
    <r>
      <rPr>
        <sz val="8"/>
        <rFont val="Times New Roman"/>
        <charset val="134"/>
      </rPr>
      <t>HD3946</t>
    </r>
  </si>
  <si>
    <r>
      <rPr>
        <sz val="9"/>
        <rFont val="Microsoft Sans Serif"/>
        <charset val="134"/>
      </rPr>
      <t>BANDA ELASTICA A08 HD SOLO COLORX300</t>
    </r>
  </si>
  <si>
    <r>
      <rPr>
        <sz val="8"/>
        <rFont val="Times New Roman"/>
        <charset val="134"/>
      </rPr>
      <t>HD3665</t>
    </r>
  </si>
  <si>
    <r>
      <rPr>
        <sz val="9"/>
        <rFont val="Microsoft Sans Serif"/>
        <charset val="134"/>
      </rPr>
      <t>BANDA ELASTICA YX-8Z HD</t>
    </r>
  </si>
  <si>
    <r>
      <rPr>
        <sz val="8"/>
        <rFont val="Times New Roman"/>
        <charset val="134"/>
      </rPr>
      <t>HD3219</t>
    </r>
  </si>
  <si>
    <r>
      <rPr>
        <sz val="9"/>
        <rFont val="Microsoft Sans Serif"/>
        <charset val="134"/>
      </rPr>
      <t>BANDEJA PORTA CARPETA PLASTICA X3 AZUL 05/202</t>
    </r>
  </si>
  <si>
    <r>
      <rPr>
        <sz val="8"/>
        <rFont val="Times New Roman"/>
        <charset val="134"/>
      </rPr>
      <t>HD3463</t>
    </r>
  </si>
  <si>
    <r>
      <rPr>
        <sz val="9"/>
        <rFont val="Microsoft Sans Serif"/>
        <charset val="134"/>
      </rPr>
      <t>BANERA BABY 186 HD</t>
    </r>
  </si>
  <si>
    <r>
      <rPr>
        <sz val="9"/>
        <rFont val="Microsoft Sans Serif"/>
        <charset val="134"/>
      </rPr>
      <t>BASE PARA OLLA MADERA HD CUADRADO</t>
    </r>
  </si>
  <si>
    <r>
      <rPr>
        <sz val="8"/>
        <rFont val="Times New Roman"/>
        <charset val="134"/>
      </rPr>
      <t>HD3805-1</t>
    </r>
  </si>
  <si>
    <r>
      <rPr>
        <sz val="8"/>
        <rFont val="Times New Roman"/>
        <charset val="134"/>
      </rPr>
      <t>HD3806</t>
    </r>
  </si>
  <si>
    <r>
      <rPr>
        <sz val="9"/>
        <rFont val="Microsoft Sans Serif"/>
        <charset val="134"/>
      </rPr>
      <t>BASE PARA OLLA MADERA HD REDONDO</t>
    </r>
  </si>
  <si>
    <r>
      <rPr>
        <sz val="8"/>
        <rFont val="Times New Roman"/>
        <charset val="134"/>
      </rPr>
      <t>HD3341</t>
    </r>
  </si>
  <si>
    <r>
      <rPr>
        <sz val="9"/>
        <rFont val="Microsoft Sans Serif"/>
        <charset val="134"/>
      </rPr>
      <t>BASE TOALLA 05/2021 1,5M</t>
    </r>
  </si>
  <si>
    <r>
      <rPr>
        <sz val="8"/>
        <rFont val="Times New Roman"/>
        <charset val="134"/>
      </rPr>
      <t>HD3342</t>
    </r>
  </si>
  <si>
    <r>
      <rPr>
        <sz val="9"/>
        <rFont val="Microsoft Sans Serif"/>
        <charset val="134"/>
      </rPr>
      <t>BASE TOALLA 05/2021 2MTS</t>
    </r>
  </si>
  <si>
    <r>
      <rPr>
        <sz val="8"/>
        <rFont val="Times New Roman"/>
        <charset val="134"/>
      </rPr>
      <t>HD3343</t>
    </r>
  </si>
  <si>
    <r>
      <rPr>
        <sz val="9"/>
        <rFont val="Microsoft Sans Serif"/>
        <charset val="134"/>
      </rPr>
      <t>BASE TOALLA 05/2021 3MTS</t>
    </r>
  </si>
  <si>
    <r>
      <rPr>
        <sz val="8"/>
        <rFont val="Times New Roman"/>
        <charset val="134"/>
      </rPr>
      <t>RFD414728</t>
    </r>
  </si>
  <si>
    <r>
      <rPr>
        <sz val="9"/>
        <rFont val="Microsoft Sans Serif"/>
        <charset val="134"/>
      </rPr>
      <t>BEACH BOAT 18 PCS JUGUETES</t>
    </r>
  </si>
  <si>
    <r>
      <rPr>
        <sz val="8"/>
        <rFont val="Times New Roman"/>
        <charset val="134"/>
      </rPr>
      <t>RFD323655</t>
    </r>
  </si>
  <si>
    <r>
      <rPr>
        <sz val="9"/>
        <rFont val="Microsoft Sans Serif"/>
        <charset val="134"/>
      </rPr>
      <t>BIBI SOOTHE HEDGEHOG</t>
    </r>
  </si>
  <si>
    <r>
      <rPr>
        <sz val="8"/>
        <rFont val="Times New Roman"/>
        <charset val="134"/>
      </rPr>
      <t>HD566</t>
    </r>
  </si>
  <si>
    <r>
      <rPr>
        <sz val="9"/>
        <rFont val="Microsoft Sans Serif"/>
        <charset val="134"/>
      </rPr>
      <t>BICI ELEC CH/3943</t>
    </r>
  </si>
  <si>
    <r>
      <rPr>
        <sz val="8"/>
        <rFont val="Times New Roman"/>
        <charset val="134"/>
      </rPr>
      <t>HD481</t>
    </r>
  </si>
  <si>
    <r>
      <rPr>
        <sz val="9"/>
        <rFont val="Microsoft Sans Serif"/>
        <charset val="134"/>
      </rPr>
      <t>BILLETERA A08</t>
    </r>
  </si>
  <si>
    <r>
      <rPr>
        <sz val="8"/>
        <rFont val="Times New Roman"/>
        <charset val="134"/>
      </rPr>
      <t>HD409</t>
    </r>
  </si>
  <si>
    <r>
      <rPr>
        <sz val="9"/>
        <rFont val="Microsoft Sans Serif"/>
        <charset val="134"/>
      </rPr>
      <t>BILLETERA PARA MONEDA L67</t>
    </r>
  </si>
  <si>
    <r>
      <rPr>
        <sz val="8"/>
        <rFont val="Times New Roman"/>
        <charset val="134"/>
      </rPr>
      <t>HD204</t>
    </r>
  </si>
  <si>
    <r>
      <rPr>
        <sz val="9"/>
        <rFont val="Microsoft Sans Serif"/>
        <charset val="134"/>
      </rPr>
      <t>BILLETERA TAILIAN</t>
    </r>
  </si>
  <si>
    <r>
      <rPr>
        <sz val="8"/>
        <rFont val="Times New Roman"/>
        <charset val="134"/>
      </rPr>
      <t>HD3327</t>
    </r>
  </si>
  <si>
    <r>
      <rPr>
        <sz val="9"/>
        <rFont val="Microsoft Sans Serif"/>
        <charset val="134"/>
      </rPr>
      <t>BK-1 AURICULARES BLUETOOTH 05/2021</t>
    </r>
  </si>
  <si>
    <r>
      <rPr>
        <sz val="8"/>
        <rFont val="Times New Roman"/>
        <charset val="134"/>
      </rPr>
      <t>HD3300</t>
    </r>
  </si>
  <si>
    <r>
      <rPr>
        <sz val="9"/>
        <rFont val="Microsoft Sans Serif"/>
        <charset val="134"/>
      </rPr>
      <t>BLANCO MASAJEADOR CHINA</t>
    </r>
  </si>
  <si>
    <r>
      <rPr>
        <sz val="8"/>
        <rFont val="Times New Roman"/>
        <charset val="134"/>
      </rPr>
      <t>HD3111</t>
    </r>
  </si>
  <si>
    <r>
      <rPr>
        <sz val="9"/>
        <rFont val="Microsoft Sans Serif"/>
        <charset val="134"/>
      </rPr>
      <t>BM6018-1 CAMINADOR + MICROFONO BABY</t>
    </r>
  </si>
  <si>
    <r>
      <rPr>
        <sz val="8"/>
        <rFont val="Times New Roman"/>
        <charset val="134"/>
      </rPr>
      <t>HD4292</t>
    </r>
  </si>
  <si>
    <r>
      <rPr>
        <sz val="9"/>
        <rFont val="Microsoft Sans Serif"/>
        <charset val="134"/>
      </rPr>
      <t>BOLIGRAFO HD</t>
    </r>
  </si>
  <si>
    <r>
      <rPr>
        <sz val="8"/>
        <rFont val="Times New Roman"/>
        <charset val="134"/>
      </rPr>
      <t>HD4276</t>
    </r>
  </si>
  <si>
    <r>
      <rPr>
        <sz val="9"/>
        <rFont val="Microsoft Sans Serif"/>
        <charset val="134"/>
      </rPr>
      <t>BOLIGRAFO HD 3 PCS GPP023A</t>
    </r>
  </si>
  <si>
    <r>
      <rPr>
        <sz val="8"/>
        <rFont val="Times New Roman"/>
        <charset val="134"/>
      </rPr>
      <t>HD4264</t>
    </r>
  </si>
  <si>
    <r>
      <rPr>
        <sz val="9"/>
        <rFont val="Microsoft Sans Serif"/>
        <charset val="134"/>
      </rPr>
      <t>BOLIGRAFO HD 703</t>
    </r>
  </si>
  <si>
    <r>
      <rPr>
        <sz val="8"/>
        <rFont val="Times New Roman"/>
        <charset val="134"/>
      </rPr>
      <t>HD4261</t>
    </r>
  </si>
  <si>
    <r>
      <rPr>
        <sz val="9"/>
        <rFont val="Microsoft Sans Serif"/>
        <charset val="134"/>
      </rPr>
      <t>BOLIGRAFO HD G-12652</t>
    </r>
  </si>
  <si>
    <r>
      <rPr>
        <sz val="8"/>
        <rFont val="Times New Roman"/>
        <charset val="134"/>
      </rPr>
      <t>HD4260</t>
    </r>
  </si>
  <si>
    <r>
      <rPr>
        <sz val="9"/>
        <rFont val="Microsoft Sans Serif"/>
        <charset val="134"/>
      </rPr>
      <t>BOLIGRAFO HD G-12653</t>
    </r>
  </si>
  <si>
    <r>
      <rPr>
        <sz val="8"/>
        <rFont val="Times New Roman"/>
        <charset val="134"/>
      </rPr>
      <t>HD4262</t>
    </r>
  </si>
  <si>
    <r>
      <rPr>
        <sz val="9"/>
        <rFont val="Microsoft Sans Serif"/>
        <charset val="134"/>
      </rPr>
      <t>BOLIGRAFO HD GATES Q7</t>
    </r>
  </si>
  <si>
    <r>
      <rPr>
        <sz val="8"/>
        <rFont val="Times New Roman"/>
        <charset val="134"/>
      </rPr>
      <t>HD4291</t>
    </r>
  </si>
  <si>
    <r>
      <rPr>
        <sz val="9"/>
        <rFont val="Microsoft Sans Serif"/>
        <charset val="134"/>
      </rPr>
      <t>BOLIGRAFO HD GT31796</t>
    </r>
  </si>
  <si>
    <r>
      <rPr>
        <sz val="8"/>
        <rFont val="Times New Roman"/>
        <charset val="134"/>
      </rPr>
      <t>HD4286</t>
    </r>
  </si>
  <si>
    <r>
      <rPr>
        <sz val="9"/>
        <rFont val="Microsoft Sans Serif"/>
        <charset val="134"/>
      </rPr>
      <t>BOLIGRAFO HD K1410 NEGRO</t>
    </r>
  </si>
  <si>
    <r>
      <rPr>
        <sz val="8"/>
        <rFont val="Times New Roman"/>
        <charset val="134"/>
      </rPr>
      <t>HD4267</t>
    </r>
  </si>
  <si>
    <r>
      <rPr>
        <sz val="9"/>
        <rFont val="Microsoft Sans Serif"/>
        <charset val="134"/>
      </rPr>
      <t>BOLIGRAFO HD RESALTADOR MB-666</t>
    </r>
  </si>
  <si>
    <r>
      <rPr>
        <sz val="8"/>
        <rFont val="Times New Roman"/>
        <charset val="134"/>
      </rPr>
      <t>HD4263</t>
    </r>
  </si>
  <si>
    <r>
      <rPr>
        <sz val="9"/>
        <rFont val="Microsoft Sans Serif"/>
        <charset val="134"/>
      </rPr>
      <t>BOLIGRAFO HD ZUIXUA 0.4</t>
    </r>
  </si>
  <si>
    <r>
      <rPr>
        <sz val="9"/>
        <rFont val="Microsoft Sans Serif"/>
        <charset val="134"/>
      </rPr>
      <t>BOLSA DE REGALO</t>
    </r>
  </si>
  <si>
    <r>
      <rPr>
        <sz val="8"/>
        <rFont val="Times New Roman"/>
        <charset val="134"/>
      </rPr>
      <t>HD3868</t>
    </r>
  </si>
  <si>
    <r>
      <rPr>
        <sz val="9"/>
        <rFont val="Microsoft Sans Serif"/>
        <charset val="134"/>
      </rPr>
      <t>BOLSA DE REGALO 277 HD M</t>
    </r>
  </si>
  <si>
    <r>
      <rPr>
        <sz val="8"/>
        <rFont val="Times New Roman"/>
        <charset val="134"/>
      </rPr>
      <t>HD3888</t>
    </r>
  </si>
  <si>
    <r>
      <rPr>
        <sz val="9"/>
        <rFont val="Microsoft Sans Serif"/>
        <charset val="134"/>
      </rPr>
      <t>BOLSA DE REGALO 287 HD M</t>
    </r>
  </si>
  <si>
    <r>
      <rPr>
        <sz val="8"/>
        <rFont val="Times New Roman"/>
        <charset val="134"/>
      </rPr>
      <t>HD3898</t>
    </r>
  </si>
  <si>
    <r>
      <rPr>
        <sz val="9"/>
        <rFont val="Microsoft Sans Serif"/>
        <charset val="134"/>
      </rPr>
      <t>BOLSA DE REGALO 291 HD M</t>
    </r>
  </si>
  <si>
    <r>
      <rPr>
        <sz val="8"/>
        <rFont val="Times New Roman"/>
        <charset val="134"/>
      </rPr>
      <t>HD3878</t>
    </r>
  </si>
  <si>
    <r>
      <rPr>
        <sz val="9"/>
        <rFont val="Microsoft Sans Serif"/>
        <charset val="134"/>
      </rPr>
      <t>BOLSA DE REGALO 305 HD S</t>
    </r>
  </si>
  <si>
    <r>
      <rPr>
        <sz val="8"/>
        <rFont val="Times New Roman"/>
        <charset val="134"/>
      </rPr>
      <t>HD3927</t>
    </r>
  </si>
  <si>
    <r>
      <rPr>
        <sz val="9"/>
        <rFont val="Microsoft Sans Serif"/>
        <charset val="134"/>
      </rPr>
      <t>BOLSA DE REGALO HD 333 L</t>
    </r>
  </si>
  <si>
    <r>
      <rPr>
        <sz val="8"/>
        <rFont val="Times New Roman"/>
        <charset val="134"/>
      </rPr>
      <t>HD3924</t>
    </r>
  </si>
  <si>
    <r>
      <rPr>
        <sz val="9"/>
        <rFont val="Microsoft Sans Serif"/>
        <charset val="134"/>
      </rPr>
      <t>BOLSA DE REGALO HD 333 S</t>
    </r>
  </si>
  <si>
    <r>
      <rPr>
        <sz val="8"/>
        <rFont val="Times New Roman"/>
        <charset val="134"/>
      </rPr>
      <t>HD3925</t>
    </r>
  </si>
  <si>
    <r>
      <rPr>
        <sz val="8"/>
        <rFont val="Times New Roman"/>
        <charset val="134"/>
      </rPr>
      <t>HD3932</t>
    </r>
  </si>
  <si>
    <r>
      <rPr>
        <sz val="9"/>
        <rFont val="Microsoft Sans Serif"/>
        <charset val="134"/>
      </rPr>
      <t>BOLSA DE REGALO HD 340 L</t>
    </r>
  </si>
  <si>
    <r>
      <rPr>
        <sz val="8"/>
        <rFont val="Times New Roman"/>
        <charset val="134"/>
      </rPr>
      <t>HD3934</t>
    </r>
  </si>
  <si>
    <r>
      <rPr>
        <sz val="9"/>
        <rFont val="Microsoft Sans Serif"/>
        <charset val="134"/>
      </rPr>
      <t>BOLSA DE REGALO HD 356 S</t>
    </r>
  </si>
  <si>
    <r>
      <rPr>
        <sz val="8"/>
        <rFont val="Times New Roman"/>
        <charset val="134"/>
      </rPr>
      <t>HD3939</t>
    </r>
  </si>
  <si>
    <r>
      <rPr>
        <sz val="9"/>
        <rFont val="Microsoft Sans Serif"/>
        <charset val="134"/>
      </rPr>
      <t>BOLSA DE REGALO HD 365</t>
    </r>
  </si>
  <si>
    <r>
      <rPr>
        <sz val="8"/>
        <rFont val="Times New Roman"/>
        <charset val="134"/>
      </rPr>
      <t>HD3940</t>
    </r>
  </si>
  <si>
    <r>
      <rPr>
        <sz val="9"/>
        <rFont val="Microsoft Sans Serif"/>
        <charset val="134"/>
      </rPr>
      <t>BOLSA DE REGALO HD 365 L</t>
    </r>
  </si>
  <si>
    <r>
      <rPr>
        <sz val="8"/>
        <rFont val="Times New Roman"/>
        <charset val="134"/>
      </rPr>
      <t>HD3943</t>
    </r>
  </si>
  <si>
    <r>
      <rPr>
        <sz val="9"/>
        <rFont val="Microsoft Sans Serif"/>
        <charset val="134"/>
      </rPr>
      <t>BOLSA DE REGALO HD 366 L</t>
    </r>
  </si>
  <si>
    <r>
      <rPr>
        <sz val="8"/>
        <rFont val="Times New Roman"/>
        <charset val="134"/>
      </rPr>
      <t>HD3874</t>
    </r>
  </si>
  <si>
    <r>
      <rPr>
        <sz val="9"/>
        <rFont val="Microsoft Sans Serif"/>
        <charset val="134"/>
      </rPr>
      <t>BOLSADE REGALO 267 HD L</t>
    </r>
  </si>
  <si>
    <r>
      <rPr>
        <sz val="8"/>
        <rFont val="Times New Roman"/>
        <charset val="134"/>
      </rPr>
      <t>HD3877</t>
    </r>
  </si>
  <si>
    <r>
      <rPr>
        <sz val="9"/>
        <rFont val="Microsoft Sans Serif"/>
        <charset val="134"/>
      </rPr>
      <t>BOLSADE REGALO 279 HD L</t>
    </r>
  </si>
  <si>
    <r>
      <rPr>
        <sz val="8"/>
        <rFont val="Times New Roman"/>
        <charset val="134"/>
      </rPr>
      <t>HD3886-1</t>
    </r>
  </si>
  <si>
    <r>
      <rPr>
        <sz val="9"/>
        <rFont val="Microsoft Sans Serif"/>
        <charset val="134"/>
      </rPr>
      <t>BOLSADE REGALO 282 HD</t>
    </r>
  </si>
  <si>
    <r>
      <rPr>
        <sz val="8"/>
        <rFont val="Times New Roman"/>
        <charset val="134"/>
      </rPr>
      <t>HD3899</t>
    </r>
  </si>
  <si>
    <r>
      <rPr>
        <sz val="9"/>
        <rFont val="Microsoft Sans Serif"/>
        <charset val="134"/>
      </rPr>
      <t>BOLSADE REGALO 291 HD L</t>
    </r>
  </si>
  <si>
    <r>
      <rPr>
        <sz val="8"/>
        <rFont val="Times New Roman"/>
        <charset val="134"/>
      </rPr>
      <t>HD3904</t>
    </r>
  </si>
  <si>
    <r>
      <rPr>
        <sz val="9"/>
        <rFont val="Microsoft Sans Serif"/>
        <charset val="134"/>
      </rPr>
      <t>BOLSADE REGALO 294 HD M</t>
    </r>
  </si>
  <si>
    <r>
      <rPr>
        <sz val="8"/>
        <rFont val="Times New Roman"/>
        <charset val="134"/>
      </rPr>
      <t>HD3917</t>
    </r>
  </si>
  <si>
    <r>
      <rPr>
        <sz val="9"/>
        <rFont val="Microsoft Sans Serif"/>
        <charset val="134"/>
      </rPr>
      <t>BOLSADE REGALO 301 HD L</t>
    </r>
  </si>
  <si>
    <r>
      <rPr>
        <sz val="8"/>
        <rFont val="Times New Roman"/>
        <charset val="134"/>
      </rPr>
      <t>HD3933</t>
    </r>
  </si>
  <si>
    <r>
      <rPr>
        <sz val="9"/>
        <rFont val="Microsoft Sans Serif"/>
        <charset val="134"/>
      </rPr>
      <t>BOLSADE REGALO 356 HD XS</t>
    </r>
  </si>
  <si>
    <r>
      <rPr>
        <sz val="8"/>
        <rFont val="Times New Roman"/>
        <charset val="134"/>
      </rPr>
      <t>HD3938</t>
    </r>
  </si>
  <si>
    <r>
      <rPr>
        <sz val="9"/>
        <rFont val="Microsoft Sans Serif"/>
        <charset val="134"/>
      </rPr>
      <t>BOLSADE REGALO 365 PVC HD</t>
    </r>
  </si>
  <si>
    <r>
      <rPr>
        <sz val="8"/>
        <rFont val="Times New Roman"/>
        <charset val="134"/>
      </rPr>
      <t>HD3942</t>
    </r>
  </si>
  <si>
    <r>
      <rPr>
        <sz val="9"/>
        <rFont val="Microsoft Sans Serif"/>
        <charset val="134"/>
      </rPr>
      <t>BOLSADE REGALO 366 PVC HD M</t>
    </r>
  </si>
  <si>
    <r>
      <rPr>
        <sz val="8"/>
        <rFont val="Times New Roman"/>
        <charset val="134"/>
      </rPr>
      <t>HD3941</t>
    </r>
  </si>
  <si>
    <r>
      <rPr>
        <sz val="9"/>
        <rFont val="Microsoft Sans Serif"/>
        <charset val="134"/>
      </rPr>
      <t>BOLSADE REGALO 366 PVC HD S</t>
    </r>
  </si>
  <si>
    <r>
      <rPr>
        <sz val="8"/>
        <rFont val="Times New Roman"/>
        <charset val="134"/>
      </rPr>
      <t>HD6969</t>
    </r>
  </si>
  <si>
    <r>
      <rPr>
        <sz val="9"/>
        <rFont val="Microsoft Sans Serif"/>
        <charset val="134"/>
      </rPr>
      <t>Bolso Niña</t>
    </r>
  </si>
  <si>
    <r>
      <rPr>
        <sz val="8"/>
        <rFont val="Times New Roman"/>
        <charset val="134"/>
      </rPr>
      <t>HD3471</t>
    </r>
  </si>
  <si>
    <r>
      <rPr>
        <sz val="9"/>
        <rFont val="Microsoft Sans Serif"/>
        <charset val="134"/>
      </rPr>
      <t>BOLSO TERMICA HD COOLBOY 30L</t>
    </r>
  </si>
  <si>
    <r>
      <rPr>
        <sz val="8"/>
        <rFont val="Times New Roman"/>
        <charset val="134"/>
      </rPr>
      <t>HD4046</t>
    </r>
  </si>
  <si>
    <r>
      <rPr>
        <sz val="9"/>
        <rFont val="Microsoft Sans Serif"/>
        <charset val="134"/>
      </rPr>
      <t>BOMBA DE AGUA HD 2L</t>
    </r>
  </si>
  <si>
    <r>
      <rPr>
        <sz val="8"/>
        <rFont val="Times New Roman"/>
        <charset val="134"/>
      </rPr>
      <t>HD302</t>
    </r>
  </si>
  <si>
    <r>
      <rPr>
        <sz val="9"/>
        <rFont val="Microsoft Sans Serif"/>
        <charset val="134"/>
      </rPr>
      <t>BONSAI</t>
    </r>
  </si>
  <si>
    <r>
      <rPr>
        <sz val="8"/>
        <rFont val="Times New Roman"/>
        <charset val="134"/>
      </rPr>
      <t>HD7002</t>
    </r>
  </si>
  <si>
    <r>
      <rPr>
        <sz val="9"/>
        <rFont val="Microsoft Sans Serif"/>
        <charset val="134"/>
      </rPr>
      <t>Bonsai 2 tallos arbol</t>
    </r>
  </si>
  <si>
    <r>
      <rPr>
        <sz val="8"/>
        <rFont val="Times New Roman"/>
        <charset val="134"/>
      </rPr>
      <t>HD3789</t>
    </r>
  </si>
  <si>
    <r>
      <rPr>
        <sz val="9"/>
        <rFont val="Microsoft Sans Serif"/>
        <charset val="134"/>
      </rPr>
      <t>BONSAI DE FLORES 666249 HD 073</t>
    </r>
  </si>
  <si>
    <r>
      <rPr>
        <sz val="8"/>
        <rFont val="Times New Roman"/>
        <charset val="134"/>
      </rPr>
      <t>HD3794</t>
    </r>
  </si>
  <si>
    <r>
      <rPr>
        <sz val="9"/>
        <rFont val="Microsoft Sans Serif"/>
        <charset val="134"/>
      </rPr>
      <t>BONSAI DE FLORES 666350 HD</t>
    </r>
  </si>
  <si>
    <r>
      <rPr>
        <sz val="8"/>
        <rFont val="Times New Roman"/>
        <charset val="134"/>
      </rPr>
      <t>HD3769</t>
    </r>
  </si>
  <si>
    <r>
      <rPr>
        <sz val="9"/>
        <rFont val="Microsoft Sans Serif"/>
        <charset val="134"/>
      </rPr>
      <t>BONSAI DE FLORES 666549 HD 7*20</t>
    </r>
  </si>
  <si>
    <r>
      <rPr>
        <sz val="8"/>
        <rFont val="Times New Roman"/>
        <charset val="134"/>
      </rPr>
      <t>HD3768</t>
    </r>
  </si>
  <si>
    <r>
      <rPr>
        <sz val="9"/>
        <rFont val="Microsoft Sans Serif"/>
        <charset val="134"/>
      </rPr>
      <t>BONSAI DE FLORES FAL HD</t>
    </r>
  </si>
  <si>
    <r>
      <rPr>
        <sz val="8"/>
        <rFont val="Times New Roman"/>
        <charset val="134"/>
      </rPr>
      <t>HD3770</t>
    </r>
  </si>
  <si>
    <r>
      <rPr>
        <sz val="9"/>
        <rFont val="Microsoft Sans Serif"/>
        <charset val="134"/>
      </rPr>
      <t>BONSAI DE FLORES FAL SUAVE HD</t>
    </r>
  </si>
  <si>
    <r>
      <rPr>
        <sz val="8"/>
        <rFont val="Times New Roman"/>
        <charset val="134"/>
      </rPr>
      <t>HD3781</t>
    </r>
  </si>
  <si>
    <r>
      <rPr>
        <sz val="8"/>
        <rFont val="Times New Roman"/>
        <charset val="134"/>
      </rPr>
      <t>HD3771</t>
    </r>
  </si>
  <si>
    <r>
      <rPr>
        <sz val="9"/>
        <rFont val="Microsoft Sans Serif"/>
        <charset val="134"/>
      </rPr>
      <t>BONSAI DE FLORES FAL SUAVE HD.</t>
    </r>
  </si>
  <si>
    <r>
      <rPr>
        <sz val="8"/>
        <rFont val="Times New Roman"/>
        <charset val="134"/>
      </rPr>
      <t>HD3772</t>
    </r>
  </si>
  <si>
    <r>
      <rPr>
        <sz val="9"/>
        <rFont val="Microsoft Sans Serif"/>
        <charset val="134"/>
      </rPr>
      <t>BONSAI DE FLORES FAL SUAVE HD..</t>
    </r>
  </si>
  <si>
    <r>
      <rPr>
        <sz val="8"/>
        <rFont val="Times New Roman"/>
        <charset val="134"/>
      </rPr>
      <t>HD3784</t>
    </r>
  </si>
  <si>
    <r>
      <rPr>
        <sz val="9"/>
        <rFont val="Microsoft Sans Serif"/>
        <charset val="134"/>
      </rPr>
      <t>BONSAI DE FLORES FAL SUAVE HD….</t>
    </r>
  </si>
  <si>
    <r>
      <rPr>
        <sz val="8"/>
        <rFont val="Times New Roman"/>
        <charset val="134"/>
      </rPr>
      <t>HD3782</t>
    </r>
  </si>
  <si>
    <r>
      <rPr>
        <sz val="9"/>
        <rFont val="Microsoft Sans Serif"/>
        <charset val="134"/>
      </rPr>
      <t>BONSAI DE FLORES FAL SUAVE HD…..</t>
    </r>
  </si>
  <si>
    <r>
      <rPr>
        <sz val="8"/>
        <rFont val="Times New Roman"/>
        <charset val="134"/>
      </rPr>
      <t>HD3788</t>
    </r>
  </si>
  <si>
    <r>
      <rPr>
        <sz val="9"/>
        <rFont val="Microsoft Sans Serif"/>
        <charset val="134"/>
      </rPr>
      <t>BONSAI DE FLORES FAL SUAVE HD……</t>
    </r>
  </si>
  <si>
    <r>
      <rPr>
        <sz val="8"/>
        <rFont val="Times New Roman"/>
        <charset val="134"/>
      </rPr>
      <t>HD3773</t>
    </r>
  </si>
  <si>
    <r>
      <rPr>
        <sz val="9"/>
        <rFont val="Microsoft Sans Serif"/>
        <charset val="134"/>
      </rPr>
      <t>BONSAI DE FLORES FALSAS HD</t>
    </r>
  </si>
  <si>
    <r>
      <rPr>
        <sz val="8"/>
        <rFont val="Times New Roman"/>
        <charset val="134"/>
      </rPr>
      <t>HD3780</t>
    </r>
  </si>
  <si>
    <r>
      <rPr>
        <sz val="8"/>
        <rFont val="Times New Roman"/>
        <charset val="134"/>
      </rPr>
      <t>HD3786</t>
    </r>
  </si>
  <si>
    <r>
      <rPr>
        <sz val="8"/>
        <rFont val="Times New Roman"/>
        <charset val="134"/>
      </rPr>
      <t>HD3787</t>
    </r>
  </si>
  <si>
    <r>
      <rPr>
        <sz val="8"/>
        <rFont val="Times New Roman"/>
        <charset val="134"/>
      </rPr>
      <t>HD3791</t>
    </r>
  </si>
  <si>
    <r>
      <rPr>
        <sz val="8"/>
        <rFont val="Times New Roman"/>
        <charset val="134"/>
      </rPr>
      <t>HD3793</t>
    </r>
  </si>
  <si>
    <r>
      <rPr>
        <sz val="8"/>
        <rFont val="Times New Roman"/>
        <charset val="134"/>
      </rPr>
      <t>HD3796</t>
    </r>
  </si>
  <si>
    <r>
      <rPr>
        <sz val="8"/>
        <rFont val="Times New Roman"/>
        <charset val="134"/>
      </rPr>
      <t>HD3160</t>
    </r>
  </si>
  <si>
    <r>
      <rPr>
        <sz val="9"/>
        <rFont val="Microsoft Sans Serif"/>
        <charset val="134"/>
      </rPr>
      <t>BOOST MAQUINA DE AFECTAR 05/2021</t>
    </r>
  </si>
  <si>
    <r>
      <rPr>
        <sz val="8"/>
        <rFont val="Times New Roman"/>
        <charset val="134"/>
      </rPr>
      <t>HD3261</t>
    </r>
  </si>
  <si>
    <r>
      <rPr>
        <sz val="9"/>
        <rFont val="Microsoft Sans Serif"/>
        <charset val="134"/>
      </rPr>
      <t>BOTE BASURA 05/2021</t>
    </r>
  </si>
  <si>
    <r>
      <rPr>
        <sz val="8"/>
        <rFont val="Times New Roman"/>
        <charset val="134"/>
      </rPr>
      <t>HD02006</t>
    </r>
  </si>
  <si>
    <r>
      <rPr>
        <sz val="9"/>
        <rFont val="Microsoft Sans Serif"/>
        <charset val="134"/>
      </rPr>
      <t>BOTTLE TERMO500ML CHINA AZUL</t>
    </r>
  </si>
  <si>
    <r>
      <rPr>
        <sz val="8"/>
        <rFont val="Times New Roman"/>
        <charset val="134"/>
      </rPr>
      <t>RFD388022</t>
    </r>
  </si>
  <si>
    <r>
      <rPr>
        <sz val="9"/>
        <rFont val="Microsoft Sans Serif"/>
        <charset val="134"/>
      </rPr>
      <t>BOX PORTABLE JUGUETES</t>
    </r>
  </si>
  <si>
    <r>
      <rPr>
        <sz val="8"/>
        <rFont val="Times New Roman"/>
        <charset val="134"/>
      </rPr>
      <t>HD262</t>
    </r>
  </si>
  <si>
    <r>
      <rPr>
        <sz val="9"/>
        <rFont val="Microsoft Sans Serif"/>
        <charset val="134"/>
      </rPr>
      <t>BRILLO PARA LA CARA</t>
    </r>
  </si>
  <si>
    <r>
      <rPr>
        <sz val="8"/>
        <rFont val="Times New Roman"/>
        <charset val="134"/>
      </rPr>
      <t>HD636</t>
    </r>
  </si>
  <si>
    <r>
      <rPr>
        <sz val="9"/>
        <rFont val="Microsoft Sans Serif"/>
        <charset val="134"/>
      </rPr>
      <t>BROCHA</t>
    </r>
  </si>
  <si>
    <r>
      <rPr>
        <sz val="9"/>
        <rFont val="Microsoft Sans Serif"/>
        <charset val="134"/>
      </rPr>
      <t>BROCHAS MEIYITING 4PS</t>
    </r>
  </si>
  <si>
    <r>
      <rPr>
        <sz val="8"/>
        <rFont val="Times New Roman"/>
        <charset val="134"/>
      </rPr>
      <t>HD637</t>
    </r>
  </si>
  <si>
    <r>
      <rPr>
        <sz val="9"/>
        <rFont val="Microsoft Sans Serif"/>
        <charset val="134"/>
      </rPr>
      <t>BROCHITA PARA OJO</t>
    </r>
  </si>
  <si>
    <r>
      <rPr>
        <sz val="8"/>
        <rFont val="Times New Roman"/>
        <charset val="134"/>
      </rPr>
      <t>HD638</t>
    </r>
  </si>
  <si>
    <r>
      <rPr>
        <sz val="9"/>
        <rFont val="Microsoft Sans Serif"/>
        <charset val="134"/>
      </rPr>
      <t>BROCHITA PARA OJO.</t>
    </r>
  </si>
  <si>
    <r>
      <rPr>
        <sz val="8"/>
        <rFont val="Times New Roman"/>
        <charset val="134"/>
      </rPr>
      <t>RFD323616</t>
    </r>
  </si>
  <si>
    <r>
      <rPr>
        <sz val="9"/>
        <rFont val="Microsoft Sans Serif"/>
        <charset val="134"/>
      </rPr>
      <t>BULL PINK SOOTHE</t>
    </r>
  </si>
  <si>
    <r>
      <rPr>
        <sz val="8"/>
        <rFont val="Times New Roman"/>
        <charset val="134"/>
      </rPr>
      <t>RFD362245</t>
    </r>
  </si>
  <si>
    <r>
      <rPr>
        <sz val="9"/>
        <rFont val="Microsoft Sans Serif"/>
        <charset val="134"/>
      </rPr>
      <t>BUNNY MUSIC PHONE TELEFONO MUSICAL DE CONEJO</t>
    </r>
  </si>
  <si>
    <r>
      <rPr>
        <sz val="8"/>
        <rFont val="Times New Roman"/>
        <charset val="134"/>
      </rPr>
      <t>RFD432592</t>
    </r>
  </si>
  <si>
    <r>
      <rPr>
        <sz val="9"/>
        <rFont val="Microsoft Sans Serif"/>
        <charset val="134"/>
      </rPr>
      <t>BURGERS KITCHEN WITH JUGUETES</t>
    </r>
  </si>
  <si>
    <r>
      <rPr>
        <sz val="8"/>
        <rFont val="Times New Roman"/>
        <charset val="134"/>
      </rPr>
      <t>HD4434</t>
    </r>
  </si>
  <si>
    <r>
      <rPr>
        <sz val="9"/>
        <rFont val="Microsoft Sans Serif"/>
        <charset val="134"/>
      </rPr>
      <t>C501 MOLDES PASTEL 33PZS</t>
    </r>
  </si>
  <si>
    <r>
      <rPr>
        <sz val="8"/>
        <rFont val="Times New Roman"/>
        <charset val="134"/>
      </rPr>
      <t>HD3282</t>
    </r>
  </si>
  <si>
    <r>
      <rPr>
        <sz val="9"/>
        <rFont val="Microsoft Sans Serif"/>
        <charset val="134"/>
      </rPr>
      <t>CABLE 1 MTR CA</t>
    </r>
  </si>
  <si>
    <r>
      <rPr>
        <sz val="8"/>
        <rFont val="Times New Roman"/>
        <charset val="134"/>
      </rPr>
      <t>HD3200</t>
    </r>
  </si>
  <si>
    <r>
      <rPr>
        <sz val="9"/>
        <rFont val="Microsoft Sans Serif"/>
        <charset val="134"/>
      </rPr>
      <t>CABLE 3 EN 1 CHINA</t>
    </r>
  </si>
  <si>
    <r>
      <rPr>
        <sz val="8"/>
        <rFont val="Times New Roman"/>
        <charset val="134"/>
      </rPr>
      <t>HD897</t>
    </r>
  </si>
  <si>
    <r>
      <rPr>
        <sz val="8"/>
        <rFont val="Times New Roman"/>
        <charset val="134"/>
      </rPr>
      <t>HD898</t>
    </r>
  </si>
  <si>
    <r>
      <rPr>
        <sz val="9"/>
        <rFont val="Microsoft Sans Serif"/>
        <charset val="134"/>
      </rPr>
      <t>CABLE 3 EN 1 NORMAL CHINA</t>
    </r>
  </si>
  <si>
    <r>
      <rPr>
        <sz val="8"/>
        <rFont val="Times New Roman"/>
        <charset val="134"/>
      </rPr>
      <t>HD789</t>
    </r>
  </si>
  <si>
    <r>
      <rPr>
        <sz val="9"/>
        <rFont val="Microsoft Sans Serif"/>
        <charset val="134"/>
      </rPr>
      <t>CABLE C001</t>
    </r>
  </si>
  <si>
    <r>
      <rPr>
        <sz val="8"/>
        <rFont val="Times New Roman"/>
        <charset val="134"/>
      </rPr>
      <t>HD787</t>
    </r>
  </si>
  <si>
    <r>
      <rPr>
        <sz val="9"/>
        <rFont val="Microsoft Sans Serif"/>
        <charset val="134"/>
      </rPr>
      <t>CABLE C003 3M ANDROI</t>
    </r>
  </si>
  <si>
    <r>
      <rPr>
        <sz val="8"/>
        <rFont val="Times New Roman"/>
        <charset val="134"/>
      </rPr>
      <t>HD6014</t>
    </r>
  </si>
  <si>
    <r>
      <rPr>
        <sz val="9"/>
        <rFont val="Microsoft Sans Serif"/>
        <charset val="134"/>
      </rPr>
      <t>CABLE HDMI 10MTS CHINA</t>
    </r>
  </si>
  <si>
    <r>
      <rPr>
        <sz val="8"/>
        <rFont val="Times New Roman"/>
        <charset val="134"/>
      </rPr>
      <t>HD6015</t>
    </r>
  </si>
  <si>
    <r>
      <rPr>
        <sz val="9"/>
        <rFont val="Microsoft Sans Serif"/>
        <charset val="134"/>
      </rPr>
      <t>CABLE HDMI 15MTS CHINA</t>
    </r>
  </si>
  <si>
    <r>
      <rPr>
        <sz val="8"/>
        <rFont val="Times New Roman"/>
        <charset val="134"/>
      </rPr>
      <t>HD6016</t>
    </r>
  </si>
  <si>
    <r>
      <rPr>
        <sz val="9"/>
        <rFont val="Microsoft Sans Serif"/>
        <charset val="134"/>
      </rPr>
      <t>CABLE HDMI 20MTS CHINA</t>
    </r>
  </si>
  <si>
    <r>
      <rPr>
        <sz val="8"/>
        <rFont val="Times New Roman"/>
        <charset val="134"/>
      </rPr>
      <t>HD6017</t>
    </r>
  </si>
  <si>
    <r>
      <rPr>
        <sz val="9"/>
        <rFont val="Microsoft Sans Serif"/>
        <charset val="134"/>
      </rPr>
      <t>CABLE HDMI 25MTS CHINA</t>
    </r>
  </si>
  <si>
    <r>
      <rPr>
        <sz val="8"/>
        <rFont val="Times New Roman"/>
        <charset val="134"/>
      </rPr>
      <t>HD6018</t>
    </r>
  </si>
  <si>
    <r>
      <rPr>
        <sz val="9"/>
        <rFont val="Microsoft Sans Serif"/>
        <charset val="134"/>
      </rPr>
      <t>CABLE HDMI 30MTS CHINA</t>
    </r>
  </si>
  <si>
    <r>
      <rPr>
        <sz val="8"/>
        <rFont val="Times New Roman"/>
        <charset val="134"/>
      </rPr>
      <t>HD6007</t>
    </r>
  </si>
  <si>
    <r>
      <rPr>
        <sz val="9"/>
        <rFont val="Microsoft Sans Serif"/>
        <charset val="134"/>
      </rPr>
      <t>CABLE INTER 1 MTR CHINA</t>
    </r>
  </si>
  <si>
    <r>
      <rPr>
        <sz val="8"/>
        <rFont val="Times New Roman"/>
        <charset val="134"/>
      </rPr>
      <t>HD3196</t>
    </r>
  </si>
  <si>
    <r>
      <rPr>
        <sz val="9"/>
        <rFont val="Microsoft Sans Serif"/>
        <charset val="134"/>
      </rPr>
      <t>CACTUS MINI ARBOL 05/2021</t>
    </r>
  </si>
  <si>
    <r>
      <rPr>
        <sz val="8"/>
        <rFont val="Times New Roman"/>
        <charset val="134"/>
      </rPr>
      <t>HD3052</t>
    </r>
  </si>
  <si>
    <r>
      <rPr>
        <sz val="9"/>
        <rFont val="Microsoft Sans Serif"/>
        <charset val="134"/>
      </rPr>
      <t>CACTUS PORTAPLUMA CHINA</t>
    </r>
  </si>
  <si>
    <r>
      <rPr>
        <sz val="8"/>
        <rFont val="Times New Roman"/>
        <charset val="134"/>
      </rPr>
      <t>HD01019</t>
    </r>
  </si>
  <si>
    <r>
      <rPr>
        <sz val="9"/>
        <rFont val="Microsoft Sans Serif"/>
        <charset val="134"/>
      </rPr>
      <t>CADENA 155 CHINA</t>
    </r>
  </si>
  <si>
    <r>
      <rPr>
        <sz val="8"/>
        <rFont val="Times New Roman"/>
        <charset val="134"/>
      </rPr>
      <t>HD3169</t>
    </r>
  </si>
  <si>
    <r>
      <rPr>
        <sz val="9"/>
        <rFont val="Microsoft Sans Serif"/>
        <charset val="134"/>
      </rPr>
      <t>CAJA FUERTE 05/2021 70</t>
    </r>
  </si>
  <si>
    <r>
      <rPr>
        <sz val="8"/>
        <rFont val="Times New Roman"/>
        <charset val="134"/>
      </rPr>
      <t>HD4008</t>
    </r>
  </si>
  <si>
    <r>
      <rPr>
        <sz val="9"/>
        <rFont val="Microsoft Sans Serif"/>
        <charset val="134"/>
      </rPr>
      <t>CAJA HD ALMACENAMIENTO..</t>
    </r>
  </si>
  <si>
    <r>
      <rPr>
        <sz val="8"/>
        <rFont val="Times New Roman"/>
        <charset val="134"/>
      </rPr>
      <t>HD4009</t>
    </r>
  </si>
  <si>
    <r>
      <rPr>
        <sz val="9"/>
        <rFont val="Microsoft Sans Serif"/>
        <charset val="134"/>
      </rPr>
      <t>CAJA HD ALMACENAMIENTO…</t>
    </r>
  </si>
  <si>
    <r>
      <rPr>
        <sz val="8"/>
        <rFont val="Times New Roman"/>
        <charset val="134"/>
      </rPr>
      <t>HD4249</t>
    </r>
  </si>
  <si>
    <r>
      <rPr>
        <sz val="9"/>
        <rFont val="Microsoft Sans Serif"/>
        <charset val="134"/>
      </rPr>
      <t>CALCULADORA HD</t>
    </r>
  </si>
  <si>
    <r>
      <rPr>
        <sz val="8"/>
        <rFont val="Times New Roman"/>
        <charset val="134"/>
      </rPr>
      <t>HD4250</t>
    </r>
  </si>
  <si>
    <r>
      <rPr>
        <sz val="9"/>
        <rFont val="Microsoft Sans Serif"/>
        <charset val="134"/>
      </rPr>
      <t>CALCULADORA HD.</t>
    </r>
  </si>
  <si>
    <r>
      <rPr>
        <sz val="8"/>
        <rFont val="Times New Roman"/>
        <charset val="134"/>
      </rPr>
      <t>HD4251</t>
    </r>
  </si>
  <si>
    <r>
      <rPr>
        <sz val="9"/>
        <rFont val="Microsoft Sans Serif"/>
        <charset val="134"/>
      </rPr>
      <t>CALCULADORA HD..</t>
    </r>
  </si>
  <si>
    <r>
      <rPr>
        <sz val="8"/>
        <rFont val="Times New Roman"/>
        <charset val="134"/>
      </rPr>
      <t>HD4252</t>
    </r>
  </si>
  <si>
    <r>
      <rPr>
        <sz val="9"/>
        <rFont val="Microsoft Sans Serif"/>
        <charset val="134"/>
      </rPr>
      <t>CALCULADORA HD…</t>
    </r>
  </si>
  <si>
    <r>
      <rPr>
        <sz val="8"/>
        <rFont val="Times New Roman"/>
        <charset val="134"/>
      </rPr>
      <t>HD4253</t>
    </r>
  </si>
  <si>
    <r>
      <rPr>
        <sz val="9"/>
        <rFont val="Microsoft Sans Serif"/>
        <charset val="134"/>
      </rPr>
      <t>CALCULADORA HD….</t>
    </r>
  </si>
  <si>
    <r>
      <rPr>
        <sz val="8"/>
        <rFont val="Times New Roman"/>
        <charset val="134"/>
      </rPr>
      <t>HD4256</t>
    </r>
  </si>
  <si>
    <r>
      <rPr>
        <sz val="9"/>
        <rFont val="Microsoft Sans Serif"/>
        <charset val="134"/>
      </rPr>
      <t>CALCULADORA HD…..</t>
    </r>
  </si>
  <si>
    <r>
      <rPr>
        <sz val="8"/>
        <rFont val="Times New Roman"/>
        <charset val="134"/>
      </rPr>
      <t>HD4254</t>
    </r>
  </si>
  <si>
    <r>
      <rPr>
        <sz val="9"/>
        <rFont val="Microsoft Sans Serif"/>
        <charset val="134"/>
      </rPr>
      <t>CALCULADORA PRECIO HD</t>
    </r>
  </si>
  <si>
    <r>
      <rPr>
        <sz val="8"/>
        <rFont val="Times New Roman"/>
        <charset val="134"/>
      </rPr>
      <t>HD4255</t>
    </r>
  </si>
  <si>
    <r>
      <rPr>
        <sz val="9"/>
        <rFont val="Microsoft Sans Serif"/>
        <charset val="134"/>
      </rPr>
      <t>CALCULADORA PRECIO HD..</t>
    </r>
  </si>
  <si>
    <r>
      <rPr>
        <sz val="8"/>
        <rFont val="Times New Roman"/>
        <charset val="134"/>
      </rPr>
      <t>HD3750</t>
    </r>
  </si>
  <si>
    <r>
      <rPr>
        <sz val="9"/>
        <rFont val="Microsoft Sans Serif"/>
        <charset val="134"/>
      </rPr>
      <t>CAMA DE AIRE 4142 HD 137x191</t>
    </r>
  </si>
  <si>
    <r>
      <rPr>
        <sz val="8"/>
        <rFont val="Times New Roman"/>
        <charset val="134"/>
      </rPr>
      <t>HD886</t>
    </r>
  </si>
  <si>
    <r>
      <rPr>
        <sz val="9"/>
        <rFont val="Microsoft Sans Serif"/>
        <charset val="134"/>
      </rPr>
      <t>CAMARAS WJ/014 CHINA</t>
    </r>
  </si>
  <si>
    <r>
      <rPr>
        <sz val="8"/>
        <rFont val="Times New Roman"/>
        <charset val="134"/>
      </rPr>
      <t>HD3466</t>
    </r>
  </si>
  <si>
    <r>
      <rPr>
        <sz val="9"/>
        <rFont val="Microsoft Sans Serif"/>
        <charset val="134"/>
      </rPr>
      <t>CAMPANA YE-30 HD x4</t>
    </r>
  </si>
  <si>
    <r>
      <rPr>
        <sz val="8"/>
        <rFont val="Times New Roman"/>
        <charset val="134"/>
      </rPr>
      <t>HD3467</t>
    </r>
  </si>
  <si>
    <r>
      <rPr>
        <sz val="9"/>
        <rFont val="Microsoft Sans Serif"/>
        <charset val="134"/>
      </rPr>
      <t>CAMPANA YE-33 HD X4MIXTA</t>
    </r>
  </si>
  <si>
    <r>
      <rPr>
        <sz val="8"/>
        <rFont val="Times New Roman"/>
        <charset val="134"/>
      </rPr>
      <t>HD3465</t>
    </r>
  </si>
  <si>
    <r>
      <rPr>
        <sz val="9"/>
        <rFont val="Microsoft Sans Serif"/>
        <charset val="134"/>
      </rPr>
      <t>CAMPANA YE-35 HD X3</t>
    </r>
  </si>
  <si>
    <r>
      <rPr>
        <sz val="8"/>
        <rFont val="Times New Roman"/>
        <charset val="134"/>
      </rPr>
      <t>RFD406066</t>
    </r>
  </si>
  <si>
    <r>
      <rPr>
        <sz val="9"/>
        <rFont val="Microsoft Sans Serif"/>
        <charset val="134"/>
      </rPr>
      <t>CAN BE BOILED JUGUETES</t>
    </r>
  </si>
  <si>
    <r>
      <rPr>
        <sz val="8"/>
        <rFont val="Times New Roman"/>
        <charset val="134"/>
      </rPr>
      <t>HD3239</t>
    </r>
  </si>
  <si>
    <r>
      <rPr>
        <sz val="9"/>
        <rFont val="Microsoft Sans Serif"/>
        <charset val="134"/>
      </rPr>
      <t>CANDELABRO 05/2021 2500</t>
    </r>
  </si>
  <si>
    <r>
      <rPr>
        <sz val="8"/>
        <rFont val="Times New Roman"/>
        <charset val="134"/>
      </rPr>
      <t>HD3672</t>
    </r>
  </si>
  <si>
    <r>
      <rPr>
        <sz val="9"/>
        <rFont val="Microsoft Sans Serif"/>
        <charset val="134"/>
      </rPr>
      <t>CANGUILERA HD</t>
    </r>
  </si>
  <si>
    <r>
      <rPr>
        <sz val="8"/>
        <rFont val="Times New Roman"/>
        <charset val="134"/>
      </rPr>
      <t>HD3837</t>
    </r>
  </si>
  <si>
    <r>
      <rPr>
        <sz val="9"/>
        <rFont val="Microsoft Sans Serif"/>
        <charset val="134"/>
      </rPr>
      <t>CAPA GORRA HD</t>
    </r>
  </si>
  <si>
    <r>
      <rPr>
        <sz val="8"/>
        <rFont val="Times New Roman"/>
        <charset val="134"/>
      </rPr>
      <t>HD3837-1</t>
    </r>
  </si>
  <si>
    <r>
      <rPr>
        <sz val="8"/>
        <rFont val="Times New Roman"/>
        <charset val="134"/>
      </rPr>
      <t>HD3838</t>
    </r>
  </si>
  <si>
    <r>
      <rPr>
        <sz val="9"/>
        <rFont val="Microsoft Sans Serif"/>
        <charset val="134"/>
      </rPr>
      <t>CAPA GORRA HD.</t>
    </r>
  </si>
  <si>
    <r>
      <rPr>
        <sz val="8"/>
        <rFont val="Times New Roman"/>
        <charset val="134"/>
      </rPr>
      <t>HD3836</t>
    </r>
  </si>
  <si>
    <r>
      <rPr>
        <sz val="9"/>
        <rFont val="Microsoft Sans Serif"/>
        <charset val="134"/>
      </rPr>
      <t>CAPA HD</t>
    </r>
  </si>
  <si>
    <r>
      <rPr>
        <sz val="8"/>
        <rFont val="Times New Roman"/>
        <charset val="134"/>
      </rPr>
      <t>HD3839</t>
    </r>
  </si>
  <si>
    <r>
      <rPr>
        <sz val="8"/>
        <rFont val="Times New Roman"/>
        <charset val="134"/>
      </rPr>
      <t>HD3843</t>
    </r>
  </si>
  <si>
    <r>
      <rPr>
        <sz val="9"/>
        <rFont val="Microsoft Sans Serif"/>
        <charset val="134"/>
      </rPr>
      <t>CAPA HD 130x120</t>
    </r>
  </si>
  <si>
    <r>
      <rPr>
        <sz val="8"/>
        <rFont val="Times New Roman"/>
        <charset val="134"/>
      </rPr>
      <t>HD3845</t>
    </r>
  </si>
  <si>
    <r>
      <rPr>
        <sz val="9"/>
        <rFont val="Microsoft Sans Serif"/>
        <charset val="134"/>
      </rPr>
      <t>CAPA HD 130x120.</t>
    </r>
  </si>
  <si>
    <r>
      <rPr>
        <sz val="8"/>
        <rFont val="Times New Roman"/>
        <charset val="134"/>
      </rPr>
      <t>HD3844</t>
    </r>
  </si>
  <si>
    <r>
      <rPr>
        <sz val="9"/>
        <rFont val="Microsoft Sans Serif"/>
        <charset val="134"/>
      </rPr>
      <t>CAPA HD 80x90</t>
    </r>
  </si>
  <si>
    <r>
      <rPr>
        <sz val="8"/>
        <rFont val="Times New Roman"/>
        <charset val="134"/>
      </rPr>
      <t>HD3846</t>
    </r>
  </si>
  <si>
    <r>
      <rPr>
        <sz val="9"/>
        <rFont val="Microsoft Sans Serif"/>
        <charset val="134"/>
      </rPr>
      <t>CAPA HD 80x90.</t>
    </r>
  </si>
  <si>
    <r>
      <rPr>
        <sz val="8"/>
        <rFont val="Times New Roman"/>
        <charset val="134"/>
      </rPr>
      <t>HD3850</t>
    </r>
  </si>
  <si>
    <r>
      <rPr>
        <sz val="9"/>
        <rFont val="Microsoft Sans Serif"/>
        <charset val="134"/>
      </rPr>
      <t>CAPA HD adulto</t>
    </r>
  </si>
  <si>
    <r>
      <rPr>
        <sz val="8"/>
        <rFont val="Times New Roman"/>
        <charset val="134"/>
      </rPr>
      <t>HD3840</t>
    </r>
  </si>
  <si>
    <r>
      <rPr>
        <sz val="9"/>
        <rFont val="Microsoft Sans Serif"/>
        <charset val="134"/>
      </rPr>
      <t>CAPA HD.</t>
    </r>
  </si>
  <si>
    <r>
      <rPr>
        <sz val="8"/>
        <rFont val="Times New Roman"/>
        <charset val="134"/>
      </rPr>
      <t>HD3841</t>
    </r>
  </si>
  <si>
    <r>
      <rPr>
        <sz val="9"/>
        <rFont val="Microsoft Sans Serif"/>
        <charset val="134"/>
      </rPr>
      <t>CAPA HD..</t>
    </r>
  </si>
  <si>
    <r>
      <rPr>
        <sz val="8"/>
        <rFont val="Times New Roman"/>
        <charset val="134"/>
      </rPr>
      <t>HD3849</t>
    </r>
  </si>
  <si>
    <r>
      <rPr>
        <sz val="9"/>
        <rFont val="Microsoft Sans Serif"/>
        <charset val="134"/>
      </rPr>
      <t>CAPA HD/.</t>
    </r>
  </si>
  <si>
    <r>
      <rPr>
        <sz val="8"/>
        <rFont val="Times New Roman"/>
        <charset val="134"/>
      </rPr>
      <t>HD3852</t>
    </r>
  </si>
  <si>
    <r>
      <rPr>
        <sz val="9"/>
        <rFont val="Microsoft Sans Serif"/>
        <charset val="134"/>
      </rPr>
      <t>CAPA HD/..</t>
    </r>
  </si>
  <si>
    <r>
      <rPr>
        <sz val="8"/>
        <rFont val="Times New Roman"/>
        <charset val="134"/>
      </rPr>
      <t>HD3856</t>
    </r>
  </si>
  <si>
    <r>
      <rPr>
        <sz val="9"/>
        <rFont val="Microsoft Sans Serif"/>
        <charset val="134"/>
      </rPr>
      <t>CAPA HD/…</t>
    </r>
  </si>
  <si>
    <r>
      <rPr>
        <sz val="8"/>
        <rFont val="Times New Roman"/>
        <charset val="134"/>
      </rPr>
      <t>HD3842</t>
    </r>
  </si>
  <si>
    <r>
      <rPr>
        <sz val="9"/>
        <rFont val="Microsoft Sans Serif"/>
        <charset val="134"/>
      </rPr>
      <t>CAPA HD…</t>
    </r>
  </si>
  <si>
    <r>
      <rPr>
        <sz val="8"/>
        <rFont val="Times New Roman"/>
        <charset val="134"/>
      </rPr>
      <t>HD3847</t>
    </r>
  </si>
  <si>
    <r>
      <rPr>
        <sz val="9"/>
        <rFont val="Microsoft Sans Serif"/>
        <charset val="134"/>
      </rPr>
      <t>CAPA HD….</t>
    </r>
  </si>
  <si>
    <r>
      <rPr>
        <sz val="8"/>
        <rFont val="Times New Roman"/>
        <charset val="134"/>
      </rPr>
      <t>HD3848</t>
    </r>
  </si>
  <si>
    <r>
      <rPr>
        <sz val="9"/>
        <rFont val="Microsoft Sans Serif"/>
        <charset val="134"/>
      </rPr>
      <t>CAPA HD…..</t>
    </r>
  </si>
  <si>
    <r>
      <rPr>
        <sz val="8"/>
        <rFont val="Times New Roman"/>
        <charset val="134"/>
      </rPr>
      <t>HD3851</t>
    </r>
  </si>
  <si>
    <r>
      <rPr>
        <sz val="9"/>
        <rFont val="Microsoft Sans Serif"/>
        <charset val="134"/>
      </rPr>
      <t>CAPA NIÑO HD</t>
    </r>
  </si>
  <si>
    <r>
      <rPr>
        <sz val="8"/>
        <rFont val="Times New Roman"/>
        <charset val="134"/>
      </rPr>
      <t>HD3601</t>
    </r>
  </si>
  <si>
    <r>
      <rPr>
        <sz val="9"/>
        <rFont val="Microsoft Sans Serif"/>
        <charset val="134"/>
      </rPr>
      <t>CAPSULA HD TRANSPARENTE</t>
    </r>
  </si>
  <si>
    <r>
      <rPr>
        <sz val="8"/>
        <rFont val="Times New Roman"/>
        <charset val="134"/>
      </rPr>
      <t>HD3708</t>
    </r>
  </si>
  <si>
    <r>
      <rPr>
        <sz val="9"/>
        <rFont val="Microsoft Sans Serif"/>
        <charset val="134"/>
      </rPr>
      <t>CARGADOR PARA COCHE HD R3</t>
    </r>
  </si>
  <si>
    <r>
      <rPr>
        <sz val="8"/>
        <rFont val="Times New Roman"/>
        <charset val="134"/>
      </rPr>
      <t>HD3221</t>
    </r>
  </si>
  <si>
    <r>
      <rPr>
        <sz val="9"/>
        <rFont val="Microsoft Sans Serif"/>
        <charset val="134"/>
      </rPr>
      <t>CARPETA PORTAFOLIO 05/2021 XH521A/XH522A</t>
    </r>
  </si>
  <si>
    <r>
      <rPr>
        <sz val="8"/>
        <rFont val="Times New Roman"/>
        <charset val="134"/>
      </rPr>
      <t>HD122</t>
    </r>
  </si>
  <si>
    <r>
      <rPr>
        <sz val="9"/>
        <rFont val="Microsoft Sans Serif"/>
        <charset val="134"/>
      </rPr>
      <t>Carritos Juguetes</t>
    </r>
  </si>
  <si>
    <r>
      <rPr>
        <sz val="8"/>
        <rFont val="Times New Roman"/>
        <charset val="134"/>
      </rPr>
      <t>HD4288</t>
    </r>
  </si>
  <si>
    <r>
      <rPr>
        <sz val="9"/>
        <rFont val="Microsoft Sans Serif"/>
        <charset val="134"/>
      </rPr>
      <t>CARRO 186 HD 4 RUEDAS</t>
    </r>
  </si>
  <si>
    <r>
      <rPr>
        <sz val="8"/>
        <rFont val="Times New Roman"/>
        <charset val="134"/>
      </rPr>
      <t>HD3037</t>
    </r>
  </si>
  <si>
    <r>
      <rPr>
        <sz val="9"/>
        <rFont val="Microsoft Sans Serif"/>
        <charset val="134"/>
      </rPr>
      <t>CARRO RELOJ CHINA</t>
    </r>
  </si>
  <si>
    <r>
      <rPr>
        <sz val="8"/>
        <rFont val="Times New Roman"/>
        <charset val="134"/>
      </rPr>
      <t>HD4289</t>
    </r>
  </si>
  <si>
    <r>
      <rPr>
        <sz val="9"/>
        <rFont val="Microsoft Sans Serif"/>
        <charset val="134"/>
      </rPr>
      <t>CARRO T553 HD 4 RUEDAS</t>
    </r>
  </si>
  <si>
    <r>
      <rPr>
        <sz val="8"/>
        <rFont val="Times New Roman"/>
        <charset val="134"/>
      </rPr>
      <t>HD184</t>
    </r>
  </si>
  <si>
    <r>
      <rPr>
        <sz val="9"/>
        <rFont val="Microsoft Sans Serif"/>
        <charset val="134"/>
      </rPr>
      <t>CARTERA 10068</t>
    </r>
  </si>
  <si>
    <r>
      <rPr>
        <sz val="8"/>
        <rFont val="Times New Roman"/>
        <charset val="134"/>
      </rPr>
      <t>HD182</t>
    </r>
  </si>
  <si>
    <r>
      <rPr>
        <sz val="9"/>
        <rFont val="Microsoft Sans Serif"/>
        <charset val="134"/>
      </rPr>
      <t>CARTERA 18039</t>
    </r>
  </si>
  <si>
    <r>
      <rPr>
        <sz val="8"/>
        <rFont val="Times New Roman"/>
        <charset val="134"/>
      </rPr>
      <t>HD181</t>
    </r>
  </si>
  <si>
    <r>
      <rPr>
        <sz val="9"/>
        <rFont val="Microsoft Sans Serif"/>
        <charset val="134"/>
      </rPr>
      <t>CARTERA AG13578</t>
    </r>
  </si>
  <si>
    <r>
      <rPr>
        <sz val="8"/>
        <rFont val="Times New Roman"/>
        <charset val="134"/>
      </rPr>
      <t>HD13288</t>
    </r>
  </si>
  <si>
    <r>
      <rPr>
        <sz val="9"/>
        <rFont val="Microsoft Sans Serif"/>
        <charset val="134"/>
      </rPr>
      <t>Cartera Black</t>
    </r>
  </si>
  <si>
    <r>
      <rPr>
        <sz val="8"/>
        <rFont val="Times New Roman"/>
        <charset val="134"/>
      </rPr>
      <t>HD183</t>
    </r>
  </si>
  <si>
    <r>
      <rPr>
        <sz val="9"/>
        <rFont val="Microsoft Sans Serif"/>
        <charset val="134"/>
      </rPr>
      <t>CARTERA CHINA 19323</t>
    </r>
  </si>
  <si>
    <r>
      <rPr>
        <sz val="8"/>
        <rFont val="Times New Roman"/>
        <charset val="134"/>
      </rPr>
      <t>HD183-1</t>
    </r>
  </si>
  <si>
    <r>
      <rPr>
        <sz val="9"/>
        <rFont val="Microsoft Sans Serif"/>
        <charset val="134"/>
      </rPr>
      <t>CARTERA EN LIQUIDACION</t>
    </r>
  </si>
  <si>
    <r>
      <rPr>
        <sz val="8"/>
        <rFont val="Times New Roman"/>
        <charset val="134"/>
      </rPr>
      <t>HD5302</t>
    </r>
  </si>
  <si>
    <r>
      <rPr>
        <sz val="9"/>
        <rFont val="Microsoft Sans Serif"/>
        <charset val="134"/>
      </rPr>
      <t>CARTERA JUGUETE</t>
    </r>
  </si>
  <si>
    <r>
      <rPr>
        <sz val="8"/>
        <rFont val="Times New Roman"/>
        <charset val="134"/>
      </rPr>
      <t>HD5303</t>
    </r>
  </si>
  <si>
    <r>
      <rPr>
        <sz val="8"/>
        <rFont val="Times New Roman"/>
        <charset val="134"/>
      </rPr>
      <t>HD4367</t>
    </r>
  </si>
  <si>
    <r>
      <rPr>
        <sz val="9"/>
        <rFont val="Microsoft Sans Serif"/>
        <charset val="134"/>
      </rPr>
      <t>CARTERA ROSADA</t>
    </r>
  </si>
  <si>
    <r>
      <rPr>
        <sz val="8"/>
        <rFont val="Times New Roman"/>
        <charset val="134"/>
      </rPr>
      <t>HD4967</t>
    </r>
  </si>
  <si>
    <r>
      <rPr>
        <sz val="8"/>
        <rFont val="Times New Roman"/>
        <charset val="134"/>
      </rPr>
      <t>RFD418236</t>
    </r>
  </si>
  <si>
    <r>
      <rPr>
        <sz val="9"/>
        <rFont val="Microsoft Sans Serif"/>
        <charset val="134"/>
      </rPr>
      <t>CARTOON CHILDREN JUGUETES</t>
    </r>
  </si>
  <si>
    <r>
      <rPr>
        <sz val="8"/>
        <rFont val="Times New Roman"/>
        <charset val="134"/>
      </rPr>
      <t>RFD285570</t>
    </r>
  </si>
  <si>
    <r>
      <rPr>
        <sz val="9"/>
        <rFont val="Microsoft Sans Serif"/>
        <charset val="134"/>
      </rPr>
      <t>CASA DE CAMPAÑA DEL OCEANO 50PCS</t>
    </r>
  </si>
  <si>
    <r>
      <rPr>
        <sz val="8"/>
        <rFont val="Times New Roman"/>
        <charset val="134"/>
      </rPr>
      <t>HD3455</t>
    </r>
  </si>
  <si>
    <r>
      <rPr>
        <sz val="9"/>
        <rFont val="Microsoft Sans Serif"/>
        <charset val="134"/>
      </rPr>
      <t>CASA TIENDA 995-5009D HD</t>
    </r>
  </si>
  <si>
    <r>
      <rPr>
        <sz val="8"/>
        <rFont val="Times New Roman"/>
        <charset val="134"/>
      </rPr>
      <t>HD2572</t>
    </r>
  </si>
  <si>
    <r>
      <rPr>
        <sz val="9"/>
        <rFont val="Microsoft Sans Serif"/>
        <charset val="134"/>
      </rPr>
      <t>Casita Santa Luz</t>
    </r>
  </si>
  <si>
    <r>
      <rPr>
        <sz val="8"/>
        <rFont val="Times New Roman"/>
        <charset val="134"/>
      </rPr>
      <t>RFD424679</t>
    </r>
  </si>
  <si>
    <r>
      <rPr>
        <sz val="9"/>
        <rFont val="Microsoft Sans Serif"/>
        <charset val="134"/>
      </rPr>
      <t>CAT HANDBAG JUGUETES</t>
    </r>
  </si>
  <si>
    <r>
      <rPr>
        <sz val="8"/>
        <rFont val="Times New Roman"/>
        <charset val="134"/>
      </rPr>
      <t>HD3371</t>
    </r>
  </si>
  <si>
    <r>
      <rPr>
        <sz val="9"/>
        <rFont val="Microsoft Sans Serif"/>
        <charset val="134"/>
      </rPr>
      <t>CCBB-2004 VARILLA MOLAR PARA MASCOTAS 05/2021</t>
    </r>
  </si>
  <si>
    <r>
      <rPr>
        <sz val="8"/>
        <rFont val="Times New Roman"/>
        <charset val="134"/>
      </rPr>
      <t>HD3370</t>
    </r>
  </si>
  <si>
    <r>
      <rPr>
        <sz val="9"/>
        <rFont val="Microsoft Sans Serif"/>
        <charset val="134"/>
      </rPr>
      <t>CCBB-2007 VARILLA MOLAR PARA MASCOTAS 05/2021</t>
    </r>
  </si>
  <si>
    <r>
      <rPr>
        <sz val="8"/>
        <rFont val="Times New Roman"/>
        <charset val="134"/>
      </rPr>
      <t>HD3857</t>
    </r>
  </si>
  <si>
    <r>
      <rPr>
        <sz val="9"/>
        <rFont val="Microsoft Sans Serif"/>
        <charset val="134"/>
      </rPr>
      <t>CEPELLO DE DIENTES 318 HD</t>
    </r>
  </si>
  <si>
    <r>
      <rPr>
        <sz val="8"/>
        <rFont val="Times New Roman"/>
        <charset val="134"/>
      </rPr>
      <t>HD69376300020</t>
    </r>
  </si>
  <si>
    <r>
      <rPr>
        <sz val="9"/>
        <rFont val="Microsoft Sans Serif"/>
        <charset val="134"/>
      </rPr>
      <t>Cepillo Cejas</t>
    </r>
  </si>
  <si>
    <r>
      <rPr>
        <sz val="9"/>
        <rFont val="Microsoft Sans Serif"/>
        <charset val="134"/>
      </rPr>
      <t>CEPILLO DE CEJAS</t>
    </r>
  </si>
  <si>
    <r>
      <rPr>
        <sz val="8"/>
        <rFont val="Times New Roman"/>
        <charset val="134"/>
      </rPr>
      <t>HD3314</t>
    </r>
  </si>
  <si>
    <r>
      <rPr>
        <sz val="9"/>
        <rFont val="Microsoft Sans Serif"/>
        <charset val="134"/>
      </rPr>
      <t>CEPILLO DE DIENTE ELECTRICO 05/2021</t>
    </r>
  </si>
  <si>
    <r>
      <rPr>
        <sz val="8"/>
        <rFont val="Times New Roman"/>
        <charset val="134"/>
      </rPr>
      <t>HD3670</t>
    </r>
  </si>
  <si>
    <r>
      <rPr>
        <sz val="9"/>
        <rFont val="Microsoft Sans Serif"/>
        <charset val="134"/>
      </rPr>
      <t>CEPILLO DE DIENTE ELECTRICO HD SPIN SMILE</t>
    </r>
  </si>
  <si>
    <r>
      <rPr>
        <sz val="8"/>
        <rFont val="Times New Roman"/>
        <charset val="134"/>
      </rPr>
      <t>HD3859</t>
    </r>
  </si>
  <si>
    <r>
      <rPr>
        <sz val="9"/>
        <rFont val="Microsoft Sans Serif"/>
        <charset val="134"/>
      </rPr>
      <t>CEPILLO DE DIENTES 3526 HD</t>
    </r>
  </si>
  <si>
    <r>
      <rPr>
        <sz val="8"/>
        <rFont val="Times New Roman"/>
        <charset val="134"/>
      </rPr>
      <t>HD3860</t>
    </r>
  </si>
  <si>
    <r>
      <rPr>
        <sz val="9"/>
        <rFont val="Microsoft Sans Serif"/>
        <charset val="134"/>
      </rPr>
      <t>CEPILLO DE DIENTES 3527 HD</t>
    </r>
  </si>
  <si>
    <r>
      <rPr>
        <sz val="8"/>
        <rFont val="Times New Roman"/>
        <charset val="134"/>
      </rPr>
      <t>HD3858</t>
    </r>
  </si>
  <si>
    <r>
      <rPr>
        <sz val="9"/>
        <rFont val="Microsoft Sans Serif"/>
        <charset val="134"/>
      </rPr>
      <t>CEPILLO DE DIENTES LANSHARE HD 305</t>
    </r>
  </si>
  <si>
    <r>
      <rPr>
        <sz val="8"/>
        <rFont val="Times New Roman"/>
        <charset val="134"/>
      </rPr>
      <t>HD597</t>
    </r>
  </si>
  <si>
    <r>
      <rPr>
        <sz val="9"/>
        <rFont val="Microsoft Sans Serif"/>
        <charset val="134"/>
      </rPr>
      <t>CEPILLO DE LABIOS AKIO</t>
    </r>
  </si>
  <si>
    <r>
      <rPr>
        <sz val="8"/>
        <rFont val="Times New Roman"/>
        <charset val="134"/>
      </rPr>
      <t>HD2180</t>
    </r>
  </si>
  <si>
    <r>
      <rPr>
        <sz val="9"/>
        <rFont val="Microsoft Sans Serif"/>
        <charset val="134"/>
      </rPr>
      <t>CEPILLO DE PESTAÑAS LIANG CHENG</t>
    </r>
  </si>
  <si>
    <r>
      <rPr>
        <sz val="9"/>
        <rFont val="Microsoft Sans Serif"/>
        <charset val="134"/>
      </rPr>
      <t>CEPILLO DE PIEL</t>
    </r>
  </si>
  <si>
    <r>
      <rPr>
        <sz val="9"/>
        <rFont val="Microsoft Sans Serif"/>
        <charset val="134"/>
      </rPr>
      <t>CEPILLO FACIAL</t>
    </r>
  </si>
  <si>
    <r>
      <rPr>
        <sz val="8"/>
        <rFont val="Times New Roman"/>
        <charset val="134"/>
      </rPr>
      <t>HD4105</t>
    </r>
  </si>
  <si>
    <r>
      <rPr>
        <sz val="9"/>
        <rFont val="Microsoft Sans Serif"/>
        <charset val="134"/>
      </rPr>
      <t>CEPILLO PARA PIE HD</t>
    </r>
  </si>
  <si>
    <r>
      <rPr>
        <sz val="8"/>
        <rFont val="Times New Roman"/>
        <charset val="134"/>
      </rPr>
      <t>EX00010</t>
    </r>
  </si>
  <si>
    <r>
      <rPr>
        <sz val="9"/>
        <rFont val="Microsoft Sans Serif"/>
        <charset val="134"/>
      </rPr>
      <t>CEPILLO PARA PIES</t>
    </r>
  </si>
  <si>
    <r>
      <rPr>
        <sz val="8"/>
        <rFont val="Times New Roman"/>
        <charset val="134"/>
      </rPr>
      <t>HD3737</t>
    </r>
  </si>
  <si>
    <r>
      <rPr>
        <sz val="9"/>
        <rFont val="Microsoft Sans Serif"/>
        <charset val="134"/>
      </rPr>
      <t>CESPED</t>
    </r>
  </si>
  <si>
    <r>
      <rPr>
        <sz val="8"/>
        <rFont val="Times New Roman"/>
        <charset val="134"/>
      </rPr>
      <t>HD4652</t>
    </r>
  </si>
  <si>
    <r>
      <rPr>
        <sz val="8"/>
        <rFont val="Times New Roman"/>
        <charset val="134"/>
      </rPr>
      <t>HD4661</t>
    </r>
  </si>
  <si>
    <r>
      <rPr>
        <sz val="8"/>
        <rFont val="Times New Roman"/>
        <charset val="134"/>
      </rPr>
      <t>HD4665</t>
    </r>
  </si>
  <si>
    <r>
      <rPr>
        <sz val="8"/>
        <rFont val="Times New Roman"/>
        <charset val="134"/>
      </rPr>
      <t>HD4647</t>
    </r>
  </si>
  <si>
    <r>
      <rPr>
        <sz val="9"/>
        <rFont val="Microsoft Sans Serif"/>
        <charset val="134"/>
      </rPr>
      <t>CESPED 4647 CHINA</t>
    </r>
  </si>
  <si>
    <r>
      <rPr>
        <sz val="8"/>
        <rFont val="Times New Roman"/>
        <charset val="134"/>
      </rPr>
      <t>HD4655</t>
    </r>
  </si>
  <si>
    <r>
      <rPr>
        <sz val="9"/>
        <rFont val="Microsoft Sans Serif"/>
        <charset val="134"/>
      </rPr>
      <t>CESPED 4655 CHINA</t>
    </r>
  </si>
  <si>
    <r>
      <rPr>
        <sz val="8"/>
        <rFont val="Times New Roman"/>
        <charset val="134"/>
      </rPr>
      <t>HD4656</t>
    </r>
  </si>
  <si>
    <r>
      <rPr>
        <sz val="9"/>
        <rFont val="Microsoft Sans Serif"/>
        <charset val="134"/>
      </rPr>
      <t>CESPED 4656 CHINA</t>
    </r>
  </si>
  <si>
    <r>
      <rPr>
        <sz val="8"/>
        <rFont val="Times New Roman"/>
        <charset val="134"/>
      </rPr>
      <t>HD3447</t>
    </r>
  </si>
  <si>
    <r>
      <rPr>
        <sz val="9"/>
        <rFont val="Microsoft Sans Serif"/>
        <charset val="134"/>
      </rPr>
      <t>CESTA DE COLUMPIO HD</t>
    </r>
  </si>
  <si>
    <r>
      <rPr>
        <sz val="8"/>
        <rFont val="Times New Roman"/>
        <charset val="134"/>
      </rPr>
      <t>HD4077</t>
    </r>
  </si>
  <si>
    <r>
      <rPr>
        <sz val="9"/>
        <rFont val="Microsoft Sans Serif"/>
        <charset val="134"/>
      </rPr>
      <t>CESTO DE BASURA</t>
    </r>
  </si>
  <si>
    <r>
      <rPr>
        <sz val="8"/>
        <rFont val="Times New Roman"/>
        <charset val="134"/>
      </rPr>
      <t>HD4078</t>
    </r>
  </si>
  <si>
    <r>
      <rPr>
        <sz val="9"/>
        <rFont val="Microsoft Sans Serif"/>
        <charset val="134"/>
      </rPr>
      <t>CESTO DE ROPA BOX HD 50X40X35CM</t>
    </r>
  </si>
  <si>
    <r>
      <rPr>
        <sz val="8"/>
        <rFont val="Times New Roman"/>
        <charset val="134"/>
      </rPr>
      <t>HD3759</t>
    </r>
  </si>
  <si>
    <r>
      <rPr>
        <sz val="9"/>
        <rFont val="Microsoft Sans Serif"/>
        <charset val="134"/>
      </rPr>
      <t>CHALECO</t>
    </r>
  </si>
  <si>
    <r>
      <rPr>
        <sz val="8"/>
        <rFont val="Times New Roman"/>
        <charset val="134"/>
      </rPr>
      <t>RFD397384</t>
    </r>
  </si>
  <si>
    <r>
      <rPr>
        <sz val="9"/>
        <rFont val="Microsoft Sans Serif"/>
        <charset val="134"/>
      </rPr>
      <t>CHICKEN ELECTRIC JUGUETES</t>
    </r>
  </si>
  <si>
    <r>
      <rPr>
        <sz val="8"/>
        <rFont val="Times New Roman"/>
        <charset val="134"/>
      </rPr>
      <t>EX0006</t>
    </r>
  </si>
  <si>
    <r>
      <rPr>
        <sz val="9"/>
        <rFont val="Microsoft Sans Serif"/>
        <charset val="134"/>
      </rPr>
      <t>CHINESCO PARA BEBES</t>
    </r>
  </si>
  <si>
    <r>
      <rPr>
        <sz val="8"/>
        <rFont val="Times New Roman"/>
        <charset val="134"/>
      </rPr>
      <t>RFD406008</t>
    </r>
  </si>
  <si>
    <r>
      <rPr>
        <sz val="9"/>
        <rFont val="Microsoft Sans Serif"/>
        <charset val="134"/>
      </rPr>
      <t>CHRISTMAS EDITION SPECIAL JUGUETES</t>
    </r>
  </si>
  <si>
    <r>
      <rPr>
        <sz val="8"/>
        <rFont val="Times New Roman"/>
        <charset val="134"/>
      </rPr>
      <t>HD2063</t>
    </r>
  </si>
  <si>
    <r>
      <rPr>
        <sz val="9"/>
        <rFont val="Microsoft Sans Serif"/>
        <charset val="134"/>
      </rPr>
      <t>CINTA DOBLE FINA X1</t>
    </r>
  </si>
  <si>
    <r>
      <rPr>
        <sz val="8"/>
        <rFont val="Times New Roman"/>
        <charset val="134"/>
      </rPr>
      <t>HD2064</t>
    </r>
  </si>
  <si>
    <r>
      <rPr>
        <sz val="9"/>
        <rFont val="Microsoft Sans Serif"/>
        <charset val="134"/>
      </rPr>
      <t>CINTA DOBLE GRUESA X1</t>
    </r>
  </si>
  <si>
    <r>
      <rPr>
        <sz val="8"/>
        <rFont val="Times New Roman"/>
        <charset val="134"/>
      </rPr>
      <t>HD2376</t>
    </r>
  </si>
  <si>
    <r>
      <rPr>
        <sz val="9"/>
        <rFont val="Microsoft Sans Serif"/>
        <charset val="134"/>
      </rPr>
      <t>CINTA METRICA NORMAL CHINA</t>
    </r>
  </si>
  <si>
    <r>
      <rPr>
        <sz val="8"/>
        <rFont val="Times New Roman"/>
        <charset val="134"/>
      </rPr>
      <t>HD4036</t>
    </r>
  </si>
  <si>
    <r>
      <rPr>
        <sz val="9"/>
        <rFont val="Microsoft Sans Serif"/>
        <charset val="134"/>
      </rPr>
      <t>CINTA TRANSPARENTE P HD K-137</t>
    </r>
  </si>
  <si>
    <r>
      <rPr>
        <sz val="8"/>
        <rFont val="Times New Roman"/>
        <charset val="134"/>
      </rPr>
      <t>HD480</t>
    </r>
  </si>
  <si>
    <r>
      <rPr>
        <sz val="9"/>
        <rFont val="Microsoft Sans Serif"/>
        <charset val="134"/>
      </rPr>
      <t>CINTILLO MOÑO DE LASITO</t>
    </r>
  </si>
  <si>
    <r>
      <rPr>
        <sz val="8"/>
        <rFont val="Times New Roman"/>
        <charset val="134"/>
      </rPr>
      <t>HD479</t>
    </r>
  </si>
  <si>
    <r>
      <rPr>
        <sz val="9"/>
        <rFont val="Microsoft Sans Serif"/>
        <charset val="134"/>
      </rPr>
      <t>CINTILLO MOÑO SENCILLO</t>
    </r>
  </si>
  <si>
    <r>
      <rPr>
        <sz val="8"/>
        <rFont val="Times New Roman"/>
        <charset val="134"/>
      </rPr>
      <t>RFD435926</t>
    </r>
  </si>
  <si>
    <r>
      <rPr>
        <sz val="9"/>
        <rFont val="Microsoft Sans Serif"/>
        <charset val="134"/>
      </rPr>
      <t>CIRCLE LUMINOUS R JUGUETES</t>
    </r>
  </si>
  <si>
    <r>
      <rPr>
        <sz val="8"/>
        <rFont val="Times New Roman"/>
        <charset val="134"/>
      </rPr>
      <t>RFD432250</t>
    </r>
  </si>
  <si>
    <r>
      <rPr>
        <sz val="9"/>
        <rFont val="Microsoft Sans Serif"/>
        <charset val="134"/>
      </rPr>
      <t>CLIMBING CAR REMOTO CONTROL</t>
    </r>
  </si>
  <si>
    <r>
      <rPr>
        <sz val="9"/>
        <rFont val="Microsoft Sans Serif"/>
        <charset val="134"/>
      </rPr>
      <t>CLIP DE CEJAS</t>
    </r>
  </si>
  <si>
    <r>
      <rPr>
        <sz val="9"/>
        <rFont val="Microsoft Sans Serif"/>
        <charset val="134"/>
      </rPr>
      <t>CLIP DE CEJAS.</t>
    </r>
  </si>
  <si>
    <r>
      <rPr>
        <sz val="8"/>
        <rFont val="Times New Roman"/>
        <charset val="134"/>
      </rPr>
      <t>HD612</t>
    </r>
  </si>
  <si>
    <r>
      <rPr>
        <sz val="9"/>
        <rFont val="Microsoft Sans Serif"/>
        <charset val="134"/>
      </rPr>
      <t>CLIP DE CEJAS..</t>
    </r>
  </si>
  <si>
    <r>
      <rPr>
        <sz val="8"/>
        <rFont val="Times New Roman"/>
        <charset val="134"/>
      </rPr>
      <t>RFD432600</t>
    </r>
  </si>
  <si>
    <r>
      <rPr>
        <sz val="9"/>
        <rFont val="Microsoft Sans Serif"/>
        <charset val="134"/>
      </rPr>
      <t>CLOTH DRUM HAPPY JUGUETES</t>
    </r>
  </si>
  <si>
    <r>
      <rPr>
        <sz val="8"/>
        <rFont val="Times New Roman"/>
        <charset val="134"/>
      </rPr>
      <t>HD1931</t>
    </r>
  </si>
  <si>
    <r>
      <rPr>
        <sz val="9"/>
        <rFont val="Microsoft Sans Serif"/>
        <charset val="134"/>
      </rPr>
      <t>COB LED CHINA</t>
    </r>
  </si>
  <si>
    <r>
      <rPr>
        <sz val="8"/>
        <rFont val="Times New Roman"/>
        <charset val="134"/>
      </rPr>
      <t>HD4335</t>
    </r>
  </si>
  <si>
    <r>
      <rPr>
        <sz val="9"/>
        <rFont val="Microsoft Sans Serif"/>
        <charset val="134"/>
      </rPr>
      <t>COCHE BABY CHINA</t>
    </r>
  </si>
  <si>
    <r>
      <rPr>
        <sz val="9"/>
        <rFont val="Microsoft Sans Serif"/>
        <charset val="134"/>
      </rPr>
      <t>codigo disponible era termo</t>
    </r>
  </si>
  <si>
    <r>
      <rPr>
        <sz val="8"/>
        <rFont val="Times New Roman"/>
        <charset val="134"/>
      </rPr>
      <t>RFD356347</t>
    </r>
  </si>
  <si>
    <r>
      <rPr>
        <sz val="9"/>
        <rFont val="Microsoft Sans Serif"/>
        <charset val="134"/>
      </rPr>
      <t>COGNITIVE JENGA FUN</t>
    </r>
  </si>
  <si>
    <r>
      <rPr>
        <sz val="8"/>
        <rFont val="Times New Roman"/>
        <charset val="134"/>
      </rPr>
      <t>HD3729</t>
    </r>
  </si>
  <si>
    <r>
      <rPr>
        <sz val="9"/>
        <rFont val="Microsoft Sans Serif"/>
        <charset val="134"/>
      </rPr>
      <t>COLCHONETA X36 HD 4X4</t>
    </r>
  </si>
  <si>
    <r>
      <rPr>
        <sz val="8"/>
        <rFont val="Times New Roman"/>
        <charset val="134"/>
      </rPr>
      <t>HD3730</t>
    </r>
  </si>
  <si>
    <r>
      <rPr>
        <sz val="9"/>
        <rFont val="Microsoft Sans Serif"/>
        <charset val="134"/>
      </rPr>
      <t>COLCHONETA X36 HD 6x6</t>
    </r>
  </si>
  <si>
    <r>
      <rPr>
        <sz val="8"/>
        <rFont val="Times New Roman"/>
        <charset val="134"/>
      </rPr>
      <t>HD4141</t>
    </r>
  </si>
  <si>
    <r>
      <rPr>
        <sz val="9"/>
        <rFont val="Microsoft Sans Serif"/>
        <charset val="134"/>
      </rPr>
      <t>COLGANTE DE AÑO NUEVO HD</t>
    </r>
  </si>
  <si>
    <r>
      <rPr>
        <sz val="8"/>
        <rFont val="Times New Roman"/>
        <charset val="134"/>
      </rPr>
      <t>HD4140</t>
    </r>
  </si>
  <si>
    <r>
      <rPr>
        <sz val="9"/>
        <rFont val="Microsoft Sans Serif"/>
        <charset val="134"/>
      </rPr>
      <t>COLGANTE DE CUMPLEAÑO HD</t>
    </r>
  </si>
  <si>
    <r>
      <rPr>
        <sz val="8"/>
        <rFont val="Times New Roman"/>
        <charset val="134"/>
      </rPr>
      <t>HD4142</t>
    </r>
  </si>
  <si>
    <r>
      <rPr>
        <sz val="9"/>
        <rFont val="Microsoft Sans Serif"/>
        <charset val="134"/>
      </rPr>
      <t>COLGANTE DE CUMPLEAÑO HD BOTELLA</t>
    </r>
  </si>
  <si>
    <r>
      <rPr>
        <sz val="8"/>
        <rFont val="Times New Roman"/>
        <charset val="134"/>
      </rPr>
      <t>HD4144</t>
    </r>
  </si>
  <si>
    <r>
      <rPr>
        <sz val="9"/>
        <rFont val="Microsoft Sans Serif"/>
        <charset val="134"/>
      </rPr>
      <t>COLGANTE DE CUMPLEAÑO HD BOTELLA.</t>
    </r>
  </si>
  <si>
    <r>
      <rPr>
        <sz val="8"/>
        <rFont val="Times New Roman"/>
        <charset val="134"/>
      </rPr>
      <t>HD4143</t>
    </r>
  </si>
  <si>
    <r>
      <rPr>
        <sz val="9"/>
        <rFont val="Microsoft Sans Serif"/>
        <charset val="134"/>
      </rPr>
      <t>COLGANTE DE CUMPLEAÑO HD.</t>
    </r>
  </si>
  <si>
    <r>
      <rPr>
        <sz val="8"/>
        <rFont val="Times New Roman"/>
        <charset val="134"/>
      </rPr>
      <t>HD4145</t>
    </r>
  </si>
  <si>
    <r>
      <rPr>
        <sz val="9"/>
        <rFont val="Microsoft Sans Serif"/>
        <charset val="134"/>
      </rPr>
      <t>COLGANTE DE CUMPLEAÑO HD..</t>
    </r>
  </si>
  <si>
    <r>
      <rPr>
        <sz val="8"/>
        <rFont val="Times New Roman"/>
        <charset val="134"/>
      </rPr>
      <t>HD4146</t>
    </r>
  </si>
  <si>
    <r>
      <rPr>
        <sz val="9"/>
        <rFont val="Microsoft Sans Serif"/>
        <charset val="134"/>
      </rPr>
      <t>COLGANTE DE CUMPLEAÑO HD…</t>
    </r>
  </si>
  <si>
    <r>
      <rPr>
        <sz val="8"/>
        <rFont val="Times New Roman"/>
        <charset val="134"/>
      </rPr>
      <t>HD4147</t>
    </r>
  </si>
  <si>
    <r>
      <rPr>
        <sz val="9"/>
        <rFont val="Microsoft Sans Serif"/>
        <charset val="134"/>
      </rPr>
      <t>COLGANTE DE CUMPLEAÑO HD….</t>
    </r>
  </si>
  <si>
    <r>
      <rPr>
        <sz val="8"/>
        <rFont val="Times New Roman"/>
        <charset val="134"/>
      </rPr>
      <t>HD729</t>
    </r>
  </si>
  <si>
    <r>
      <rPr>
        <sz val="9"/>
        <rFont val="Microsoft Sans Serif"/>
        <charset val="134"/>
      </rPr>
      <t>COLLAR 4PS DE DIAMANTES</t>
    </r>
  </si>
  <si>
    <r>
      <rPr>
        <sz val="8"/>
        <rFont val="Times New Roman"/>
        <charset val="134"/>
      </rPr>
      <t>HD3535</t>
    </r>
  </si>
  <si>
    <r>
      <rPr>
        <sz val="9"/>
        <rFont val="Microsoft Sans Serif"/>
        <charset val="134"/>
      </rPr>
      <t>COLLAR DE PERRO HD</t>
    </r>
  </si>
  <si>
    <r>
      <rPr>
        <sz val="8"/>
        <rFont val="Times New Roman"/>
        <charset val="134"/>
      </rPr>
      <t>HD3537</t>
    </r>
  </si>
  <si>
    <r>
      <rPr>
        <sz val="9"/>
        <rFont val="Microsoft Sans Serif"/>
        <charset val="134"/>
      </rPr>
      <t>COLLAR DE PERRO HD + CINTURON POLICIA</t>
    </r>
  </si>
  <si>
    <r>
      <rPr>
        <sz val="8"/>
        <rFont val="Times New Roman"/>
        <charset val="134"/>
      </rPr>
      <t>HD3538</t>
    </r>
  </si>
  <si>
    <r>
      <rPr>
        <sz val="9"/>
        <rFont val="Microsoft Sans Serif"/>
        <charset val="134"/>
      </rPr>
      <t>COLLAR DE PERRO HD + CINTURON POLICIA.</t>
    </r>
  </si>
  <si>
    <r>
      <rPr>
        <sz val="8"/>
        <rFont val="Times New Roman"/>
        <charset val="134"/>
      </rPr>
      <t>HD3536</t>
    </r>
  </si>
  <si>
    <r>
      <rPr>
        <sz val="9"/>
        <rFont val="Microsoft Sans Serif"/>
        <charset val="134"/>
      </rPr>
      <t>COLLAR DE PERRO HD POLICIA</t>
    </r>
  </si>
  <si>
    <r>
      <rPr>
        <sz val="8"/>
        <rFont val="Times New Roman"/>
        <charset val="134"/>
      </rPr>
      <t>HD4275</t>
    </r>
  </si>
  <si>
    <r>
      <rPr>
        <sz val="9"/>
        <rFont val="Microsoft Sans Serif"/>
        <charset val="134"/>
      </rPr>
      <t>COLORES X48 HD</t>
    </r>
  </si>
  <si>
    <r>
      <rPr>
        <sz val="8"/>
        <rFont val="Times New Roman"/>
        <charset val="134"/>
      </rPr>
      <t>HD2464</t>
    </r>
  </si>
  <si>
    <r>
      <rPr>
        <sz val="9"/>
        <rFont val="Microsoft Sans Serif"/>
        <charset val="134"/>
      </rPr>
      <t>COMICS VARI_CARCASA</t>
    </r>
  </si>
  <si>
    <r>
      <rPr>
        <sz val="8"/>
        <rFont val="Times New Roman"/>
        <charset val="134"/>
      </rPr>
      <t>HD1864</t>
    </r>
  </si>
  <si>
    <r>
      <rPr>
        <sz val="9"/>
        <rFont val="Microsoft Sans Serif"/>
        <charset val="134"/>
      </rPr>
      <t>CON CREMA CEPILLO CHINA</t>
    </r>
  </si>
  <si>
    <r>
      <rPr>
        <sz val="8"/>
        <rFont val="Times New Roman"/>
        <charset val="134"/>
      </rPr>
      <t>HD1865</t>
    </r>
  </si>
  <si>
    <r>
      <rPr>
        <sz val="9"/>
        <rFont val="Microsoft Sans Serif"/>
        <charset val="134"/>
      </rPr>
      <t>CON CREMA RASURADORA CHINA</t>
    </r>
  </si>
  <si>
    <r>
      <rPr>
        <sz val="8"/>
        <rFont val="Times New Roman"/>
        <charset val="134"/>
      </rPr>
      <t>HD1650</t>
    </r>
  </si>
  <si>
    <r>
      <rPr>
        <sz val="9"/>
        <rFont val="Microsoft Sans Serif"/>
        <charset val="134"/>
      </rPr>
      <t>CON LUZ ORGANIZADOR CHINA</t>
    </r>
  </si>
  <si>
    <r>
      <rPr>
        <sz val="8"/>
        <rFont val="Times New Roman"/>
        <charset val="134"/>
      </rPr>
      <t>HD3415</t>
    </r>
  </si>
  <si>
    <r>
      <rPr>
        <sz val="9"/>
        <rFont val="Microsoft Sans Serif"/>
        <charset val="134"/>
      </rPr>
      <t>CONSOLA DE JUEGO 5092 HD LCD</t>
    </r>
  </si>
  <si>
    <r>
      <rPr>
        <sz val="8"/>
        <rFont val="Times New Roman"/>
        <charset val="134"/>
      </rPr>
      <t>HD3414</t>
    </r>
  </si>
  <si>
    <r>
      <rPr>
        <sz val="9"/>
        <rFont val="Microsoft Sans Serif"/>
        <charset val="134"/>
      </rPr>
      <t>CONSOLA DE JUEGO 5093 HD LCD</t>
    </r>
  </si>
  <si>
    <r>
      <rPr>
        <sz val="8"/>
        <rFont val="Times New Roman"/>
        <charset val="134"/>
      </rPr>
      <t>HD3417</t>
    </r>
  </si>
  <si>
    <r>
      <rPr>
        <sz val="9"/>
        <rFont val="Microsoft Sans Serif"/>
        <charset val="134"/>
      </rPr>
      <t>CONSOLA DE JUEGO EV-6001 HD</t>
    </r>
  </si>
  <si>
    <r>
      <rPr>
        <sz val="8"/>
        <rFont val="Times New Roman"/>
        <charset val="134"/>
      </rPr>
      <t>HD3170</t>
    </r>
  </si>
  <si>
    <r>
      <rPr>
        <sz val="9"/>
        <rFont val="Microsoft Sans Serif"/>
        <charset val="134"/>
      </rPr>
      <t>CONTADORA BILLETE 05/2021 2108/110V</t>
    </r>
  </si>
  <si>
    <r>
      <rPr>
        <sz val="8"/>
        <rFont val="Times New Roman"/>
        <charset val="134"/>
      </rPr>
      <t>HD3173</t>
    </r>
  </si>
  <si>
    <r>
      <rPr>
        <sz val="9"/>
        <rFont val="Microsoft Sans Serif"/>
        <charset val="134"/>
      </rPr>
      <t>CONTADORA BILLETE 05/2021 2112/110V/220V</t>
    </r>
  </si>
  <si>
    <r>
      <rPr>
        <sz val="8"/>
        <rFont val="Times New Roman"/>
        <charset val="134"/>
      </rPr>
      <t>HD3174</t>
    </r>
  </si>
  <si>
    <r>
      <rPr>
        <sz val="9"/>
        <rFont val="Microsoft Sans Serif"/>
        <charset val="134"/>
      </rPr>
      <t>CONTADORA BILLETE 05/2021 6500/110V/220V</t>
    </r>
  </si>
  <si>
    <r>
      <rPr>
        <sz val="8"/>
        <rFont val="Times New Roman"/>
        <charset val="134"/>
      </rPr>
      <t>HD4281</t>
    </r>
  </si>
  <si>
    <r>
      <rPr>
        <sz val="9"/>
        <rFont val="Microsoft Sans Serif"/>
        <charset val="134"/>
      </rPr>
      <t>COPA PARA VINO HD 8354</t>
    </r>
  </si>
  <si>
    <r>
      <rPr>
        <sz val="9"/>
        <rFont val="Microsoft Sans Serif"/>
        <charset val="134"/>
      </rPr>
      <t>COPA PARA VINO WINE GLASS 6 UND</t>
    </r>
  </si>
  <si>
    <r>
      <rPr>
        <sz val="8"/>
        <rFont val="Times New Roman"/>
        <charset val="134"/>
      </rPr>
      <t>HD2457</t>
    </r>
  </si>
  <si>
    <r>
      <rPr>
        <sz val="9"/>
        <rFont val="Microsoft Sans Serif"/>
        <charset val="134"/>
      </rPr>
      <t>CORAZON PLASTICO CASE</t>
    </r>
  </si>
  <si>
    <r>
      <rPr>
        <sz val="8"/>
        <rFont val="Times New Roman"/>
        <charset val="134"/>
      </rPr>
      <t>HD391</t>
    </r>
  </si>
  <si>
    <r>
      <rPr>
        <sz val="9"/>
        <rFont val="Microsoft Sans Serif"/>
        <charset val="134"/>
      </rPr>
      <t>CORDONES DE ZAPATO CON LUCE</t>
    </r>
  </si>
  <si>
    <r>
      <rPr>
        <sz val="8"/>
        <rFont val="Times New Roman"/>
        <charset val="134"/>
      </rPr>
      <t>HD431</t>
    </r>
  </si>
  <si>
    <r>
      <rPr>
        <sz val="9"/>
        <rFont val="Microsoft Sans Serif"/>
        <charset val="134"/>
      </rPr>
      <t>CORREA CH /2019/37 PARA BRAZO DE BICICLETA</t>
    </r>
  </si>
  <si>
    <r>
      <rPr>
        <sz val="8"/>
        <rFont val="Times New Roman"/>
        <charset val="134"/>
      </rPr>
      <t>HD3521-1</t>
    </r>
  </si>
  <si>
    <r>
      <rPr>
        <sz val="9"/>
        <rFont val="Microsoft Sans Serif"/>
        <charset val="134"/>
      </rPr>
      <t>CORREA DE MASCOTA HD</t>
    </r>
  </si>
  <si>
    <r>
      <rPr>
        <sz val="8"/>
        <rFont val="Times New Roman"/>
        <charset val="134"/>
      </rPr>
      <t>HD3531-1</t>
    </r>
  </si>
  <si>
    <r>
      <rPr>
        <sz val="8"/>
        <rFont val="Times New Roman"/>
        <charset val="134"/>
      </rPr>
      <t>HD3517-1</t>
    </r>
  </si>
  <si>
    <r>
      <rPr>
        <sz val="9"/>
        <rFont val="Microsoft Sans Serif"/>
        <charset val="134"/>
      </rPr>
      <t>CORREA DE MASCOTA HD 1 M</t>
    </r>
  </si>
  <si>
    <r>
      <rPr>
        <sz val="8"/>
        <rFont val="Times New Roman"/>
        <charset val="134"/>
      </rPr>
      <t>HD3518-1</t>
    </r>
  </si>
  <si>
    <r>
      <rPr>
        <sz val="9"/>
        <rFont val="Microsoft Sans Serif"/>
        <charset val="134"/>
      </rPr>
      <t>CORREA DE MASCOTA HD 1.5 M</t>
    </r>
  </si>
  <si>
    <r>
      <rPr>
        <sz val="8"/>
        <rFont val="Times New Roman"/>
        <charset val="134"/>
      </rPr>
      <t>HD3519-1</t>
    </r>
  </si>
  <si>
    <r>
      <rPr>
        <sz val="9"/>
        <rFont val="Microsoft Sans Serif"/>
        <charset val="134"/>
      </rPr>
      <t>CORREA DE MASCOTA HD 2 M</t>
    </r>
  </si>
  <si>
    <r>
      <rPr>
        <sz val="8"/>
        <rFont val="Times New Roman"/>
        <charset val="134"/>
      </rPr>
      <t>HD3520-1</t>
    </r>
  </si>
  <si>
    <r>
      <rPr>
        <sz val="9"/>
        <rFont val="Microsoft Sans Serif"/>
        <charset val="134"/>
      </rPr>
      <t>CORREA DE MASCOTA HD 2.5 M</t>
    </r>
  </si>
  <si>
    <r>
      <rPr>
        <sz val="8"/>
        <rFont val="Times New Roman"/>
        <charset val="134"/>
      </rPr>
      <t>HD3522</t>
    </r>
  </si>
  <si>
    <r>
      <rPr>
        <sz val="9"/>
        <rFont val="Microsoft Sans Serif"/>
        <charset val="134"/>
      </rPr>
      <t>CORREA DE MASCOTA HD.</t>
    </r>
  </si>
  <si>
    <r>
      <rPr>
        <sz val="8"/>
        <rFont val="Times New Roman"/>
        <charset val="134"/>
      </rPr>
      <t>HD3523-1</t>
    </r>
  </si>
  <si>
    <r>
      <rPr>
        <sz val="9"/>
        <rFont val="Microsoft Sans Serif"/>
        <charset val="134"/>
      </rPr>
      <t>CORREA DE MASCOTA HD..</t>
    </r>
  </si>
  <si>
    <r>
      <rPr>
        <sz val="8"/>
        <rFont val="Times New Roman"/>
        <charset val="134"/>
      </rPr>
      <t>HD3528-1</t>
    </r>
  </si>
  <si>
    <r>
      <rPr>
        <sz val="9"/>
        <rFont val="Microsoft Sans Serif"/>
        <charset val="134"/>
      </rPr>
      <t>CORREA DE MASCOTA HD/.</t>
    </r>
  </si>
  <si>
    <r>
      <rPr>
        <sz val="8"/>
        <rFont val="Times New Roman"/>
        <charset val="134"/>
      </rPr>
      <t>HD3529-1</t>
    </r>
  </si>
  <si>
    <r>
      <rPr>
        <sz val="9"/>
        <rFont val="Microsoft Sans Serif"/>
        <charset val="134"/>
      </rPr>
      <t>CORREA DE MASCOTA HD/..</t>
    </r>
  </si>
  <si>
    <r>
      <rPr>
        <sz val="8"/>
        <rFont val="Times New Roman"/>
        <charset val="134"/>
      </rPr>
      <t>HD3530-1</t>
    </r>
  </si>
  <si>
    <r>
      <rPr>
        <sz val="9"/>
        <rFont val="Microsoft Sans Serif"/>
        <charset val="134"/>
      </rPr>
      <t>CORREA DE MASCOTA HD/…</t>
    </r>
  </si>
  <si>
    <r>
      <rPr>
        <sz val="8"/>
        <rFont val="Times New Roman"/>
        <charset val="134"/>
      </rPr>
      <t>HD3524-1</t>
    </r>
  </si>
  <si>
    <r>
      <rPr>
        <sz val="9"/>
        <rFont val="Microsoft Sans Serif"/>
        <charset val="134"/>
      </rPr>
      <t>CORREA DE MASCOTA HD…</t>
    </r>
  </si>
  <si>
    <r>
      <rPr>
        <sz val="8"/>
        <rFont val="Times New Roman"/>
        <charset val="134"/>
      </rPr>
      <t>HD3525-1</t>
    </r>
  </si>
  <si>
    <r>
      <rPr>
        <sz val="9"/>
        <rFont val="Microsoft Sans Serif"/>
        <charset val="134"/>
      </rPr>
      <t>CORREA DE MASCOTA HD….</t>
    </r>
  </si>
  <si>
    <r>
      <rPr>
        <sz val="8"/>
        <rFont val="Times New Roman"/>
        <charset val="134"/>
      </rPr>
      <t>HD3526-1</t>
    </r>
  </si>
  <si>
    <r>
      <rPr>
        <sz val="9"/>
        <rFont val="Microsoft Sans Serif"/>
        <charset val="134"/>
      </rPr>
      <t>CORREA DE MASCOTA HD…..</t>
    </r>
  </si>
  <si>
    <r>
      <rPr>
        <sz val="8"/>
        <rFont val="Times New Roman"/>
        <charset val="134"/>
      </rPr>
      <t>HD3527-1</t>
    </r>
  </si>
  <si>
    <r>
      <rPr>
        <sz val="9"/>
        <rFont val="Microsoft Sans Serif"/>
        <charset val="134"/>
      </rPr>
      <t>CORREA DE MASCOTA HD……</t>
    </r>
  </si>
  <si>
    <r>
      <rPr>
        <sz val="8"/>
        <rFont val="Times New Roman"/>
        <charset val="134"/>
      </rPr>
      <t>HD3362</t>
    </r>
  </si>
  <si>
    <r>
      <rPr>
        <sz val="9"/>
        <rFont val="Microsoft Sans Serif"/>
        <charset val="134"/>
      </rPr>
      <t>CORREA PARA MASCOTAS 05/2021</t>
    </r>
  </si>
  <si>
    <r>
      <rPr>
        <sz val="8"/>
        <rFont val="Times New Roman"/>
        <charset val="134"/>
      </rPr>
      <t>HD3363</t>
    </r>
  </si>
  <si>
    <r>
      <rPr>
        <sz val="9"/>
        <rFont val="Microsoft Sans Serif"/>
        <charset val="134"/>
      </rPr>
      <t>CORREA PARA MASCOTAS 05/2021 1,5M</t>
    </r>
  </si>
  <si>
    <r>
      <rPr>
        <sz val="8"/>
        <rFont val="Times New Roman"/>
        <charset val="134"/>
      </rPr>
      <t>HD3361</t>
    </r>
  </si>
  <si>
    <r>
      <rPr>
        <sz val="9"/>
        <rFont val="Microsoft Sans Serif"/>
        <charset val="134"/>
      </rPr>
      <t>CORREA PARA MASCOTAS 05/2021 10MM</t>
    </r>
  </si>
  <si>
    <r>
      <rPr>
        <sz val="8"/>
        <rFont val="Times New Roman"/>
        <charset val="134"/>
      </rPr>
      <t>HD4108</t>
    </r>
  </si>
  <si>
    <r>
      <rPr>
        <sz val="9"/>
        <rFont val="Microsoft Sans Serif"/>
        <charset val="134"/>
      </rPr>
      <t>CORTA CEJAS</t>
    </r>
  </si>
  <si>
    <r>
      <rPr>
        <sz val="8"/>
        <rFont val="Times New Roman"/>
        <charset val="134"/>
      </rPr>
      <t>HD4035</t>
    </r>
  </si>
  <si>
    <r>
      <rPr>
        <sz val="9"/>
        <rFont val="Microsoft Sans Serif"/>
        <charset val="134"/>
      </rPr>
      <t>CORTA UÑAS</t>
    </r>
  </si>
  <si>
    <r>
      <rPr>
        <sz val="8"/>
        <rFont val="Times New Roman"/>
        <charset val="134"/>
      </rPr>
      <t>HD606</t>
    </r>
  </si>
  <si>
    <r>
      <rPr>
        <sz val="8"/>
        <rFont val="Times New Roman"/>
        <charset val="134"/>
      </rPr>
      <t>HD2486</t>
    </r>
  </si>
  <si>
    <r>
      <rPr>
        <sz val="9"/>
        <rFont val="Microsoft Sans Serif"/>
        <charset val="134"/>
      </rPr>
      <t>CORTINA PARTY 05/2021</t>
    </r>
  </si>
  <si>
    <r>
      <rPr>
        <sz val="8"/>
        <rFont val="Times New Roman"/>
        <charset val="134"/>
      </rPr>
      <t>RFD414682</t>
    </r>
  </si>
  <si>
    <r>
      <rPr>
        <sz val="9"/>
        <rFont val="Microsoft Sans Serif"/>
        <charset val="134"/>
      </rPr>
      <t>CROCODILE VARIOS JUGUETES</t>
    </r>
  </si>
  <si>
    <r>
      <rPr>
        <sz val="8"/>
        <rFont val="Times New Roman"/>
        <charset val="134"/>
      </rPr>
      <t>RFD279797</t>
    </r>
  </si>
  <si>
    <r>
      <rPr>
        <sz val="9"/>
        <rFont val="Microsoft Sans Serif"/>
        <charset val="134"/>
      </rPr>
      <t>CUBO RUBIK JUGUETES</t>
    </r>
  </si>
  <si>
    <r>
      <rPr>
        <sz val="8"/>
        <rFont val="Times New Roman"/>
        <charset val="134"/>
      </rPr>
      <t>HD4128</t>
    </r>
  </si>
  <si>
    <r>
      <rPr>
        <sz val="9"/>
        <rFont val="Microsoft Sans Serif"/>
        <charset val="134"/>
      </rPr>
      <t>CUCHILLA 836 HD NAVAJA 2022/02</t>
    </r>
  </si>
  <si>
    <r>
      <rPr>
        <sz val="8"/>
        <rFont val="Times New Roman"/>
        <charset val="134"/>
      </rPr>
      <t>HD3575</t>
    </r>
  </si>
  <si>
    <r>
      <rPr>
        <sz val="9"/>
        <rFont val="Microsoft Sans Serif"/>
        <charset val="134"/>
      </rPr>
      <t>CUCHILLA AFEITAR HD G</t>
    </r>
  </si>
  <si>
    <r>
      <rPr>
        <sz val="8"/>
        <rFont val="Times New Roman"/>
        <charset val="134"/>
      </rPr>
      <t>HD3576</t>
    </r>
  </si>
  <si>
    <r>
      <rPr>
        <sz val="9"/>
        <rFont val="Microsoft Sans Serif"/>
        <charset val="134"/>
      </rPr>
      <t>CUCHILLA AFEITAR HD M</t>
    </r>
  </si>
  <si>
    <r>
      <rPr>
        <sz val="8"/>
        <rFont val="Times New Roman"/>
        <charset val="134"/>
      </rPr>
      <t>HD7933</t>
    </r>
  </si>
  <si>
    <r>
      <rPr>
        <sz val="9"/>
        <rFont val="Microsoft Sans Serif"/>
        <charset val="134"/>
      </rPr>
      <t>CUCHILLO</t>
    </r>
  </si>
  <si>
    <r>
      <rPr>
        <sz val="8"/>
        <rFont val="Times New Roman"/>
        <charset val="134"/>
      </rPr>
      <t xml:space="preserve">69710917933216
</t>
    </r>
    <r>
      <rPr>
        <sz val="8"/>
        <rFont val="Times New Roman"/>
        <charset val="134"/>
      </rPr>
      <t>50</t>
    </r>
  </si>
  <si>
    <r>
      <rPr>
        <sz val="9"/>
        <rFont val="Microsoft Sans Serif"/>
        <charset val="134"/>
      </rPr>
      <t>CUCHILLO DE CEJAS</t>
    </r>
  </si>
  <si>
    <r>
      <rPr>
        <sz val="8"/>
        <rFont val="Times New Roman"/>
        <charset val="134"/>
      </rPr>
      <t>HD3152</t>
    </r>
  </si>
  <si>
    <r>
      <rPr>
        <sz val="9"/>
        <rFont val="Microsoft Sans Serif"/>
        <charset val="134"/>
      </rPr>
      <t>CUCHILLO FRUTAS 05/2021</t>
    </r>
  </si>
  <si>
    <r>
      <rPr>
        <sz val="8"/>
        <rFont val="Times New Roman"/>
        <charset val="134"/>
      </rPr>
      <t>HD4118</t>
    </r>
  </si>
  <si>
    <r>
      <rPr>
        <sz val="9"/>
        <rFont val="Microsoft Sans Serif"/>
        <charset val="134"/>
      </rPr>
      <t>CUCHILLO HD K-75 2022/02</t>
    </r>
  </si>
  <si>
    <r>
      <rPr>
        <sz val="8"/>
        <rFont val="Times New Roman"/>
        <charset val="134"/>
      </rPr>
      <t>HD3595</t>
    </r>
  </si>
  <si>
    <r>
      <rPr>
        <sz val="9"/>
        <rFont val="Microsoft Sans Serif"/>
        <charset val="134"/>
      </rPr>
      <t>CUENCO HD CALABAZA FORMS 8</t>
    </r>
  </si>
  <si>
    <r>
      <rPr>
        <sz val="8"/>
        <rFont val="Times New Roman"/>
        <charset val="134"/>
      </rPr>
      <t>HD3596</t>
    </r>
  </si>
  <si>
    <r>
      <rPr>
        <sz val="9"/>
        <rFont val="Microsoft Sans Serif"/>
        <charset val="134"/>
      </rPr>
      <t>CUENCO HD CALABAZA FORMS 8.</t>
    </r>
  </si>
  <si>
    <r>
      <rPr>
        <sz val="8"/>
        <rFont val="Times New Roman"/>
        <charset val="134"/>
      </rPr>
      <t>HD3598</t>
    </r>
  </si>
  <si>
    <r>
      <rPr>
        <sz val="9"/>
        <rFont val="Microsoft Sans Serif"/>
        <charset val="134"/>
      </rPr>
      <t>CUENCO HD DOBLE GRANDE</t>
    </r>
  </si>
  <si>
    <r>
      <rPr>
        <sz val="8"/>
        <rFont val="Times New Roman"/>
        <charset val="134"/>
      </rPr>
      <t>HD3597</t>
    </r>
  </si>
  <si>
    <r>
      <rPr>
        <sz val="9"/>
        <rFont val="Microsoft Sans Serif"/>
        <charset val="134"/>
      </rPr>
      <t>CUENCO HD UNICO MARIQUITA</t>
    </r>
  </si>
  <si>
    <r>
      <rPr>
        <sz val="8"/>
        <rFont val="Times New Roman"/>
        <charset val="134"/>
      </rPr>
      <t>HD3593</t>
    </r>
  </si>
  <si>
    <r>
      <rPr>
        <sz val="9"/>
        <rFont val="Microsoft Sans Serif"/>
        <charset val="134"/>
      </rPr>
      <t>CUENCO PLASTICO HD INDIVIDUAL G</t>
    </r>
  </si>
  <si>
    <r>
      <rPr>
        <sz val="8"/>
        <rFont val="Times New Roman"/>
        <charset val="134"/>
      </rPr>
      <t>HD3592</t>
    </r>
  </si>
  <si>
    <r>
      <rPr>
        <sz val="9"/>
        <rFont val="Microsoft Sans Serif"/>
        <charset val="134"/>
      </rPr>
      <t>CUENCO PLASTICO HD INDIVIDUAL M</t>
    </r>
  </si>
  <si>
    <r>
      <rPr>
        <sz val="8"/>
        <rFont val="Times New Roman"/>
        <charset val="134"/>
      </rPr>
      <t>HD3591</t>
    </r>
  </si>
  <si>
    <r>
      <rPr>
        <sz val="9"/>
        <rFont val="Microsoft Sans Serif"/>
        <charset val="134"/>
      </rPr>
      <t>CUENCO PLASTICO HD INDIVIDUAL P</t>
    </r>
  </si>
  <si>
    <r>
      <rPr>
        <sz val="8"/>
        <rFont val="Times New Roman"/>
        <charset val="134"/>
      </rPr>
      <t>HD3590</t>
    </r>
  </si>
  <si>
    <r>
      <rPr>
        <sz val="9"/>
        <rFont val="Microsoft Sans Serif"/>
        <charset val="134"/>
      </rPr>
      <t>CUENCO PLASTICO HD REDONDO DOBLE</t>
    </r>
  </si>
  <si>
    <r>
      <rPr>
        <sz val="8"/>
        <rFont val="Times New Roman"/>
        <charset val="134"/>
      </rPr>
      <t>HD3546</t>
    </r>
  </si>
  <si>
    <r>
      <rPr>
        <sz val="9"/>
        <rFont val="Microsoft Sans Serif"/>
        <charset val="134"/>
      </rPr>
      <t>CUENCO PLEGABLE HD</t>
    </r>
  </si>
  <si>
    <r>
      <rPr>
        <sz val="8"/>
        <rFont val="Times New Roman"/>
        <charset val="134"/>
      </rPr>
      <t>HD02013</t>
    </r>
  </si>
  <si>
    <r>
      <rPr>
        <sz val="9"/>
        <rFont val="Microsoft Sans Serif"/>
        <charset val="134"/>
      </rPr>
      <t>CUP TERMO500ML CHINA</t>
    </r>
  </si>
  <si>
    <r>
      <rPr>
        <sz val="8"/>
        <rFont val="Times New Roman"/>
        <charset val="134"/>
      </rPr>
      <t>HD30480</t>
    </r>
  </si>
  <si>
    <r>
      <rPr>
        <sz val="9"/>
        <rFont val="Microsoft Sans Serif"/>
        <charset val="134"/>
      </rPr>
      <t>CW-8377/7202/8066 PORTAMINAS 0.7 05/2021</t>
    </r>
  </si>
  <si>
    <r>
      <rPr>
        <sz val="8"/>
        <rFont val="Times New Roman"/>
        <charset val="134"/>
      </rPr>
      <t>HD2119</t>
    </r>
  </si>
  <si>
    <r>
      <rPr>
        <sz val="9"/>
        <rFont val="Microsoft Sans Serif"/>
        <charset val="134"/>
      </rPr>
      <t>DANNY 4COLORES 350ML JUST LIFE</t>
    </r>
  </si>
  <si>
    <r>
      <rPr>
        <sz val="8"/>
        <rFont val="Times New Roman"/>
        <charset val="134"/>
      </rPr>
      <t>HD3886</t>
    </r>
  </si>
  <si>
    <r>
      <rPr>
        <sz val="9"/>
        <rFont val="Microsoft Sans Serif"/>
        <charset val="134"/>
      </rPr>
      <t>DESTAPADOR DELFIN 05/2021</t>
    </r>
  </si>
  <si>
    <r>
      <rPr>
        <sz val="8"/>
        <rFont val="Times New Roman"/>
        <charset val="134"/>
      </rPr>
      <t>HD4042</t>
    </r>
  </si>
  <si>
    <r>
      <rPr>
        <sz val="9"/>
        <rFont val="Microsoft Sans Serif"/>
        <charset val="134"/>
      </rPr>
      <t>DESTAPADOR RESORTE DE BAÑO 3001 HD</t>
    </r>
  </si>
  <si>
    <r>
      <rPr>
        <sz val="8"/>
        <rFont val="Times New Roman"/>
        <charset val="134"/>
      </rPr>
      <t>HD4040-2</t>
    </r>
  </si>
  <si>
    <r>
      <rPr>
        <sz val="9"/>
        <rFont val="Microsoft Sans Serif"/>
        <charset val="134"/>
      </rPr>
      <t>DESTORNILLADOR</t>
    </r>
  </si>
  <si>
    <r>
      <rPr>
        <sz val="8"/>
        <rFont val="Times New Roman"/>
        <charset val="134"/>
      </rPr>
      <t>HD4441</t>
    </r>
  </si>
  <si>
    <r>
      <rPr>
        <sz val="9"/>
        <rFont val="Microsoft Sans Serif"/>
        <charset val="134"/>
      </rPr>
      <t>DETERGENTE 12 FRAGANCIA</t>
    </r>
  </si>
  <si>
    <r>
      <rPr>
        <sz val="8"/>
        <rFont val="Times New Roman"/>
        <charset val="134"/>
      </rPr>
      <t>HD4442</t>
    </r>
  </si>
  <si>
    <r>
      <rPr>
        <sz val="9"/>
        <rFont val="Microsoft Sans Serif"/>
        <charset val="134"/>
      </rPr>
      <t>DETERGENTE 12 FRAGANCIA.</t>
    </r>
  </si>
  <si>
    <r>
      <rPr>
        <sz val="8"/>
        <rFont val="Times New Roman"/>
        <charset val="134"/>
      </rPr>
      <t>HD4440</t>
    </r>
  </si>
  <si>
    <r>
      <rPr>
        <sz val="9"/>
        <rFont val="Microsoft Sans Serif"/>
        <charset val="134"/>
      </rPr>
      <t>DETERGENTE 13 FRAGANCIA</t>
    </r>
  </si>
  <si>
    <r>
      <rPr>
        <sz val="8"/>
        <rFont val="Times New Roman"/>
        <charset val="134"/>
      </rPr>
      <t>HD4443</t>
    </r>
  </si>
  <si>
    <r>
      <rPr>
        <sz val="9"/>
        <rFont val="Microsoft Sans Serif"/>
        <charset val="134"/>
      </rPr>
      <t>DETERGENTE 8B FRAGANCIA</t>
    </r>
  </si>
  <si>
    <r>
      <rPr>
        <sz val="8"/>
        <rFont val="Times New Roman"/>
        <charset val="134"/>
      </rPr>
      <t>HD8425</t>
    </r>
  </si>
  <si>
    <r>
      <rPr>
        <sz val="9"/>
        <rFont val="Microsoft Sans Serif"/>
        <charset val="134"/>
      </rPr>
      <t>DIADEMA</t>
    </r>
  </si>
  <si>
    <r>
      <rPr>
        <sz val="8"/>
        <rFont val="Times New Roman"/>
        <charset val="134"/>
      </rPr>
      <t>HD11012</t>
    </r>
  </si>
  <si>
    <r>
      <rPr>
        <sz val="9"/>
        <rFont val="Microsoft Sans Serif"/>
        <charset val="134"/>
      </rPr>
      <t>DIADEMA  NEGRA</t>
    </r>
  </si>
  <si>
    <r>
      <rPr>
        <sz val="8"/>
        <rFont val="Times New Roman"/>
        <charset val="134"/>
      </rPr>
      <t>HD439</t>
    </r>
  </si>
  <si>
    <r>
      <rPr>
        <sz val="9"/>
        <rFont val="Microsoft Sans Serif"/>
        <charset val="134"/>
      </rPr>
      <t>DIADEMA 3281/4 OREJAS PEQ CON LENTEJUELAS</t>
    </r>
  </si>
  <si>
    <r>
      <rPr>
        <sz val="8"/>
        <rFont val="Times New Roman"/>
        <charset val="134"/>
      </rPr>
      <t>HD440</t>
    </r>
  </si>
  <si>
    <r>
      <rPr>
        <sz val="9"/>
        <rFont val="Microsoft Sans Serif"/>
        <charset val="134"/>
      </rPr>
      <t>DIADEMA 3281/5 BRILLO</t>
    </r>
  </si>
  <si>
    <r>
      <rPr>
        <sz val="8"/>
        <rFont val="Times New Roman"/>
        <charset val="134"/>
      </rPr>
      <t>HD11007</t>
    </r>
  </si>
  <si>
    <r>
      <rPr>
        <sz val="9"/>
        <rFont val="Microsoft Sans Serif"/>
        <charset val="134"/>
      </rPr>
      <t>DIADEMA AM</t>
    </r>
  </si>
  <si>
    <r>
      <rPr>
        <sz val="8"/>
        <rFont val="Times New Roman"/>
        <charset val="134"/>
      </rPr>
      <t>HD284</t>
    </r>
  </si>
  <si>
    <r>
      <rPr>
        <sz val="9"/>
        <rFont val="Microsoft Sans Serif"/>
        <charset val="134"/>
      </rPr>
      <t>DIADEMA ANTENITAS DE ARBOL</t>
    </r>
  </si>
  <si>
    <r>
      <rPr>
        <sz val="8"/>
        <rFont val="Times New Roman"/>
        <charset val="134"/>
      </rPr>
      <t>HD2425</t>
    </r>
  </si>
  <si>
    <r>
      <rPr>
        <sz val="9"/>
        <rFont val="Microsoft Sans Serif"/>
        <charset val="134"/>
      </rPr>
      <t>DIADEMA BANDA ELASTICA BABY</t>
    </r>
  </si>
  <si>
    <r>
      <rPr>
        <sz val="8"/>
        <rFont val="Times New Roman"/>
        <charset val="134"/>
      </rPr>
      <t>HD875</t>
    </r>
  </si>
  <si>
    <r>
      <rPr>
        <sz val="9"/>
        <rFont val="Microsoft Sans Serif"/>
        <charset val="134"/>
      </rPr>
      <t>DIADEMA CORONA DE FLORES</t>
    </r>
  </si>
  <si>
    <r>
      <rPr>
        <sz val="8"/>
        <rFont val="Times New Roman"/>
        <charset val="134"/>
      </rPr>
      <t>HD281</t>
    </r>
  </si>
  <si>
    <r>
      <rPr>
        <sz val="9"/>
        <rFont val="Microsoft Sans Serif"/>
        <charset val="134"/>
      </rPr>
      <t>DIADEMA DE OREJITAS DE VENADO ESCARCHADO</t>
    </r>
  </si>
  <si>
    <r>
      <rPr>
        <sz val="8"/>
        <rFont val="Times New Roman"/>
        <charset val="134"/>
      </rPr>
      <t>HD442</t>
    </r>
  </si>
  <si>
    <r>
      <rPr>
        <sz val="9"/>
        <rFont val="Microsoft Sans Serif"/>
        <charset val="134"/>
      </rPr>
      <t>DIADEMA MODELOS VARIOS</t>
    </r>
  </si>
  <si>
    <r>
      <rPr>
        <sz val="8"/>
        <rFont val="Times New Roman"/>
        <charset val="134"/>
      </rPr>
      <t>HD441</t>
    </r>
  </si>
  <si>
    <r>
      <rPr>
        <sz val="9"/>
        <rFont val="Microsoft Sans Serif"/>
        <charset val="134"/>
      </rPr>
      <t>DIADEMA PERLITA NUEVAS</t>
    </r>
  </si>
  <si>
    <r>
      <rPr>
        <sz val="8"/>
        <rFont val="Times New Roman"/>
        <charset val="134"/>
      </rPr>
      <t>HD2584</t>
    </r>
  </si>
  <si>
    <r>
      <rPr>
        <sz val="9"/>
        <rFont val="Microsoft Sans Serif"/>
        <charset val="134"/>
      </rPr>
      <t>DIADEMA SENCILLA DAMA</t>
    </r>
  </si>
  <si>
    <r>
      <rPr>
        <sz val="8"/>
        <rFont val="Times New Roman"/>
        <charset val="134"/>
      </rPr>
      <t>HD435</t>
    </r>
  </si>
  <si>
    <r>
      <rPr>
        <sz val="9"/>
        <rFont val="Microsoft Sans Serif"/>
        <charset val="134"/>
      </rPr>
      <t>DIADEMAS 3281/3 CORONA</t>
    </r>
  </si>
  <si>
    <r>
      <rPr>
        <sz val="8"/>
        <rFont val="Times New Roman"/>
        <charset val="134"/>
      </rPr>
      <t>HD437</t>
    </r>
  </si>
  <si>
    <r>
      <rPr>
        <sz val="9"/>
        <rFont val="Microsoft Sans Serif"/>
        <charset val="134"/>
      </rPr>
      <t>DIADEMAS 3281/6 /7 con flores varias</t>
    </r>
  </si>
  <si>
    <r>
      <rPr>
        <sz val="8"/>
        <rFont val="Times New Roman"/>
        <charset val="134"/>
      </rPr>
      <t>HD433</t>
    </r>
  </si>
  <si>
    <r>
      <rPr>
        <sz val="9"/>
        <rFont val="Microsoft Sans Serif"/>
        <charset val="134"/>
      </rPr>
      <t>DIADEMAS 3281/8 OREJITAS CONEJO</t>
    </r>
  </si>
  <si>
    <r>
      <rPr>
        <sz val="8"/>
        <rFont val="Times New Roman"/>
        <charset val="134"/>
      </rPr>
      <t>HD436</t>
    </r>
  </si>
  <si>
    <r>
      <rPr>
        <sz val="9"/>
        <rFont val="Microsoft Sans Serif"/>
        <charset val="134"/>
      </rPr>
      <t>DIADEMAS FLORES VARIAS</t>
    </r>
  </si>
  <si>
    <r>
      <rPr>
        <sz val="8"/>
        <rFont val="Times New Roman"/>
        <charset val="134"/>
      </rPr>
      <t>HD434</t>
    </r>
  </si>
  <si>
    <r>
      <rPr>
        <sz val="9"/>
        <rFont val="Microsoft Sans Serif"/>
        <charset val="134"/>
      </rPr>
      <t>DIADEMAS LAZO DE TELA</t>
    </r>
  </si>
  <si>
    <r>
      <rPr>
        <sz val="8"/>
        <rFont val="Times New Roman"/>
        <charset val="134"/>
      </rPr>
      <t>HD432</t>
    </r>
  </si>
  <si>
    <r>
      <rPr>
        <sz val="9"/>
        <rFont val="Microsoft Sans Serif"/>
        <charset val="134"/>
      </rPr>
      <t>DIADEMAS OREJITAS MINIE TODAS</t>
    </r>
  </si>
  <si>
    <r>
      <rPr>
        <sz val="8"/>
        <rFont val="Times New Roman"/>
        <charset val="134"/>
      </rPr>
      <t>HD3689</t>
    </r>
  </si>
  <si>
    <r>
      <rPr>
        <sz val="9"/>
        <rFont val="Microsoft Sans Serif"/>
        <charset val="134"/>
      </rPr>
      <t>DIFUSOR FACIAL HD</t>
    </r>
  </si>
  <si>
    <r>
      <rPr>
        <sz val="8"/>
        <rFont val="Times New Roman"/>
        <charset val="134"/>
      </rPr>
      <t>HD3688</t>
    </r>
  </si>
  <si>
    <r>
      <rPr>
        <sz val="9"/>
        <rFont val="Microsoft Sans Serif"/>
        <charset val="134"/>
      </rPr>
      <t>DIFUSOR FACIAL SY-883 HD</t>
    </r>
  </si>
  <si>
    <r>
      <rPr>
        <sz val="8"/>
        <rFont val="Times New Roman"/>
        <charset val="134"/>
      </rPr>
      <t>HD3687</t>
    </r>
  </si>
  <si>
    <r>
      <rPr>
        <sz val="9"/>
        <rFont val="Microsoft Sans Serif"/>
        <charset val="134"/>
      </rPr>
      <t>DIFUSOR FACIAL SY-962 HD</t>
    </r>
  </si>
  <si>
    <r>
      <rPr>
        <sz val="8"/>
        <rFont val="Times New Roman"/>
        <charset val="134"/>
      </rPr>
      <t>HD3686</t>
    </r>
  </si>
  <si>
    <r>
      <rPr>
        <sz val="9"/>
        <rFont val="Microsoft Sans Serif"/>
        <charset val="134"/>
      </rPr>
      <t>DIFUSOR FACIAL SY-981 HD</t>
    </r>
  </si>
  <si>
    <r>
      <rPr>
        <sz val="8"/>
        <rFont val="Times New Roman"/>
        <charset val="134"/>
      </rPr>
      <t>HD3685</t>
    </r>
  </si>
  <si>
    <r>
      <rPr>
        <sz val="9"/>
        <rFont val="Microsoft Sans Serif"/>
        <charset val="134"/>
      </rPr>
      <t>DIFUSOR FACIAL SY-993 HD</t>
    </r>
  </si>
  <si>
    <r>
      <rPr>
        <sz val="8"/>
        <rFont val="Times New Roman"/>
        <charset val="134"/>
      </rPr>
      <t>HD739</t>
    </r>
  </si>
  <si>
    <r>
      <rPr>
        <sz val="9"/>
        <rFont val="Microsoft Sans Serif"/>
        <charset val="134"/>
      </rPr>
      <t>DISEÑO DE UÑA</t>
    </r>
  </si>
  <si>
    <r>
      <rPr>
        <sz val="8"/>
        <rFont val="Times New Roman"/>
        <charset val="134"/>
      </rPr>
      <t>HD740</t>
    </r>
  </si>
  <si>
    <r>
      <rPr>
        <sz val="8"/>
        <rFont val="Times New Roman"/>
        <charset val="134"/>
      </rPr>
      <t>HD4012</t>
    </r>
  </si>
  <si>
    <r>
      <rPr>
        <sz val="9"/>
        <rFont val="Microsoft Sans Serif"/>
        <charset val="134"/>
      </rPr>
      <t>DISPENSADOR HD ALIMENTO</t>
    </r>
  </si>
  <si>
    <r>
      <rPr>
        <sz val="8"/>
        <rFont val="Times New Roman"/>
        <charset val="134"/>
      </rPr>
      <t>HD4013</t>
    </r>
  </si>
  <si>
    <r>
      <rPr>
        <sz val="9"/>
        <rFont val="Microsoft Sans Serif"/>
        <charset val="134"/>
      </rPr>
      <t>DISPENSADOR HD ALIMENTO.</t>
    </r>
  </si>
  <si>
    <r>
      <rPr>
        <sz val="8"/>
        <rFont val="Times New Roman"/>
        <charset val="134"/>
      </rPr>
      <t>RFD425908</t>
    </r>
  </si>
  <si>
    <r>
      <rPr>
        <sz val="9"/>
        <rFont val="Microsoft Sans Serif"/>
        <charset val="134"/>
      </rPr>
      <t>DIY CASTLE BUILDING</t>
    </r>
  </si>
  <si>
    <r>
      <rPr>
        <sz val="8"/>
        <rFont val="Times New Roman"/>
        <charset val="134"/>
      </rPr>
      <t>HD7006</t>
    </r>
  </si>
  <si>
    <r>
      <rPr>
        <sz val="9"/>
        <rFont val="Microsoft Sans Serif"/>
        <charset val="134"/>
      </rPr>
      <t>DOBLE ARBOL PEQ CHINA</t>
    </r>
  </si>
  <si>
    <r>
      <rPr>
        <sz val="8"/>
        <rFont val="Times New Roman"/>
        <charset val="134"/>
      </rPr>
      <t>RFD323657</t>
    </r>
  </si>
  <si>
    <r>
      <rPr>
        <sz val="9"/>
        <rFont val="Microsoft Sans Serif"/>
        <charset val="134"/>
      </rPr>
      <t>DONKEY BELL SOOTHE</t>
    </r>
  </si>
  <si>
    <r>
      <rPr>
        <sz val="8"/>
        <rFont val="Times New Roman"/>
        <charset val="134"/>
      </rPr>
      <t>HD4426</t>
    </r>
  </si>
  <si>
    <r>
      <rPr>
        <sz val="9"/>
        <rFont val="Microsoft Sans Serif"/>
        <charset val="134"/>
      </rPr>
      <t>DS-C222 MOLDES PASTEL 5 PZS</t>
    </r>
  </si>
  <si>
    <r>
      <rPr>
        <sz val="8"/>
        <rFont val="Times New Roman"/>
        <charset val="134"/>
      </rPr>
      <t>HD4427</t>
    </r>
  </si>
  <si>
    <r>
      <rPr>
        <sz val="9"/>
        <rFont val="Microsoft Sans Serif"/>
        <charset val="134"/>
      </rPr>
      <t>DS-C225 MOLDES PASTEL 5 PZS</t>
    </r>
  </si>
  <si>
    <r>
      <rPr>
        <sz val="8"/>
        <rFont val="Times New Roman"/>
        <charset val="134"/>
      </rPr>
      <t>HD4428</t>
    </r>
  </si>
  <si>
    <r>
      <rPr>
        <sz val="9"/>
        <rFont val="Microsoft Sans Serif"/>
        <charset val="134"/>
      </rPr>
      <t>DSC228 MOLDES PASTEL 5 PZS</t>
    </r>
  </si>
  <si>
    <r>
      <rPr>
        <sz val="8"/>
        <rFont val="Times New Roman"/>
        <charset val="134"/>
      </rPr>
      <t>HD4429</t>
    </r>
  </si>
  <si>
    <r>
      <rPr>
        <sz val="9"/>
        <rFont val="Microsoft Sans Serif"/>
        <charset val="134"/>
      </rPr>
      <t>DSC229 MOLDES PASTEL 5 PZS</t>
    </r>
  </si>
  <si>
    <r>
      <rPr>
        <sz val="8"/>
        <rFont val="Times New Roman"/>
        <charset val="134"/>
      </rPr>
      <t>HD4431</t>
    </r>
  </si>
  <si>
    <r>
      <rPr>
        <sz val="9"/>
        <rFont val="Microsoft Sans Serif"/>
        <charset val="134"/>
      </rPr>
      <t>DSC560 MOLDES PASTEL 2PZS</t>
    </r>
  </si>
  <si>
    <r>
      <rPr>
        <sz val="8"/>
        <rFont val="Times New Roman"/>
        <charset val="134"/>
      </rPr>
      <t>HD4432</t>
    </r>
  </si>
  <si>
    <r>
      <rPr>
        <sz val="9"/>
        <rFont val="Microsoft Sans Serif"/>
        <charset val="134"/>
      </rPr>
      <t>DSC565 MOLDES PASTEL 2PZS</t>
    </r>
  </si>
  <si>
    <r>
      <rPr>
        <sz val="8"/>
        <rFont val="Times New Roman"/>
        <charset val="134"/>
      </rPr>
      <t>HD4433</t>
    </r>
  </si>
  <si>
    <r>
      <rPr>
        <sz val="9"/>
        <rFont val="Microsoft Sans Serif"/>
        <charset val="134"/>
      </rPr>
      <t>DSC566 MOLDES PASTEL 2PZS</t>
    </r>
  </si>
  <si>
    <r>
      <rPr>
        <sz val="8"/>
        <rFont val="Times New Roman"/>
        <charset val="134"/>
      </rPr>
      <t>HD4617</t>
    </r>
  </si>
  <si>
    <r>
      <rPr>
        <sz val="9"/>
        <rFont val="Microsoft Sans Serif"/>
        <charset val="134"/>
      </rPr>
      <t>DTD STICKERS PARED</t>
    </r>
  </si>
  <si>
    <r>
      <rPr>
        <sz val="8"/>
        <rFont val="Times New Roman"/>
        <charset val="134"/>
      </rPr>
      <t>HD3339</t>
    </r>
  </si>
  <si>
    <r>
      <rPr>
        <sz val="9"/>
        <rFont val="Microsoft Sans Serif"/>
        <charset val="134"/>
      </rPr>
      <t>E-002 PARLANTE PARA PC 05/2021</t>
    </r>
  </si>
  <si>
    <r>
      <rPr>
        <sz val="8"/>
        <rFont val="Times New Roman"/>
        <charset val="134"/>
      </rPr>
      <t>RFD406065</t>
    </r>
  </si>
  <si>
    <r>
      <rPr>
        <sz val="9"/>
        <rFont val="Microsoft Sans Serif"/>
        <charset val="134"/>
      </rPr>
      <t>ECO FRIENDLY JUGUETES</t>
    </r>
  </si>
  <si>
    <r>
      <rPr>
        <sz val="8"/>
        <rFont val="Times New Roman"/>
        <charset val="134"/>
      </rPr>
      <t>HD3656</t>
    </r>
  </si>
  <si>
    <r>
      <rPr>
        <sz val="9"/>
        <rFont val="Microsoft Sans Serif"/>
        <charset val="134"/>
      </rPr>
      <t>EJERCICIOS AM</t>
    </r>
  </si>
  <si>
    <r>
      <rPr>
        <sz val="8"/>
        <rFont val="Times New Roman"/>
        <charset val="134"/>
      </rPr>
      <t>HD3657</t>
    </r>
  </si>
  <si>
    <r>
      <rPr>
        <sz val="8"/>
        <rFont val="Times New Roman"/>
        <charset val="134"/>
      </rPr>
      <t>RFD391544</t>
    </r>
  </si>
  <si>
    <r>
      <rPr>
        <sz val="9"/>
        <rFont val="Microsoft Sans Serif"/>
        <charset val="134"/>
      </rPr>
      <t>ELEPHANT REMOTE JUGUETES</t>
    </r>
  </si>
  <si>
    <r>
      <rPr>
        <sz val="8"/>
        <rFont val="Times New Roman"/>
        <charset val="134"/>
      </rPr>
      <t>RFD409025</t>
    </r>
  </si>
  <si>
    <r>
      <rPr>
        <sz val="8"/>
        <rFont val="Times New Roman"/>
        <charset val="134"/>
      </rPr>
      <t>RFD377037</t>
    </r>
  </si>
  <si>
    <r>
      <rPr>
        <sz val="9"/>
        <rFont val="Microsoft Sans Serif"/>
        <charset val="134"/>
      </rPr>
      <t>ENAMEL RACING CAR 2,4G</t>
    </r>
  </si>
  <si>
    <r>
      <rPr>
        <sz val="9"/>
        <rFont val="Microsoft Sans Serif"/>
        <charset val="134"/>
      </rPr>
      <t>ESCARCHA P/CARA PAQUETE DE 12 UND</t>
    </r>
  </si>
  <si>
    <r>
      <rPr>
        <sz val="8"/>
        <rFont val="Times New Roman"/>
        <charset val="134"/>
      </rPr>
      <t>6901023647118-1</t>
    </r>
  </si>
  <si>
    <r>
      <rPr>
        <sz val="9"/>
        <rFont val="Microsoft Sans Serif"/>
        <charset val="134"/>
      </rPr>
      <t>ESCARCHA P/CARA UNIDAD</t>
    </r>
  </si>
  <si>
    <r>
      <rPr>
        <sz val="8"/>
        <rFont val="Times New Roman"/>
        <charset val="134"/>
      </rPr>
      <t>HD6421</t>
    </r>
  </si>
  <si>
    <r>
      <rPr>
        <sz val="9"/>
        <rFont val="Microsoft Sans Serif"/>
        <charset val="134"/>
      </rPr>
      <t>ESCARCHA POR BOTELLITA UNITARIA</t>
    </r>
  </si>
  <si>
    <r>
      <rPr>
        <sz val="8"/>
        <rFont val="Times New Roman"/>
        <charset val="134"/>
      </rPr>
      <t>HD8581</t>
    </r>
  </si>
  <si>
    <r>
      <rPr>
        <sz val="9"/>
        <rFont val="Microsoft Sans Serif"/>
        <charset val="134"/>
      </rPr>
      <t>ESCENCIAS CERAMICA CHINA</t>
    </r>
  </si>
  <si>
    <r>
      <rPr>
        <sz val="9"/>
        <rFont val="Microsoft Sans Serif"/>
        <charset val="134"/>
      </rPr>
      <t>ESCOLARES 888AH</t>
    </r>
  </si>
  <si>
    <r>
      <rPr>
        <sz val="8"/>
        <rFont val="Times New Roman"/>
        <charset val="134"/>
      </rPr>
      <t>HD3258</t>
    </r>
  </si>
  <si>
    <r>
      <rPr>
        <sz val="9"/>
        <rFont val="Microsoft Sans Serif"/>
        <charset val="134"/>
      </rPr>
      <t>ESCURRIDOR DE MOPA DOBLE 05/2021</t>
    </r>
  </si>
  <si>
    <r>
      <rPr>
        <sz val="8"/>
        <rFont val="Times New Roman"/>
        <charset val="134"/>
      </rPr>
      <t>HD1652</t>
    </r>
  </si>
  <si>
    <r>
      <rPr>
        <sz val="9"/>
        <rFont val="Microsoft Sans Serif"/>
        <charset val="134"/>
      </rPr>
      <t>ESFERAS VARIAS 05/2021</t>
    </r>
  </si>
  <si>
    <r>
      <rPr>
        <sz val="9"/>
        <rFont val="Microsoft Sans Serif"/>
        <charset val="134"/>
      </rPr>
      <t>ESMALTE DE GEL H6205</t>
    </r>
  </si>
  <si>
    <r>
      <rPr>
        <sz val="9"/>
        <rFont val="Microsoft Sans Serif"/>
        <charset val="134"/>
      </rPr>
      <t>ESMALTE UÑAS NATURAL</t>
    </r>
  </si>
  <si>
    <r>
      <rPr>
        <sz val="8"/>
        <rFont val="Times New Roman"/>
        <charset val="134"/>
      </rPr>
      <t>HD2201</t>
    </r>
  </si>
  <si>
    <r>
      <rPr>
        <sz val="9"/>
        <rFont val="Microsoft Sans Serif"/>
        <charset val="134"/>
      </rPr>
      <t>ESPEJO CON CARGADOR LED COSMETIC</t>
    </r>
  </si>
  <si>
    <r>
      <rPr>
        <sz val="8"/>
        <rFont val="Times New Roman"/>
        <charset val="134"/>
      </rPr>
      <t>HD2105</t>
    </r>
  </si>
  <si>
    <r>
      <rPr>
        <sz val="9"/>
        <rFont val="Microsoft Sans Serif"/>
        <charset val="134"/>
      </rPr>
      <t>ESPEJO CON LUCE 3 TOQUES</t>
    </r>
  </si>
  <si>
    <r>
      <rPr>
        <sz val="8"/>
        <rFont val="Times New Roman"/>
        <charset val="134"/>
      </rPr>
      <t>HD2115</t>
    </r>
  </si>
  <si>
    <r>
      <rPr>
        <sz val="9"/>
        <rFont val="Microsoft Sans Serif"/>
        <charset val="134"/>
      </rPr>
      <t>ESPEJO LED BOLSO CON CARGADOR</t>
    </r>
  </si>
  <si>
    <r>
      <rPr>
        <sz val="8"/>
        <rFont val="Times New Roman"/>
        <charset val="134"/>
      </rPr>
      <t xml:space="preserve">00193369212352
</t>
    </r>
    <r>
      <rPr>
        <sz val="8"/>
        <rFont val="Times New Roman"/>
        <charset val="134"/>
      </rPr>
      <t>12119</t>
    </r>
  </si>
  <si>
    <r>
      <rPr>
        <sz val="9"/>
        <rFont val="Microsoft Sans Serif"/>
        <charset val="134"/>
      </rPr>
      <t>ESPONJA</t>
    </r>
  </si>
  <si>
    <r>
      <rPr>
        <sz val="8"/>
        <rFont val="Times New Roman"/>
        <charset val="134"/>
      </rPr>
      <t>HD616</t>
    </r>
  </si>
  <si>
    <r>
      <rPr>
        <sz val="8"/>
        <rFont val="Times New Roman"/>
        <charset val="134"/>
      </rPr>
      <t>HD631</t>
    </r>
  </si>
  <si>
    <r>
      <rPr>
        <sz val="8"/>
        <rFont val="Times New Roman"/>
        <charset val="134"/>
      </rPr>
      <t>HD2401</t>
    </r>
  </si>
  <si>
    <r>
      <rPr>
        <sz val="9"/>
        <rFont val="Microsoft Sans Serif"/>
        <charset val="134"/>
      </rPr>
      <t>ESPONJA 2PZ CORAZONES</t>
    </r>
  </si>
  <si>
    <r>
      <rPr>
        <sz val="8"/>
        <rFont val="Times New Roman"/>
        <charset val="134"/>
      </rPr>
      <t>HD630</t>
    </r>
  </si>
  <si>
    <r>
      <rPr>
        <sz val="9"/>
        <rFont val="Microsoft Sans Serif"/>
        <charset val="134"/>
      </rPr>
      <t>ESPONJA BOUQUET OF JASMINE</t>
    </r>
  </si>
  <si>
    <r>
      <rPr>
        <sz val="8"/>
        <rFont val="Times New Roman"/>
        <charset val="134"/>
      </rPr>
      <t>HD601</t>
    </r>
  </si>
  <si>
    <r>
      <rPr>
        <sz val="9"/>
        <rFont val="Microsoft Sans Serif"/>
        <charset val="134"/>
      </rPr>
      <t>ESPONJA CON LIMA</t>
    </r>
  </si>
  <si>
    <r>
      <rPr>
        <sz val="8"/>
        <rFont val="Times New Roman"/>
        <charset val="134"/>
      </rPr>
      <t>HD653</t>
    </r>
  </si>
  <si>
    <r>
      <rPr>
        <sz val="9"/>
        <rFont val="Microsoft Sans Serif"/>
        <charset val="134"/>
      </rPr>
      <t>ESPONJA PARA LIMA DE UÑAS</t>
    </r>
  </si>
  <si>
    <r>
      <rPr>
        <sz val="8"/>
        <rFont val="Times New Roman"/>
        <charset val="134"/>
      </rPr>
      <t>HD2402</t>
    </r>
  </si>
  <si>
    <r>
      <rPr>
        <sz val="9"/>
        <rFont val="Microsoft Sans Serif"/>
        <charset val="134"/>
      </rPr>
      <t>ESPONJA PROFESIONAL CHINA</t>
    </r>
  </si>
  <si>
    <r>
      <rPr>
        <sz val="9"/>
        <rFont val="Microsoft Sans Serif"/>
        <charset val="134"/>
      </rPr>
      <t>ESPONJA X1 BEAUTY TOOLS</t>
    </r>
  </si>
  <si>
    <r>
      <rPr>
        <sz val="8"/>
        <rFont val="Times New Roman"/>
        <charset val="134"/>
      </rPr>
      <t>HD620</t>
    </r>
  </si>
  <si>
    <r>
      <rPr>
        <sz val="9"/>
        <rFont val="Microsoft Sans Serif"/>
        <charset val="134"/>
      </rPr>
      <t>ESPONJA X1 DOBLE COLOR</t>
    </r>
  </si>
  <si>
    <r>
      <rPr>
        <sz val="8"/>
        <rFont val="Times New Roman"/>
        <charset val="134"/>
      </rPr>
      <t>HD615</t>
    </r>
  </si>
  <si>
    <r>
      <rPr>
        <sz val="9"/>
        <rFont val="Microsoft Sans Serif"/>
        <charset val="134"/>
      </rPr>
      <t>ESPONJA X2 FACIAL OVALADA</t>
    </r>
  </si>
  <si>
    <r>
      <rPr>
        <sz val="8"/>
        <rFont val="Times New Roman"/>
        <charset val="134"/>
      </rPr>
      <t>HD621</t>
    </r>
  </si>
  <si>
    <r>
      <rPr>
        <sz val="9"/>
        <rFont val="Microsoft Sans Serif"/>
        <charset val="134"/>
      </rPr>
      <t>ESPONJA X4 CORAZONES</t>
    </r>
  </si>
  <si>
    <r>
      <rPr>
        <sz val="8"/>
        <rFont val="Times New Roman"/>
        <charset val="134"/>
      </rPr>
      <t>HD619</t>
    </r>
  </si>
  <si>
    <r>
      <rPr>
        <sz val="9"/>
        <rFont val="Microsoft Sans Serif"/>
        <charset val="134"/>
      </rPr>
      <t>ESPONJA X5 PZ NEW</t>
    </r>
  </si>
  <si>
    <r>
      <rPr>
        <sz val="8"/>
        <rFont val="Times New Roman"/>
        <charset val="134"/>
      </rPr>
      <t>HD3974</t>
    </r>
  </si>
  <si>
    <r>
      <rPr>
        <sz val="9"/>
        <rFont val="Microsoft Sans Serif"/>
        <charset val="134"/>
      </rPr>
      <t>ESTANTE</t>
    </r>
  </si>
  <si>
    <r>
      <rPr>
        <sz val="8"/>
        <rFont val="Times New Roman"/>
        <charset val="134"/>
      </rPr>
      <t>HD3966</t>
    </r>
  </si>
  <si>
    <r>
      <rPr>
        <sz val="9"/>
        <rFont val="Microsoft Sans Serif"/>
        <charset val="134"/>
      </rPr>
      <t>ESTANTE 4 PISOS BLANCO</t>
    </r>
  </si>
  <si>
    <r>
      <rPr>
        <sz val="8"/>
        <rFont val="Times New Roman"/>
        <charset val="134"/>
      </rPr>
      <t>HD3967</t>
    </r>
  </si>
  <si>
    <r>
      <rPr>
        <sz val="9"/>
        <rFont val="Microsoft Sans Serif"/>
        <charset val="134"/>
      </rPr>
      <t>ESTANTE 805-3 HD</t>
    </r>
  </si>
  <si>
    <r>
      <rPr>
        <sz val="8"/>
        <rFont val="Times New Roman"/>
        <charset val="134"/>
      </rPr>
      <t>HD3964</t>
    </r>
  </si>
  <si>
    <r>
      <rPr>
        <sz val="9"/>
        <rFont val="Microsoft Sans Serif"/>
        <charset val="134"/>
      </rPr>
      <t>ESTANTE ACC.HOGAR</t>
    </r>
  </si>
  <si>
    <r>
      <rPr>
        <sz val="8"/>
        <rFont val="Times New Roman"/>
        <charset val="134"/>
      </rPr>
      <t>HD3715</t>
    </r>
  </si>
  <si>
    <r>
      <rPr>
        <sz val="9"/>
        <rFont val="Microsoft Sans Serif"/>
        <charset val="134"/>
      </rPr>
      <t>ESTANTE DE BAÑO 5898 HD</t>
    </r>
  </si>
  <si>
    <r>
      <rPr>
        <sz val="8"/>
        <rFont val="Times New Roman"/>
        <charset val="134"/>
      </rPr>
      <t>HD3718</t>
    </r>
  </si>
  <si>
    <r>
      <rPr>
        <sz val="9"/>
        <rFont val="Microsoft Sans Serif"/>
        <charset val="134"/>
      </rPr>
      <t>ESTANTE DE COCINA 5897 HD</t>
    </r>
  </si>
  <si>
    <r>
      <rPr>
        <sz val="8"/>
        <rFont val="Times New Roman"/>
        <charset val="134"/>
      </rPr>
      <t>HD3962</t>
    </r>
  </si>
  <si>
    <r>
      <rPr>
        <sz val="9"/>
        <rFont val="Microsoft Sans Serif"/>
        <charset val="134"/>
      </rPr>
      <t>ESTANTE HD 0252</t>
    </r>
  </si>
  <si>
    <r>
      <rPr>
        <sz val="8"/>
        <rFont val="Times New Roman"/>
        <charset val="134"/>
      </rPr>
      <t>HD3960</t>
    </r>
  </si>
  <si>
    <r>
      <rPr>
        <sz val="9"/>
        <rFont val="Microsoft Sans Serif"/>
        <charset val="134"/>
      </rPr>
      <t>ESTANTE HD 0255</t>
    </r>
  </si>
  <si>
    <r>
      <rPr>
        <sz val="8"/>
        <rFont val="Times New Roman"/>
        <charset val="134"/>
      </rPr>
      <t>HD3963</t>
    </r>
  </si>
  <si>
    <r>
      <rPr>
        <sz val="9"/>
        <rFont val="Microsoft Sans Serif"/>
        <charset val="134"/>
      </rPr>
      <t>ESTANTE HD 0259</t>
    </r>
  </si>
  <si>
    <r>
      <rPr>
        <sz val="8"/>
        <rFont val="Times New Roman"/>
        <charset val="134"/>
      </rPr>
      <t>HD3971</t>
    </r>
  </si>
  <si>
    <r>
      <rPr>
        <sz val="9"/>
        <rFont val="Microsoft Sans Serif"/>
        <charset val="134"/>
      </rPr>
      <t>ESTANTE HD 0269</t>
    </r>
  </si>
  <si>
    <r>
      <rPr>
        <sz val="8"/>
        <rFont val="Times New Roman"/>
        <charset val="134"/>
      </rPr>
      <t>HD3965</t>
    </r>
  </si>
  <si>
    <r>
      <rPr>
        <sz val="9"/>
        <rFont val="Microsoft Sans Serif"/>
        <charset val="134"/>
      </rPr>
      <t>ESTANTE HD 02-81</t>
    </r>
  </si>
  <si>
    <r>
      <rPr>
        <sz val="8"/>
        <rFont val="Times New Roman"/>
        <charset val="134"/>
      </rPr>
      <t>HD3968</t>
    </r>
  </si>
  <si>
    <r>
      <rPr>
        <sz val="9"/>
        <rFont val="Microsoft Sans Serif"/>
        <charset val="134"/>
      </rPr>
      <t>ESTANTE HD 6501-4</t>
    </r>
  </si>
  <si>
    <r>
      <rPr>
        <sz val="8"/>
        <rFont val="Times New Roman"/>
        <charset val="134"/>
      </rPr>
      <t>HD3973</t>
    </r>
  </si>
  <si>
    <r>
      <rPr>
        <sz val="9"/>
        <rFont val="Microsoft Sans Serif"/>
        <charset val="134"/>
      </rPr>
      <t>ESTANTE HD 672</t>
    </r>
  </si>
  <si>
    <r>
      <rPr>
        <sz val="8"/>
        <rFont val="Times New Roman"/>
        <charset val="134"/>
      </rPr>
      <t>HD3972</t>
    </r>
  </si>
  <si>
    <r>
      <rPr>
        <sz val="9"/>
        <rFont val="Microsoft Sans Serif"/>
        <charset val="134"/>
      </rPr>
      <t>ESTANTE HD 867</t>
    </r>
  </si>
  <si>
    <r>
      <rPr>
        <sz val="8"/>
        <rFont val="Times New Roman"/>
        <charset val="134"/>
      </rPr>
      <t>HD4010</t>
    </r>
  </si>
  <si>
    <r>
      <rPr>
        <sz val="9"/>
        <rFont val="Microsoft Sans Serif"/>
        <charset val="134"/>
      </rPr>
      <t>ESTANTE HD ALMACENAMIENTO</t>
    </r>
  </si>
  <si>
    <r>
      <rPr>
        <sz val="8"/>
        <rFont val="Times New Roman"/>
        <charset val="134"/>
      </rPr>
      <t>HD4004</t>
    </r>
  </si>
  <si>
    <r>
      <rPr>
        <sz val="9"/>
        <rFont val="Microsoft Sans Serif"/>
        <charset val="134"/>
      </rPr>
      <t>ESTANTE HD PARED</t>
    </r>
  </si>
  <si>
    <r>
      <rPr>
        <sz val="8"/>
        <rFont val="Times New Roman"/>
        <charset val="134"/>
      </rPr>
      <t>HD4005</t>
    </r>
  </si>
  <si>
    <r>
      <rPr>
        <sz val="8"/>
        <rFont val="Times New Roman"/>
        <charset val="134"/>
      </rPr>
      <t>HD3970</t>
    </r>
  </si>
  <si>
    <r>
      <rPr>
        <sz val="9"/>
        <rFont val="Microsoft Sans Serif"/>
        <charset val="134"/>
      </rPr>
      <t>ESTANTE HD3970</t>
    </r>
  </si>
  <si>
    <r>
      <rPr>
        <sz val="8"/>
        <rFont val="Times New Roman"/>
        <charset val="134"/>
      </rPr>
      <t>HD4040-1</t>
    </r>
  </si>
  <si>
    <r>
      <rPr>
        <sz val="9"/>
        <rFont val="Microsoft Sans Serif"/>
        <charset val="134"/>
      </rPr>
      <t>ESTILETE</t>
    </r>
  </si>
  <si>
    <r>
      <rPr>
        <sz val="8"/>
        <rFont val="Times New Roman"/>
        <charset val="134"/>
      </rPr>
      <t>HD4102</t>
    </r>
  </si>
  <si>
    <r>
      <rPr>
        <sz val="9"/>
        <rFont val="Microsoft Sans Serif"/>
        <charset val="134"/>
      </rPr>
      <t>ESTILETE X3 HD</t>
    </r>
  </si>
  <si>
    <r>
      <rPr>
        <sz val="8"/>
        <rFont val="Times New Roman"/>
        <charset val="134"/>
      </rPr>
      <t>HD2069</t>
    </r>
  </si>
  <si>
    <r>
      <rPr>
        <sz val="9"/>
        <rFont val="Microsoft Sans Serif"/>
        <charset val="134"/>
      </rPr>
      <t>Estropajos</t>
    </r>
  </si>
  <si>
    <r>
      <rPr>
        <sz val="8"/>
        <rFont val="Times New Roman"/>
        <charset val="134"/>
      </rPr>
      <t>HD3656-1</t>
    </r>
  </si>
  <si>
    <r>
      <rPr>
        <sz val="9"/>
        <rFont val="Microsoft Sans Serif"/>
        <charset val="134"/>
      </rPr>
      <t>EXTENSOR DE PECHO YX-WKQ HD</t>
    </r>
  </si>
  <si>
    <r>
      <rPr>
        <sz val="8"/>
        <rFont val="Times New Roman"/>
        <charset val="134"/>
      </rPr>
      <t>HD3661</t>
    </r>
  </si>
  <si>
    <r>
      <rPr>
        <sz val="9"/>
        <rFont val="Microsoft Sans Serif"/>
        <charset val="134"/>
      </rPr>
      <t>EXTENSOR ELASTICO HD YX-JD-X</t>
    </r>
  </si>
  <si>
    <r>
      <rPr>
        <sz val="8"/>
        <rFont val="Times New Roman"/>
        <charset val="134"/>
      </rPr>
      <t>HD3660</t>
    </r>
  </si>
  <si>
    <r>
      <rPr>
        <sz val="9"/>
        <rFont val="Microsoft Sans Serif"/>
        <charset val="134"/>
      </rPr>
      <t>EXTENSOR ELASTICO XY-DJ HD</t>
    </r>
  </si>
  <si>
    <r>
      <rPr>
        <sz val="8"/>
        <rFont val="Times New Roman"/>
        <charset val="134"/>
      </rPr>
      <t>HD02018</t>
    </r>
  </si>
  <si>
    <r>
      <rPr>
        <sz val="9"/>
        <rFont val="Microsoft Sans Serif"/>
        <charset val="134"/>
      </rPr>
      <t>F-1079 270ML CHINA</t>
    </r>
  </si>
  <si>
    <r>
      <rPr>
        <sz val="8"/>
        <rFont val="Times New Roman"/>
        <charset val="134"/>
      </rPr>
      <t>GLOBO</t>
    </r>
  </si>
  <si>
    <r>
      <rPr>
        <sz val="9"/>
        <rFont val="Microsoft Sans Serif"/>
        <charset val="134"/>
      </rPr>
      <t>FIESTA S0CIAL</t>
    </r>
  </si>
  <si>
    <r>
      <rPr>
        <sz val="8"/>
        <rFont val="Times New Roman"/>
        <charset val="134"/>
      </rPr>
      <t>HD2482</t>
    </r>
  </si>
  <si>
    <r>
      <rPr>
        <sz val="9"/>
        <rFont val="Microsoft Sans Serif"/>
        <charset val="134"/>
      </rPr>
      <t>FIESTA SOCIAL KIT DE CUMPLEAÑOS</t>
    </r>
  </si>
  <si>
    <r>
      <rPr>
        <sz val="8"/>
        <rFont val="Times New Roman"/>
        <charset val="134"/>
      </rPr>
      <t>HD2065</t>
    </r>
  </si>
  <si>
    <r>
      <rPr>
        <sz val="9"/>
        <rFont val="Microsoft Sans Serif"/>
        <charset val="134"/>
      </rPr>
      <t>FILTRO PURIFICADOR AGUA</t>
    </r>
  </si>
  <si>
    <r>
      <rPr>
        <sz val="8"/>
        <rFont val="Times New Roman"/>
        <charset val="134"/>
      </rPr>
      <t>HD4503</t>
    </r>
  </si>
  <si>
    <r>
      <rPr>
        <sz val="9"/>
        <rFont val="Microsoft Sans Serif"/>
        <charset val="134"/>
      </rPr>
      <t>FJJ STICKERS PARED</t>
    </r>
  </si>
  <si>
    <r>
      <rPr>
        <sz val="8"/>
        <rFont val="Times New Roman"/>
        <charset val="134"/>
      </rPr>
      <t>RFD304709</t>
    </r>
  </si>
  <si>
    <r>
      <rPr>
        <sz val="9"/>
        <rFont val="Microsoft Sans Serif"/>
        <charset val="134"/>
      </rPr>
      <t>FLASH SWORD MUSIC</t>
    </r>
  </si>
  <si>
    <r>
      <rPr>
        <sz val="8"/>
        <rFont val="Times New Roman"/>
        <charset val="134"/>
      </rPr>
      <t>HD4609</t>
    </r>
  </si>
  <si>
    <r>
      <rPr>
        <sz val="9"/>
        <rFont val="Microsoft Sans Serif"/>
        <charset val="134"/>
      </rPr>
      <t>FLE STICKERS PARED</t>
    </r>
  </si>
  <si>
    <r>
      <rPr>
        <sz val="8"/>
        <rFont val="Times New Roman"/>
        <charset val="134"/>
      </rPr>
      <t>HD3775</t>
    </r>
  </si>
  <si>
    <r>
      <rPr>
        <sz val="9"/>
        <rFont val="Microsoft Sans Serif"/>
        <charset val="134"/>
      </rPr>
      <t>FLORES SIMULACION DE CAIDA</t>
    </r>
  </si>
  <si>
    <r>
      <rPr>
        <sz val="8"/>
        <rFont val="Times New Roman"/>
        <charset val="134"/>
      </rPr>
      <t>HD3778</t>
    </r>
  </si>
  <si>
    <r>
      <rPr>
        <sz val="9"/>
        <rFont val="Microsoft Sans Serif"/>
        <charset val="134"/>
      </rPr>
      <t>FLORES SIMULACION DE CAIDA SUAVE HD..</t>
    </r>
  </si>
  <si>
    <r>
      <rPr>
        <sz val="8"/>
        <rFont val="Times New Roman"/>
        <charset val="134"/>
      </rPr>
      <t>HD3779</t>
    </r>
  </si>
  <si>
    <r>
      <rPr>
        <sz val="9"/>
        <rFont val="Microsoft Sans Serif"/>
        <charset val="134"/>
      </rPr>
      <t>FLORES SIMULACION DE CAIDA SUAVE HD…</t>
    </r>
  </si>
  <si>
    <r>
      <rPr>
        <sz val="8"/>
        <rFont val="Times New Roman"/>
        <charset val="134"/>
      </rPr>
      <t>HD2122</t>
    </r>
  </si>
  <si>
    <r>
      <rPr>
        <sz val="9"/>
        <rFont val="Microsoft Sans Serif"/>
        <charset val="134"/>
      </rPr>
      <t>FLORES TERMO 500ML ESTAMPADO</t>
    </r>
  </si>
  <si>
    <r>
      <rPr>
        <sz val="8"/>
        <rFont val="Times New Roman"/>
        <charset val="134"/>
      </rPr>
      <t>HD2461</t>
    </r>
  </si>
  <si>
    <r>
      <rPr>
        <sz val="9"/>
        <rFont val="Microsoft Sans Serif"/>
        <charset val="134"/>
      </rPr>
      <t>FLORES TRANSPARENTE CASE</t>
    </r>
  </si>
  <si>
    <r>
      <rPr>
        <sz val="8"/>
        <rFont val="Times New Roman"/>
        <charset val="134"/>
      </rPr>
      <t>HD1823</t>
    </r>
  </si>
  <si>
    <r>
      <rPr>
        <sz val="9"/>
        <rFont val="Microsoft Sans Serif"/>
        <charset val="134"/>
      </rPr>
      <t>FOCO CHINA 15V</t>
    </r>
  </si>
  <si>
    <r>
      <rPr>
        <sz val="8"/>
        <rFont val="Times New Roman"/>
        <charset val="134"/>
      </rPr>
      <t>HD1826</t>
    </r>
  </si>
  <si>
    <r>
      <rPr>
        <sz val="9"/>
        <rFont val="Microsoft Sans Serif"/>
        <charset val="134"/>
      </rPr>
      <t>FOCO PARLANTE</t>
    </r>
  </si>
  <si>
    <r>
      <rPr>
        <sz val="8"/>
        <rFont val="Times New Roman"/>
        <charset val="134"/>
      </rPr>
      <t>RFD428212</t>
    </r>
  </si>
  <si>
    <r>
      <rPr>
        <sz val="9"/>
        <rFont val="Microsoft Sans Serif"/>
        <charset val="134"/>
      </rPr>
      <t>FOOTBALL 220 MM PELOTA 5</t>
    </r>
  </si>
  <si>
    <r>
      <rPr>
        <sz val="8"/>
        <rFont val="Times New Roman"/>
        <charset val="134"/>
      </rPr>
      <t>RFD428213</t>
    </r>
  </si>
  <si>
    <r>
      <rPr>
        <sz val="8"/>
        <rFont val="Times New Roman"/>
        <charset val="134"/>
      </rPr>
      <t>RFD428214</t>
    </r>
  </si>
  <si>
    <r>
      <rPr>
        <sz val="8"/>
        <rFont val="Times New Roman"/>
        <charset val="134"/>
      </rPr>
      <t>RFD435794</t>
    </r>
  </si>
  <si>
    <r>
      <rPr>
        <sz val="9"/>
        <rFont val="Microsoft Sans Serif"/>
        <charset val="134"/>
      </rPr>
      <t>FOOTBALL SPORT TOYS SERIES</t>
    </r>
  </si>
  <si>
    <r>
      <rPr>
        <sz val="8"/>
        <rFont val="Times New Roman"/>
        <charset val="134"/>
      </rPr>
      <t>HD2056</t>
    </r>
  </si>
  <si>
    <r>
      <rPr>
        <sz val="9"/>
        <rFont val="Microsoft Sans Serif"/>
        <charset val="134"/>
      </rPr>
      <t>FORRO GRAND CELULAR CONTRA LLUVIA</t>
    </r>
  </si>
  <si>
    <r>
      <rPr>
        <sz val="8"/>
        <rFont val="Times New Roman"/>
        <charset val="134"/>
      </rPr>
      <t>HD2055</t>
    </r>
  </si>
  <si>
    <r>
      <rPr>
        <sz val="9"/>
        <rFont val="Microsoft Sans Serif"/>
        <charset val="134"/>
      </rPr>
      <t>FORRO MED CELULAR CONTRA LLUVIA</t>
    </r>
  </si>
  <si>
    <r>
      <rPr>
        <sz val="8"/>
        <rFont val="Times New Roman"/>
        <charset val="134"/>
      </rPr>
      <t>HD2054</t>
    </r>
  </si>
  <si>
    <r>
      <rPr>
        <sz val="9"/>
        <rFont val="Microsoft Sans Serif"/>
        <charset val="134"/>
      </rPr>
      <t>FORRO PEQ CELULAR CONTRA LLUVIA</t>
    </r>
  </si>
  <si>
    <r>
      <rPr>
        <sz val="8"/>
        <rFont val="Times New Roman"/>
        <charset val="134"/>
      </rPr>
      <t>HD4447</t>
    </r>
  </si>
  <si>
    <r>
      <rPr>
        <sz val="9"/>
        <rFont val="Microsoft Sans Serif"/>
        <charset val="134"/>
      </rPr>
      <t>FP STICKERS PARED</t>
    </r>
  </si>
  <si>
    <r>
      <rPr>
        <sz val="8"/>
        <rFont val="Times New Roman"/>
        <charset val="134"/>
      </rPr>
      <t>HD02057</t>
    </r>
  </si>
  <si>
    <r>
      <rPr>
        <sz val="9"/>
        <rFont val="Microsoft Sans Serif"/>
        <charset val="134"/>
      </rPr>
      <t>FQ-4919-1 350ML CHINA</t>
    </r>
  </si>
  <si>
    <r>
      <rPr>
        <sz val="8"/>
        <rFont val="Times New Roman"/>
        <charset val="134"/>
      </rPr>
      <t>HD4639</t>
    </r>
  </si>
  <si>
    <r>
      <rPr>
        <sz val="9"/>
        <rFont val="Microsoft Sans Serif"/>
        <charset val="134"/>
      </rPr>
      <t>FRAGANCIA TAPA PERFORADA</t>
    </r>
  </si>
  <si>
    <r>
      <rPr>
        <sz val="8"/>
        <rFont val="Times New Roman"/>
        <charset val="134"/>
      </rPr>
      <t>HD4640</t>
    </r>
  </si>
  <si>
    <r>
      <rPr>
        <sz val="8"/>
        <rFont val="Times New Roman"/>
        <charset val="134"/>
      </rPr>
      <t>HD4641</t>
    </r>
  </si>
  <si>
    <r>
      <rPr>
        <sz val="8"/>
        <rFont val="Times New Roman"/>
        <charset val="134"/>
      </rPr>
      <t>HD4642-1</t>
    </r>
  </si>
  <si>
    <r>
      <rPr>
        <sz val="8"/>
        <rFont val="Times New Roman"/>
        <charset val="134"/>
      </rPr>
      <t>HD4626</t>
    </r>
  </si>
  <si>
    <r>
      <rPr>
        <sz val="9"/>
        <rFont val="Microsoft Sans Serif"/>
        <charset val="134"/>
      </rPr>
      <t>FRAGANCIA VARIOS</t>
    </r>
  </si>
  <si>
    <r>
      <rPr>
        <sz val="8"/>
        <rFont val="Times New Roman"/>
        <charset val="134"/>
      </rPr>
      <t>HD4627</t>
    </r>
  </si>
  <si>
    <r>
      <rPr>
        <sz val="9"/>
        <rFont val="Microsoft Sans Serif"/>
        <charset val="134"/>
      </rPr>
      <t>FRAGANCIA VARIOS.</t>
    </r>
  </si>
  <si>
    <r>
      <rPr>
        <sz val="8"/>
        <rFont val="Times New Roman"/>
        <charset val="134"/>
      </rPr>
      <t>HD4628</t>
    </r>
  </si>
  <si>
    <r>
      <rPr>
        <sz val="9"/>
        <rFont val="Microsoft Sans Serif"/>
        <charset val="134"/>
      </rPr>
      <t>FRAGANCIA VARIOS..</t>
    </r>
  </si>
  <si>
    <r>
      <rPr>
        <sz val="8"/>
        <rFont val="Times New Roman"/>
        <charset val="134"/>
      </rPr>
      <t>HD4629</t>
    </r>
  </si>
  <si>
    <r>
      <rPr>
        <sz val="9"/>
        <rFont val="Microsoft Sans Serif"/>
        <charset val="134"/>
      </rPr>
      <t>FRAGANCIA VARIOS…</t>
    </r>
  </si>
  <si>
    <r>
      <rPr>
        <sz val="8"/>
        <rFont val="Times New Roman"/>
        <charset val="134"/>
      </rPr>
      <t>RFD357862</t>
    </r>
  </si>
  <si>
    <r>
      <rPr>
        <sz val="9"/>
        <rFont val="Microsoft Sans Serif"/>
        <charset val="134"/>
      </rPr>
      <t>FRUIT 3 PCS JUGUETES</t>
    </r>
  </si>
  <si>
    <r>
      <rPr>
        <sz val="8"/>
        <rFont val="Times New Roman"/>
        <charset val="134"/>
      </rPr>
      <t>RFD357863</t>
    </r>
  </si>
  <si>
    <r>
      <rPr>
        <sz val="9"/>
        <rFont val="Microsoft Sans Serif"/>
        <charset val="134"/>
      </rPr>
      <t>FRUIT 4 PCS JUGUETES</t>
    </r>
  </si>
  <si>
    <r>
      <rPr>
        <sz val="8"/>
        <rFont val="Times New Roman"/>
        <charset val="134"/>
      </rPr>
      <t>HD3243</t>
    </r>
  </si>
  <si>
    <r>
      <rPr>
        <sz val="9"/>
        <rFont val="Microsoft Sans Serif"/>
        <charset val="134"/>
      </rPr>
      <t>GAFA CHINA</t>
    </r>
  </si>
  <si>
    <r>
      <rPr>
        <sz val="8"/>
        <rFont val="Times New Roman"/>
        <charset val="134"/>
      </rPr>
      <t>RFD437787</t>
    </r>
  </si>
  <si>
    <r>
      <rPr>
        <sz val="9"/>
        <rFont val="Microsoft Sans Serif"/>
        <charset val="134"/>
      </rPr>
      <t>GAFA PARTY GLASSES JUGUETE</t>
    </r>
  </si>
  <si>
    <r>
      <rPr>
        <sz val="8"/>
        <rFont val="Times New Roman"/>
        <charset val="134"/>
      </rPr>
      <t>HD2243</t>
    </r>
  </si>
  <si>
    <r>
      <rPr>
        <sz val="9"/>
        <rFont val="Microsoft Sans Serif"/>
        <charset val="134"/>
      </rPr>
      <t>GAFAS</t>
    </r>
  </si>
  <si>
    <r>
      <rPr>
        <sz val="8"/>
        <rFont val="Times New Roman"/>
        <charset val="134"/>
      </rPr>
      <t>HD509</t>
    </r>
  </si>
  <si>
    <r>
      <rPr>
        <sz val="9"/>
        <rFont val="Microsoft Sans Serif"/>
        <charset val="134"/>
      </rPr>
      <t>GAFAS 025</t>
    </r>
  </si>
  <si>
    <r>
      <rPr>
        <sz val="8"/>
        <rFont val="Times New Roman"/>
        <charset val="134"/>
      </rPr>
      <t>HD532</t>
    </r>
  </si>
  <si>
    <r>
      <rPr>
        <sz val="9"/>
        <rFont val="Microsoft Sans Serif"/>
        <charset val="134"/>
      </rPr>
      <t>GAFAS 2002</t>
    </r>
  </si>
  <si>
    <r>
      <rPr>
        <sz val="8"/>
        <rFont val="Times New Roman"/>
        <charset val="134"/>
      </rPr>
      <t>HD1536</t>
    </r>
  </si>
  <si>
    <r>
      <rPr>
        <sz val="9"/>
        <rFont val="Microsoft Sans Serif"/>
        <charset val="134"/>
      </rPr>
      <t>GAFAS ASO BORDE DE COLOR CH</t>
    </r>
  </si>
  <si>
    <r>
      <rPr>
        <sz val="8"/>
        <rFont val="Times New Roman"/>
        <charset val="134"/>
      </rPr>
      <t>HD2380</t>
    </r>
  </si>
  <si>
    <r>
      <rPr>
        <sz val="9"/>
        <rFont val="Microsoft Sans Serif"/>
        <charset val="134"/>
      </rPr>
      <t>GAFAS CABALLERO 1821</t>
    </r>
  </si>
  <si>
    <r>
      <rPr>
        <sz val="8"/>
        <rFont val="Times New Roman"/>
        <charset val="134"/>
      </rPr>
      <t>HD2382</t>
    </r>
  </si>
  <si>
    <r>
      <rPr>
        <sz val="9"/>
        <rFont val="Microsoft Sans Serif"/>
        <charset val="134"/>
      </rPr>
      <t>GAFAS CABALLERO 629</t>
    </r>
  </si>
  <si>
    <r>
      <rPr>
        <sz val="8"/>
        <rFont val="Times New Roman"/>
        <charset val="134"/>
      </rPr>
      <t>HD519</t>
    </r>
  </si>
  <si>
    <r>
      <rPr>
        <sz val="9"/>
        <rFont val="Microsoft Sans Serif"/>
        <charset val="134"/>
      </rPr>
      <t>GAFAS CABALLERO 642</t>
    </r>
  </si>
  <si>
    <r>
      <rPr>
        <sz val="8"/>
        <rFont val="Times New Roman"/>
        <charset val="134"/>
      </rPr>
      <t>HD2254</t>
    </r>
  </si>
  <si>
    <r>
      <rPr>
        <sz val="9"/>
        <rFont val="Microsoft Sans Serif"/>
        <charset val="134"/>
      </rPr>
      <t>GAFAS CHINA 1538</t>
    </r>
  </si>
  <si>
    <r>
      <rPr>
        <sz val="8"/>
        <rFont val="Times New Roman"/>
        <charset val="134"/>
      </rPr>
      <t>HD2213</t>
    </r>
  </si>
  <si>
    <r>
      <rPr>
        <sz val="9"/>
        <rFont val="Microsoft Sans Serif"/>
        <charset val="134"/>
      </rPr>
      <t>GAFAS CHINA 18030</t>
    </r>
  </si>
  <si>
    <r>
      <rPr>
        <sz val="8"/>
        <rFont val="Times New Roman"/>
        <charset val="134"/>
      </rPr>
      <t>HD18033</t>
    </r>
  </si>
  <si>
    <r>
      <rPr>
        <sz val="9"/>
        <rFont val="Microsoft Sans Serif"/>
        <charset val="134"/>
      </rPr>
      <t>GAFAS CHINA 18033</t>
    </r>
  </si>
  <si>
    <r>
      <rPr>
        <sz val="8"/>
        <rFont val="Times New Roman"/>
        <charset val="134"/>
      </rPr>
      <t>HD18034</t>
    </r>
  </si>
  <si>
    <r>
      <rPr>
        <sz val="9"/>
        <rFont val="Microsoft Sans Serif"/>
        <charset val="134"/>
      </rPr>
      <t>GAFAS CHINA 18034</t>
    </r>
  </si>
  <si>
    <r>
      <rPr>
        <sz val="8"/>
        <rFont val="Times New Roman"/>
        <charset val="134"/>
      </rPr>
      <t>HD1805</t>
    </r>
  </si>
  <si>
    <r>
      <rPr>
        <sz val="9"/>
        <rFont val="Microsoft Sans Serif"/>
        <charset val="134"/>
      </rPr>
      <t>GAFAS CHINA 1805</t>
    </r>
  </si>
  <si>
    <r>
      <rPr>
        <sz val="8"/>
        <rFont val="Times New Roman"/>
        <charset val="134"/>
      </rPr>
      <t>HD2431</t>
    </r>
  </si>
  <si>
    <r>
      <rPr>
        <sz val="9"/>
        <rFont val="Microsoft Sans Serif"/>
        <charset val="134"/>
      </rPr>
      <t>GAFAS CHINA 2431</t>
    </r>
  </si>
  <si>
    <r>
      <rPr>
        <sz val="8"/>
        <rFont val="Times New Roman"/>
        <charset val="134"/>
      </rPr>
      <t>HD2467</t>
    </r>
  </si>
  <si>
    <r>
      <rPr>
        <sz val="9"/>
        <rFont val="Microsoft Sans Serif"/>
        <charset val="134"/>
      </rPr>
      <t>GAFAS CHINA 2467</t>
    </r>
  </si>
  <si>
    <r>
      <rPr>
        <sz val="8"/>
        <rFont val="Times New Roman"/>
        <charset val="134"/>
      </rPr>
      <t>HD2469</t>
    </r>
  </si>
  <si>
    <r>
      <rPr>
        <sz val="9"/>
        <rFont val="Microsoft Sans Serif"/>
        <charset val="134"/>
      </rPr>
      <t>GAFAS CHINA 2469</t>
    </r>
  </si>
  <si>
    <r>
      <rPr>
        <sz val="8"/>
        <rFont val="Times New Roman"/>
        <charset val="134"/>
      </rPr>
      <t>HD3604</t>
    </r>
  </si>
  <si>
    <r>
      <rPr>
        <sz val="9"/>
        <rFont val="Microsoft Sans Serif"/>
        <charset val="134"/>
      </rPr>
      <t>GAFAS CHINA 3604</t>
    </r>
  </si>
  <si>
    <r>
      <rPr>
        <sz val="8"/>
        <rFont val="Times New Roman"/>
        <charset val="134"/>
      </rPr>
      <t>HD3617</t>
    </r>
  </si>
  <si>
    <r>
      <rPr>
        <sz val="9"/>
        <rFont val="Microsoft Sans Serif"/>
        <charset val="134"/>
      </rPr>
      <t>GAFAS CHINA 3617</t>
    </r>
  </si>
  <si>
    <r>
      <rPr>
        <sz val="8"/>
        <rFont val="Times New Roman"/>
        <charset val="134"/>
      </rPr>
      <t>HD3627</t>
    </r>
  </si>
  <si>
    <r>
      <rPr>
        <sz val="9"/>
        <rFont val="Microsoft Sans Serif"/>
        <charset val="134"/>
      </rPr>
      <t>GAFAS CHINA 3627</t>
    </r>
  </si>
  <si>
    <r>
      <rPr>
        <sz val="8"/>
        <rFont val="Times New Roman"/>
        <charset val="134"/>
      </rPr>
      <t>HD3629</t>
    </r>
  </si>
  <si>
    <r>
      <rPr>
        <sz val="9"/>
        <rFont val="Microsoft Sans Serif"/>
        <charset val="134"/>
      </rPr>
      <t>GAFAS CHINA 3629</t>
    </r>
  </si>
  <si>
    <r>
      <rPr>
        <sz val="8"/>
        <rFont val="Times New Roman"/>
        <charset val="134"/>
      </rPr>
      <t>HD3632</t>
    </r>
  </si>
  <si>
    <r>
      <rPr>
        <sz val="9"/>
        <rFont val="Microsoft Sans Serif"/>
        <charset val="134"/>
      </rPr>
      <t>GAFAS CHINA 3632</t>
    </r>
  </si>
  <si>
    <r>
      <rPr>
        <sz val="8"/>
        <rFont val="Times New Roman"/>
        <charset val="134"/>
      </rPr>
      <t>HD3634</t>
    </r>
  </si>
  <si>
    <r>
      <rPr>
        <sz val="9"/>
        <rFont val="Microsoft Sans Serif"/>
        <charset val="134"/>
      </rPr>
      <t>GAFAS CHINA 3634</t>
    </r>
  </si>
  <si>
    <r>
      <rPr>
        <sz val="8"/>
        <rFont val="Times New Roman"/>
        <charset val="134"/>
      </rPr>
      <t>HD3642</t>
    </r>
  </si>
  <si>
    <r>
      <rPr>
        <sz val="9"/>
        <rFont val="Microsoft Sans Serif"/>
        <charset val="134"/>
      </rPr>
      <t>GAFAS CHINA 3642</t>
    </r>
  </si>
  <si>
    <r>
      <rPr>
        <sz val="8"/>
        <rFont val="Times New Roman"/>
        <charset val="134"/>
      </rPr>
      <t>HD3645</t>
    </r>
  </si>
  <si>
    <r>
      <rPr>
        <sz val="9"/>
        <rFont val="Microsoft Sans Serif"/>
        <charset val="134"/>
      </rPr>
      <t>GAFAS CHINA 3645</t>
    </r>
  </si>
  <si>
    <r>
      <rPr>
        <sz val="8"/>
        <rFont val="Times New Roman"/>
        <charset val="134"/>
      </rPr>
      <t>HD3647</t>
    </r>
  </si>
  <si>
    <r>
      <rPr>
        <sz val="9"/>
        <rFont val="Microsoft Sans Serif"/>
        <charset val="134"/>
      </rPr>
      <t>GAFAS CHINA 3647</t>
    </r>
  </si>
  <si>
    <r>
      <rPr>
        <sz val="8"/>
        <rFont val="Times New Roman"/>
        <charset val="134"/>
      </rPr>
      <t>HD3650</t>
    </r>
  </si>
  <si>
    <r>
      <rPr>
        <sz val="9"/>
        <rFont val="Microsoft Sans Serif"/>
        <charset val="134"/>
      </rPr>
      <t>GAFAS CHINA 3650</t>
    </r>
  </si>
  <si>
    <r>
      <rPr>
        <sz val="8"/>
        <rFont val="Times New Roman"/>
        <charset val="134"/>
      </rPr>
      <t>HD3659</t>
    </r>
  </si>
  <si>
    <r>
      <rPr>
        <sz val="9"/>
        <rFont val="Microsoft Sans Serif"/>
        <charset val="134"/>
      </rPr>
      <t>GAFAS CHINA 3659</t>
    </r>
  </si>
  <si>
    <r>
      <rPr>
        <sz val="8"/>
        <rFont val="Times New Roman"/>
        <charset val="134"/>
      </rPr>
      <t>HD3664</t>
    </r>
  </si>
  <si>
    <r>
      <rPr>
        <sz val="9"/>
        <rFont val="Microsoft Sans Serif"/>
        <charset val="134"/>
      </rPr>
      <t>GAFAS CHINA 3664</t>
    </r>
  </si>
  <si>
    <r>
      <rPr>
        <sz val="8"/>
        <rFont val="Times New Roman"/>
        <charset val="134"/>
      </rPr>
      <t>HD3666</t>
    </r>
  </si>
  <si>
    <r>
      <rPr>
        <sz val="9"/>
        <rFont val="Microsoft Sans Serif"/>
        <charset val="134"/>
      </rPr>
      <t>GAFAS CHINA 3666</t>
    </r>
  </si>
  <si>
    <r>
      <rPr>
        <sz val="8"/>
        <rFont val="Times New Roman"/>
        <charset val="134"/>
      </rPr>
      <t>HD006</t>
    </r>
  </si>
  <si>
    <r>
      <rPr>
        <sz val="9"/>
        <rFont val="Microsoft Sans Serif"/>
        <charset val="134"/>
      </rPr>
      <t>GAFAS CHINA S006</t>
    </r>
  </si>
  <si>
    <r>
      <rPr>
        <sz val="8"/>
        <rFont val="Times New Roman"/>
        <charset val="134"/>
      </rPr>
      <t>HD2387</t>
    </r>
  </si>
  <si>
    <r>
      <rPr>
        <sz val="9"/>
        <rFont val="Microsoft Sans Serif"/>
        <charset val="134"/>
      </rPr>
      <t>GAFAS DAMA 1811</t>
    </r>
  </si>
  <si>
    <r>
      <rPr>
        <sz val="8"/>
        <rFont val="Times New Roman"/>
        <charset val="134"/>
      </rPr>
      <t>HD1023</t>
    </r>
  </si>
  <si>
    <r>
      <rPr>
        <sz val="9"/>
        <rFont val="Microsoft Sans Serif"/>
        <charset val="134"/>
      </rPr>
      <t>GAFAS NIÑOS 1023</t>
    </r>
  </si>
  <si>
    <r>
      <rPr>
        <sz val="8"/>
        <rFont val="Times New Roman"/>
        <charset val="134"/>
      </rPr>
      <t>HD2263</t>
    </r>
  </si>
  <si>
    <r>
      <rPr>
        <sz val="9"/>
        <rFont val="Microsoft Sans Serif"/>
        <charset val="134"/>
      </rPr>
      <t>GAFAS NIÑOS 1533</t>
    </r>
  </si>
  <si>
    <r>
      <rPr>
        <sz val="8"/>
        <rFont val="Times New Roman"/>
        <charset val="134"/>
      </rPr>
      <t>HD2217</t>
    </r>
  </si>
  <si>
    <r>
      <rPr>
        <sz val="9"/>
        <rFont val="Microsoft Sans Serif"/>
        <charset val="134"/>
      </rPr>
      <t>GAFAS NIÑOS 1534</t>
    </r>
  </si>
  <si>
    <r>
      <rPr>
        <sz val="8"/>
        <rFont val="Times New Roman"/>
        <charset val="134"/>
      </rPr>
      <t>HD01535</t>
    </r>
  </si>
  <si>
    <r>
      <rPr>
        <sz val="9"/>
        <rFont val="Microsoft Sans Serif"/>
        <charset val="134"/>
      </rPr>
      <t>GAFAS NIÑOS 1535</t>
    </r>
  </si>
  <si>
    <r>
      <rPr>
        <sz val="8"/>
        <rFont val="Times New Roman"/>
        <charset val="134"/>
      </rPr>
      <t>HD2264</t>
    </r>
  </si>
  <si>
    <r>
      <rPr>
        <sz val="9"/>
        <rFont val="Microsoft Sans Serif"/>
        <charset val="134"/>
      </rPr>
      <t>GAFAS NIÑOS 1536</t>
    </r>
  </si>
  <si>
    <r>
      <rPr>
        <sz val="8"/>
        <rFont val="Times New Roman"/>
        <charset val="134"/>
      </rPr>
      <t>HD01543</t>
    </r>
  </si>
  <si>
    <r>
      <rPr>
        <sz val="9"/>
        <rFont val="Microsoft Sans Serif"/>
        <charset val="134"/>
      </rPr>
      <t>GAFAS NIÑOS 1543</t>
    </r>
  </si>
  <si>
    <r>
      <rPr>
        <sz val="8"/>
        <rFont val="Times New Roman"/>
        <charset val="134"/>
      </rPr>
      <t>HD2219</t>
    </r>
  </si>
  <si>
    <r>
      <rPr>
        <sz val="9"/>
        <rFont val="Microsoft Sans Serif"/>
        <charset val="134"/>
      </rPr>
      <t>GAFAS NIÑOS 1551</t>
    </r>
  </si>
  <si>
    <r>
      <rPr>
        <sz val="8"/>
        <rFont val="Times New Roman"/>
        <charset val="134"/>
      </rPr>
      <t>HD01552</t>
    </r>
  </si>
  <si>
    <r>
      <rPr>
        <sz val="9"/>
        <rFont val="Microsoft Sans Serif"/>
        <charset val="134"/>
      </rPr>
      <t>GAFAS NIÑOS 1552</t>
    </r>
  </si>
  <si>
    <r>
      <rPr>
        <sz val="8"/>
        <rFont val="Times New Roman"/>
        <charset val="134"/>
      </rPr>
      <t>HD2349</t>
    </r>
  </si>
  <si>
    <r>
      <rPr>
        <sz val="9"/>
        <rFont val="Microsoft Sans Serif"/>
        <charset val="134"/>
      </rPr>
      <t>GD076-83-89 RELOJ DAMA LOUBOS PIEDRAS</t>
    </r>
  </si>
  <si>
    <r>
      <rPr>
        <sz val="9"/>
        <rFont val="Microsoft Sans Serif"/>
        <charset val="134"/>
      </rPr>
      <t>GEL ANTIBACTERIANTE</t>
    </r>
  </si>
  <si>
    <r>
      <rPr>
        <sz val="8"/>
        <rFont val="Times New Roman"/>
        <charset val="134"/>
      </rPr>
      <t>HD194</t>
    </r>
  </si>
  <si>
    <r>
      <rPr>
        <sz val="9"/>
        <rFont val="Microsoft Sans Serif"/>
        <charset val="134"/>
      </rPr>
      <t>GLOBO DE CUMPLEAÑOS COLORIDOS</t>
    </r>
  </si>
  <si>
    <r>
      <rPr>
        <sz val="8"/>
        <rFont val="Times New Roman"/>
        <charset val="134"/>
      </rPr>
      <t>HD2485</t>
    </r>
  </si>
  <si>
    <r>
      <rPr>
        <sz val="9"/>
        <rFont val="Microsoft Sans Serif"/>
        <charset val="134"/>
      </rPr>
      <t>GLOBOS</t>
    </r>
  </si>
  <si>
    <r>
      <rPr>
        <sz val="8"/>
        <rFont val="Times New Roman"/>
        <charset val="134"/>
      </rPr>
      <t>HD191</t>
    </r>
  </si>
  <si>
    <r>
      <rPr>
        <sz val="9"/>
        <rFont val="Microsoft Sans Serif"/>
        <charset val="134"/>
      </rPr>
      <t>GLOBOS + CONFETI 05/2021</t>
    </r>
  </si>
  <si>
    <r>
      <rPr>
        <sz val="8"/>
        <rFont val="Times New Roman"/>
        <charset val="134"/>
      </rPr>
      <t>HD185</t>
    </r>
  </si>
  <si>
    <r>
      <rPr>
        <sz val="9"/>
        <rFont val="Microsoft Sans Serif"/>
        <charset val="134"/>
      </rPr>
      <t>GLOBOS 1.2G 05/2021</t>
    </r>
  </si>
  <si>
    <r>
      <rPr>
        <sz val="8"/>
        <rFont val="Times New Roman"/>
        <charset val="134"/>
      </rPr>
      <t>HD4188</t>
    </r>
  </si>
  <si>
    <r>
      <rPr>
        <sz val="9"/>
        <rFont val="Microsoft Sans Serif"/>
        <charset val="134"/>
      </rPr>
      <t>GLOBOS 12PUL 34PCS HD</t>
    </r>
  </si>
  <si>
    <r>
      <rPr>
        <sz val="8"/>
        <rFont val="Times New Roman"/>
        <charset val="134"/>
      </rPr>
      <t>HD2491</t>
    </r>
  </si>
  <si>
    <r>
      <rPr>
        <sz val="9"/>
        <rFont val="Microsoft Sans Serif"/>
        <charset val="134"/>
      </rPr>
      <t>GLOBOS BALLOONS</t>
    </r>
  </si>
  <si>
    <r>
      <rPr>
        <sz val="8"/>
        <rFont val="Times New Roman"/>
        <charset val="134"/>
      </rPr>
      <t>HD2483</t>
    </r>
  </si>
  <si>
    <r>
      <rPr>
        <sz val="9"/>
        <rFont val="Microsoft Sans Serif"/>
        <charset val="134"/>
      </rPr>
      <t>GLOBOS BALLOONS X100 05/2021</t>
    </r>
  </si>
  <si>
    <r>
      <rPr>
        <sz val="8"/>
        <rFont val="Times New Roman"/>
        <charset val="134"/>
      </rPr>
      <t>HD4182</t>
    </r>
  </si>
  <si>
    <r>
      <rPr>
        <sz val="9"/>
        <rFont val="Microsoft Sans Serif"/>
        <charset val="134"/>
      </rPr>
      <t>GLOBOS DECORATIVA HD</t>
    </r>
  </si>
  <si>
    <r>
      <rPr>
        <sz val="8"/>
        <rFont val="Times New Roman"/>
        <charset val="134"/>
      </rPr>
      <t>HD4183</t>
    </r>
  </si>
  <si>
    <r>
      <rPr>
        <sz val="9"/>
        <rFont val="Microsoft Sans Serif"/>
        <charset val="134"/>
      </rPr>
      <t>GLOBOS DECORATIVA HD.</t>
    </r>
  </si>
  <si>
    <r>
      <rPr>
        <sz val="8"/>
        <rFont val="Times New Roman"/>
        <charset val="134"/>
      </rPr>
      <t>HD4191</t>
    </r>
  </si>
  <si>
    <r>
      <rPr>
        <sz val="9"/>
        <rFont val="Microsoft Sans Serif"/>
        <charset val="134"/>
      </rPr>
      <t>GLOBOS DECORATIVA HD..</t>
    </r>
  </si>
  <si>
    <r>
      <rPr>
        <sz val="8"/>
        <rFont val="Times New Roman"/>
        <charset val="134"/>
      </rPr>
      <t>HD4192</t>
    </r>
  </si>
  <si>
    <r>
      <rPr>
        <sz val="9"/>
        <rFont val="Microsoft Sans Serif"/>
        <charset val="134"/>
      </rPr>
      <t>GLOBOS DECORATIVA HD…</t>
    </r>
  </si>
  <si>
    <r>
      <rPr>
        <sz val="8"/>
        <rFont val="Times New Roman"/>
        <charset val="134"/>
      </rPr>
      <t>HD4193</t>
    </r>
  </si>
  <si>
    <r>
      <rPr>
        <sz val="9"/>
        <rFont val="Microsoft Sans Serif"/>
        <charset val="134"/>
      </rPr>
      <t>GLOBOS DECORATIVA HD….</t>
    </r>
  </si>
  <si>
    <r>
      <rPr>
        <sz val="8"/>
        <rFont val="Times New Roman"/>
        <charset val="134"/>
      </rPr>
      <t>HD4194</t>
    </r>
  </si>
  <si>
    <r>
      <rPr>
        <sz val="9"/>
        <rFont val="Microsoft Sans Serif"/>
        <charset val="134"/>
      </rPr>
      <t>GLOBOS DECORATIVA HD…..</t>
    </r>
  </si>
  <si>
    <r>
      <rPr>
        <sz val="8"/>
        <rFont val="Times New Roman"/>
        <charset val="134"/>
      </rPr>
      <t>HD4185</t>
    </r>
  </si>
  <si>
    <r>
      <rPr>
        <sz val="9"/>
        <rFont val="Microsoft Sans Serif"/>
        <charset val="134"/>
      </rPr>
      <t>GLOBOS DECORATIVAS HD/.</t>
    </r>
  </si>
  <si>
    <r>
      <rPr>
        <sz val="8"/>
        <rFont val="Times New Roman"/>
        <charset val="134"/>
      </rPr>
      <t>HD4190</t>
    </r>
  </si>
  <si>
    <r>
      <rPr>
        <sz val="9"/>
        <rFont val="Microsoft Sans Serif"/>
        <charset val="134"/>
      </rPr>
      <t>GLOBOS DECORATIVAS HD/..</t>
    </r>
  </si>
  <si>
    <r>
      <rPr>
        <sz val="8"/>
        <rFont val="Times New Roman"/>
        <charset val="134"/>
      </rPr>
      <t>HD4181</t>
    </r>
  </si>
  <si>
    <r>
      <rPr>
        <sz val="9"/>
        <rFont val="Microsoft Sans Serif"/>
        <charset val="134"/>
      </rPr>
      <t>GLOBOS DECORATIVAS HD…..</t>
    </r>
  </si>
  <si>
    <r>
      <rPr>
        <sz val="8"/>
        <rFont val="Times New Roman"/>
        <charset val="134"/>
      </rPr>
      <t>HD4184</t>
    </r>
  </si>
  <si>
    <r>
      <rPr>
        <sz val="9"/>
        <rFont val="Microsoft Sans Serif"/>
        <charset val="134"/>
      </rPr>
      <t>GLOBOS DECORATIVAS HD……</t>
    </r>
  </si>
  <si>
    <r>
      <rPr>
        <sz val="8"/>
        <rFont val="Times New Roman"/>
        <charset val="134"/>
      </rPr>
      <t>HD3149</t>
    </r>
  </si>
  <si>
    <r>
      <rPr>
        <sz val="9"/>
        <rFont val="Microsoft Sans Serif"/>
        <charset val="134"/>
      </rPr>
      <t>GLOBOS FIGURAS VARIAS 05/2021</t>
    </r>
  </si>
  <si>
    <r>
      <rPr>
        <sz val="8"/>
        <rFont val="Times New Roman"/>
        <charset val="134"/>
      </rPr>
      <t>HD4187</t>
    </r>
  </si>
  <si>
    <r>
      <rPr>
        <sz val="9"/>
        <rFont val="Microsoft Sans Serif"/>
        <charset val="134"/>
      </rPr>
      <t>GLOBOS LOVE N.1398 1402 HD</t>
    </r>
  </si>
  <si>
    <r>
      <rPr>
        <sz val="8"/>
        <rFont val="Times New Roman"/>
        <charset val="134"/>
      </rPr>
      <t>HD4186</t>
    </r>
  </si>
  <si>
    <r>
      <rPr>
        <sz val="9"/>
        <rFont val="Microsoft Sans Serif"/>
        <charset val="134"/>
      </rPr>
      <t>GLOBOS LOVE N.901 HD</t>
    </r>
  </si>
  <si>
    <r>
      <rPr>
        <sz val="8"/>
        <rFont val="Times New Roman"/>
        <charset val="134"/>
      </rPr>
      <t>HD2484</t>
    </r>
  </si>
  <si>
    <r>
      <rPr>
        <sz val="9"/>
        <rFont val="Microsoft Sans Serif"/>
        <charset val="134"/>
      </rPr>
      <t>GLOBOS METAL 1.8G 05/2021</t>
    </r>
  </si>
  <si>
    <r>
      <rPr>
        <sz val="8"/>
        <rFont val="Times New Roman"/>
        <charset val="134"/>
      </rPr>
      <t>HD2493</t>
    </r>
  </si>
  <si>
    <r>
      <rPr>
        <sz val="9"/>
        <rFont val="Microsoft Sans Serif"/>
        <charset val="134"/>
      </rPr>
      <t>GLOBOS NUMERO 17 PLG 05/2021</t>
    </r>
  </si>
  <si>
    <r>
      <rPr>
        <sz val="8"/>
        <rFont val="Times New Roman"/>
        <charset val="134"/>
      </rPr>
      <t>HD4180</t>
    </r>
  </si>
  <si>
    <r>
      <rPr>
        <sz val="9"/>
        <rFont val="Microsoft Sans Serif"/>
        <charset val="134"/>
      </rPr>
      <t>GLOBOS TE AMO HD</t>
    </r>
  </si>
  <si>
    <r>
      <rPr>
        <sz val="8"/>
        <rFont val="Times New Roman"/>
        <charset val="134"/>
      </rPr>
      <t>HD478</t>
    </r>
  </si>
  <si>
    <r>
      <rPr>
        <sz val="9"/>
        <rFont val="Microsoft Sans Serif"/>
        <charset val="134"/>
      </rPr>
      <t>GORRA NIÑO</t>
    </r>
  </si>
  <si>
    <r>
      <rPr>
        <sz val="8"/>
        <rFont val="Times New Roman"/>
        <charset val="134"/>
      </rPr>
      <t>HD844</t>
    </r>
  </si>
  <si>
    <r>
      <rPr>
        <sz val="9"/>
        <rFont val="Microsoft Sans Serif"/>
        <charset val="134"/>
      </rPr>
      <t>GORRAS MZ/019 CHINA</t>
    </r>
  </si>
  <si>
    <r>
      <rPr>
        <sz val="8"/>
        <rFont val="Times New Roman"/>
        <charset val="134"/>
      </rPr>
      <t>HD2426</t>
    </r>
  </si>
  <si>
    <r>
      <rPr>
        <sz val="9"/>
        <rFont val="Microsoft Sans Serif"/>
        <charset val="134"/>
      </rPr>
      <t>GORRO DE BAÑO</t>
    </r>
  </si>
  <si>
    <r>
      <rPr>
        <sz val="8"/>
        <rFont val="Times New Roman"/>
        <charset val="134"/>
      </rPr>
      <t>HD196</t>
    </r>
  </si>
  <si>
    <r>
      <rPr>
        <sz val="9"/>
        <rFont val="Microsoft Sans Serif"/>
        <charset val="134"/>
      </rPr>
      <t>GORRO DE CUMPLEAÑOS</t>
    </r>
  </si>
  <si>
    <r>
      <rPr>
        <sz val="8"/>
        <rFont val="Times New Roman"/>
        <charset val="134"/>
      </rPr>
      <t>HD277</t>
    </r>
  </si>
  <si>
    <r>
      <rPr>
        <sz val="9"/>
        <rFont val="Microsoft Sans Serif"/>
        <charset val="134"/>
      </rPr>
      <t>GORRO NAVIDEÑO FELIZ NAVIDAD</t>
    </r>
  </si>
  <si>
    <r>
      <rPr>
        <sz val="8"/>
        <rFont val="Times New Roman"/>
        <charset val="134"/>
      </rPr>
      <t>HD9200</t>
    </r>
  </si>
  <si>
    <r>
      <rPr>
        <sz val="9"/>
        <rFont val="Microsoft Sans Serif"/>
        <charset val="134"/>
      </rPr>
      <t>GRANDE CAJA DE RGALO CHINA.</t>
    </r>
  </si>
  <si>
    <r>
      <rPr>
        <sz val="8"/>
        <rFont val="Times New Roman"/>
        <charset val="134"/>
      </rPr>
      <t>HD3308</t>
    </r>
  </si>
  <si>
    <r>
      <rPr>
        <sz val="9"/>
        <rFont val="Microsoft Sans Serif"/>
        <charset val="134"/>
      </rPr>
      <t>GRIFO EXTRAIBLE 05/2021</t>
    </r>
  </si>
  <si>
    <r>
      <rPr>
        <sz val="8"/>
        <rFont val="Times New Roman"/>
        <charset val="134"/>
      </rPr>
      <t>HD3809</t>
    </r>
  </si>
  <si>
    <r>
      <rPr>
        <sz val="9"/>
        <rFont val="Microsoft Sans Serif"/>
        <charset val="134"/>
      </rPr>
      <t>GUANTE DE BAÑO VARIOS HD</t>
    </r>
  </si>
  <si>
    <r>
      <rPr>
        <sz val="8"/>
        <rFont val="Times New Roman"/>
        <charset val="134"/>
      </rPr>
      <t>HD613</t>
    </r>
  </si>
  <si>
    <r>
      <rPr>
        <sz val="9"/>
        <rFont val="Microsoft Sans Serif"/>
        <charset val="134"/>
      </rPr>
      <t>GUARDA ESPONJA CHINA</t>
    </r>
  </si>
  <si>
    <r>
      <rPr>
        <sz val="8"/>
        <rFont val="Times New Roman"/>
        <charset val="134"/>
      </rPr>
      <t>HD2564</t>
    </r>
  </si>
  <si>
    <r>
      <rPr>
        <sz val="9"/>
        <rFont val="Microsoft Sans Serif"/>
        <charset val="134"/>
      </rPr>
      <t>GUIRNALDA BLANCA PEQ</t>
    </r>
  </si>
  <si>
    <r>
      <rPr>
        <sz val="8"/>
        <rFont val="Times New Roman"/>
        <charset val="134"/>
      </rPr>
      <t>HD2569</t>
    </r>
  </si>
  <si>
    <r>
      <rPr>
        <sz val="9"/>
        <rFont val="Microsoft Sans Serif"/>
        <charset val="134"/>
      </rPr>
      <t>GUIRNALDA CAMPANA GRANDE</t>
    </r>
  </si>
  <si>
    <r>
      <rPr>
        <sz val="8"/>
        <rFont val="Times New Roman"/>
        <charset val="134"/>
      </rPr>
      <t>HD2567</t>
    </r>
  </si>
  <si>
    <r>
      <rPr>
        <sz val="9"/>
        <rFont val="Microsoft Sans Serif"/>
        <charset val="134"/>
      </rPr>
      <t>GUIRNALDA CAMPANA PEQ</t>
    </r>
  </si>
  <si>
    <r>
      <rPr>
        <sz val="8"/>
        <rFont val="Times New Roman"/>
        <charset val="134"/>
      </rPr>
      <t>HD2565</t>
    </r>
  </si>
  <si>
    <r>
      <rPr>
        <sz val="9"/>
        <rFont val="Microsoft Sans Serif"/>
        <charset val="134"/>
      </rPr>
      <t>GUIRNALDA FLOR GRANDE</t>
    </r>
  </si>
  <si>
    <r>
      <rPr>
        <sz val="8"/>
        <rFont val="Times New Roman"/>
        <charset val="134"/>
      </rPr>
      <t>HD2568</t>
    </r>
  </si>
  <si>
    <r>
      <rPr>
        <sz val="9"/>
        <rFont val="Microsoft Sans Serif"/>
        <charset val="134"/>
      </rPr>
      <t>GUIRNALDA FLOR PEQ</t>
    </r>
  </si>
  <si>
    <r>
      <rPr>
        <sz val="8"/>
        <rFont val="Times New Roman"/>
        <charset val="134"/>
      </rPr>
      <t>HD2570</t>
    </r>
  </si>
  <si>
    <r>
      <rPr>
        <sz val="9"/>
        <rFont val="Microsoft Sans Serif"/>
        <charset val="134"/>
      </rPr>
      <t>GUIRNALDA LAZO GRANDE</t>
    </r>
  </si>
  <si>
    <r>
      <rPr>
        <sz val="8"/>
        <rFont val="Times New Roman"/>
        <charset val="134"/>
      </rPr>
      <t>HD3663</t>
    </r>
  </si>
  <si>
    <r>
      <rPr>
        <sz val="9"/>
        <rFont val="Microsoft Sans Serif"/>
        <charset val="134"/>
      </rPr>
      <t>GYM</t>
    </r>
  </si>
  <si>
    <r>
      <rPr>
        <sz val="8"/>
        <rFont val="Times New Roman"/>
        <charset val="134"/>
      </rPr>
      <t>HD4381</t>
    </r>
  </si>
  <si>
    <r>
      <rPr>
        <sz val="9"/>
        <rFont val="Microsoft Sans Serif"/>
        <charset val="134"/>
      </rPr>
      <t>H-751 DAMA TAZA</t>
    </r>
  </si>
  <si>
    <r>
      <rPr>
        <sz val="8"/>
        <rFont val="Times New Roman"/>
        <charset val="134"/>
      </rPr>
      <t>HD1747</t>
    </r>
  </si>
  <si>
    <r>
      <rPr>
        <sz val="9"/>
        <rFont val="Microsoft Sans Serif"/>
        <charset val="134"/>
      </rPr>
      <t>H9 HUMIFICADOR CHINA</t>
    </r>
  </si>
  <si>
    <r>
      <rPr>
        <sz val="8"/>
        <rFont val="Times New Roman"/>
        <charset val="134"/>
      </rPr>
      <t>RFD381930</t>
    </r>
  </si>
  <si>
    <r>
      <rPr>
        <sz val="9"/>
        <rFont val="Microsoft Sans Serif"/>
        <charset val="134"/>
      </rPr>
      <t>HAMSTER DINOSAUR ELECTRIC JUGUETES</t>
    </r>
  </si>
  <si>
    <r>
      <rPr>
        <sz val="8"/>
        <rFont val="Times New Roman"/>
        <charset val="134"/>
      </rPr>
      <t>RFD424402</t>
    </r>
  </si>
  <si>
    <r>
      <rPr>
        <sz val="9"/>
        <rFont val="Microsoft Sans Serif"/>
        <charset val="134"/>
      </rPr>
      <t>HANGING PARTS JUGUETES</t>
    </r>
  </si>
  <si>
    <r>
      <rPr>
        <sz val="8"/>
        <rFont val="Times New Roman"/>
        <charset val="134"/>
      </rPr>
      <t>HD3458</t>
    </r>
  </si>
  <si>
    <r>
      <rPr>
        <sz val="9"/>
        <rFont val="Microsoft Sans Serif"/>
        <charset val="134"/>
      </rPr>
      <t>HAPPY BED BELL 668-161 HD</t>
    </r>
  </si>
  <si>
    <r>
      <rPr>
        <sz val="8"/>
        <rFont val="Times New Roman"/>
        <charset val="134"/>
      </rPr>
      <t>HD3460</t>
    </r>
  </si>
  <si>
    <r>
      <rPr>
        <sz val="9"/>
        <rFont val="Microsoft Sans Serif"/>
        <charset val="134"/>
      </rPr>
      <t>HAPPY SHAKING BELL D110 HD</t>
    </r>
  </si>
  <si>
    <r>
      <rPr>
        <sz val="8"/>
        <rFont val="Times New Roman"/>
        <charset val="134"/>
      </rPr>
      <t>RFD323620</t>
    </r>
  </si>
  <si>
    <r>
      <rPr>
        <sz val="9"/>
        <rFont val="Microsoft Sans Serif"/>
        <charset val="134"/>
      </rPr>
      <t>HEDGEHOG SOOTHE SOUNG</t>
    </r>
  </si>
  <si>
    <r>
      <rPr>
        <sz val="8"/>
        <rFont val="Times New Roman"/>
        <charset val="134"/>
      </rPr>
      <t>HD4040</t>
    </r>
  </si>
  <si>
    <r>
      <rPr>
        <sz val="9"/>
        <rFont val="Microsoft Sans Serif"/>
        <charset val="134"/>
      </rPr>
      <t>HERRAMIENTA MECANICAS KIT HD K-258</t>
    </r>
  </si>
  <si>
    <r>
      <rPr>
        <sz val="8"/>
        <rFont val="Times New Roman"/>
        <charset val="134"/>
      </rPr>
      <t>HD4113</t>
    </r>
  </si>
  <si>
    <r>
      <rPr>
        <sz val="9"/>
        <rFont val="Microsoft Sans Serif"/>
        <charset val="134"/>
      </rPr>
      <t>HERRAMIENTA SACA CORCHO HD K-260 2022/02</t>
    </r>
  </si>
  <si>
    <r>
      <rPr>
        <sz val="8"/>
        <rFont val="Times New Roman"/>
        <charset val="134"/>
      </rPr>
      <t>HD611</t>
    </r>
  </si>
  <si>
    <r>
      <rPr>
        <sz val="9"/>
        <rFont val="Microsoft Sans Serif"/>
        <charset val="134"/>
      </rPr>
      <t>HERRAMIENTAS DE UÑAS</t>
    </r>
  </si>
  <si>
    <r>
      <rPr>
        <sz val="8"/>
        <rFont val="Times New Roman"/>
        <charset val="134"/>
      </rPr>
      <t>HD4646</t>
    </r>
  </si>
  <si>
    <r>
      <rPr>
        <sz val="9"/>
        <rFont val="Microsoft Sans Serif"/>
        <charset val="134"/>
      </rPr>
      <t>HL-550 CONTADORA BILLETE</t>
    </r>
  </si>
  <si>
    <r>
      <rPr>
        <sz val="8"/>
        <rFont val="Times New Roman"/>
        <charset val="134"/>
      </rPr>
      <t>HD646</t>
    </r>
  </si>
  <si>
    <r>
      <rPr>
        <sz val="9"/>
        <rFont val="Microsoft Sans Serif"/>
        <charset val="134"/>
      </rPr>
      <t>HOJA DE CUCHILLO</t>
    </r>
  </si>
  <si>
    <r>
      <rPr>
        <sz val="8"/>
        <rFont val="Times New Roman"/>
        <charset val="134"/>
      </rPr>
      <t>HD3281</t>
    </r>
  </si>
  <si>
    <r>
      <rPr>
        <sz val="9"/>
        <rFont val="Microsoft Sans Serif"/>
        <charset val="134"/>
      </rPr>
      <t>HUA 1MTR CABLE FUNDA 05/2021</t>
    </r>
  </si>
  <si>
    <r>
      <rPr>
        <sz val="8"/>
        <rFont val="Times New Roman"/>
        <charset val="134"/>
      </rPr>
      <t>HD3290</t>
    </r>
  </si>
  <si>
    <r>
      <rPr>
        <sz val="9"/>
        <rFont val="Microsoft Sans Serif"/>
        <charset val="134"/>
      </rPr>
      <t>HUA 2MTRS CABLE 05/2021</t>
    </r>
  </si>
  <si>
    <r>
      <rPr>
        <sz val="8"/>
        <rFont val="Times New Roman"/>
        <charset val="134"/>
      </rPr>
      <t>HD3671</t>
    </r>
  </si>
  <si>
    <r>
      <rPr>
        <sz val="9"/>
        <rFont val="Microsoft Sans Serif"/>
        <charset val="134"/>
      </rPr>
      <t>HULA HOOP HD</t>
    </r>
  </si>
  <si>
    <r>
      <rPr>
        <sz val="8"/>
        <rFont val="Times New Roman"/>
        <charset val="134"/>
      </rPr>
      <t>HD4343</t>
    </r>
  </si>
  <si>
    <r>
      <rPr>
        <sz val="9"/>
        <rFont val="Microsoft Sans Serif"/>
        <charset val="134"/>
      </rPr>
      <t>HY2084 JUEGO DE TAZA</t>
    </r>
  </si>
  <si>
    <r>
      <rPr>
        <sz val="8"/>
        <rFont val="Times New Roman"/>
        <charset val="134"/>
      </rPr>
      <t>HD3294</t>
    </r>
  </si>
  <si>
    <r>
      <rPr>
        <sz val="9"/>
        <rFont val="Microsoft Sans Serif"/>
        <charset val="134"/>
      </rPr>
      <t>HY-K129 AUDIFONO IPHONE 05/2021</t>
    </r>
  </si>
  <si>
    <r>
      <rPr>
        <sz val="8"/>
        <rFont val="Times New Roman"/>
        <charset val="134"/>
      </rPr>
      <t>HD2375</t>
    </r>
  </si>
  <si>
    <r>
      <rPr>
        <sz val="9"/>
        <rFont val="Microsoft Sans Serif"/>
        <charset val="134"/>
      </rPr>
      <t>HZ002 CAJITA PORTA RELOJ OVALADA</t>
    </r>
  </si>
  <si>
    <r>
      <rPr>
        <sz val="8"/>
        <rFont val="Times New Roman"/>
        <charset val="134"/>
      </rPr>
      <t>HD2374</t>
    </r>
  </si>
  <si>
    <r>
      <rPr>
        <sz val="9"/>
        <rFont val="Microsoft Sans Serif"/>
        <charset val="134"/>
      </rPr>
      <t>HZ005 CAJITA PORTA RELOJ CUADRADA</t>
    </r>
  </si>
  <si>
    <r>
      <rPr>
        <sz val="8"/>
        <rFont val="Times New Roman"/>
        <charset val="134"/>
      </rPr>
      <t>RFD356325</t>
    </r>
  </si>
  <si>
    <r>
      <rPr>
        <sz val="9"/>
        <rFont val="Microsoft Sans Serif"/>
        <charset val="134"/>
      </rPr>
      <t>INERTIA CAR</t>
    </r>
  </si>
  <si>
    <r>
      <rPr>
        <sz val="8"/>
        <rFont val="Times New Roman"/>
        <charset val="134"/>
      </rPr>
      <t>RFD356326</t>
    </r>
  </si>
  <si>
    <r>
      <rPr>
        <sz val="9"/>
        <rFont val="Microsoft Sans Serif"/>
        <charset val="134"/>
      </rPr>
      <t>INERTIA OWL CAR</t>
    </r>
  </si>
  <si>
    <r>
      <rPr>
        <sz val="8"/>
        <rFont val="Times New Roman"/>
        <charset val="134"/>
      </rPr>
      <t>HD188</t>
    </r>
  </si>
  <si>
    <r>
      <rPr>
        <sz val="9"/>
        <rFont val="Microsoft Sans Serif"/>
        <charset val="134"/>
      </rPr>
      <t>INFLADOR DE GLOBO 05/2021</t>
    </r>
  </si>
  <si>
    <r>
      <rPr>
        <sz val="8"/>
        <rFont val="Times New Roman"/>
        <charset val="134"/>
      </rPr>
      <t>HD3280</t>
    </r>
  </si>
  <si>
    <r>
      <rPr>
        <sz val="9"/>
        <rFont val="Microsoft Sans Serif"/>
        <charset val="134"/>
      </rPr>
      <t>IP 1MTR CABLE FUNDA 05/2021</t>
    </r>
  </si>
  <si>
    <r>
      <rPr>
        <sz val="8"/>
        <rFont val="Times New Roman"/>
        <charset val="134"/>
      </rPr>
      <t>HD3289</t>
    </r>
  </si>
  <si>
    <r>
      <rPr>
        <sz val="9"/>
        <rFont val="Microsoft Sans Serif"/>
        <charset val="134"/>
      </rPr>
      <t>IP 2MTRS CABLE 05/2021</t>
    </r>
  </si>
  <si>
    <r>
      <rPr>
        <sz val="8"/>
        <rFont val="Times New Roman"/>
        <charset val="134"/>
      </rPr>
      <t>HD3283</t>
    </r>
  </si>
  <si>
    <r>
      <rPr>
        <sz val="9"/>
        <rFont val="Microsoft Sans Serif"/>
        <charset val="134"/>
      </rPr>
      <t>IP 6A CABLE 05/2021</t>
    </r>
  </si>
  <si>
    <r>
      <rPr>
        <sz val="8"/>
        <rFont val="Times New Roman"/>
        <charset val="134"/>
      </rPr>
      <t>HD3286</t>
    </r>
  </si>
  <si>
    <r>
      <rPr>
        <sz val="9"/>
        <rFont val="Microsoft Sans Serif"/>
        <charset val="134"/>
      </rPr>
      <t>IP TX-852/853 CABLE+ CHANCHITO 05/2021</t>
    </r>
  </si>
  <si>
    <r>
      <rPr>
        <sz val="8"/>
        <rFont val="Times New Roman"/>
        <charset val="134"/>
      </rPr>
      <t>HD1091</t>
    </r>
  </si>
  <si>
    <r>
      <rPr>
        <sz val="9"/>
        <rFont val="Microsoft Sans Serif"/>
        <charset val="134"/>
      </rPr>
      <t>IPX TRANSPARENTE CH_CARCASA</t>
    </r>
  </si>
  <si>
    <r>
      <rPr>
        <sz val="8"/>
        <rFont val="Times New Roman"/>
        <charset val="134"/>
      </rPr>
      <t>HD4481</t>
    </r>
  </si>
  <si>
    <r>
      <rPr>
        <sz val="9"/>
        <rFont val="Microsoft Sans Serif"/>
        <charset val="134"/>
      </rPr>
      <t>IX4795-C ARBOL X6 APPLE GRANDE VIDRIO</t>
    </r>
  </si>
  <si>
    <r>
      <rPr>
        <sz val="8"/>
        <rFont val="Times New Roman"/>
        <charset val="134"/>
      </rPr>
      <t>HD02001</t>
    </r>
  </si>
  <si>
    <r>
      <rPr>
        <sz val="9"/>
        <rFont val="Microsoft Sans Serif"/>
        <charset val="134"/>
      </rPr>
      <t>J-2215 350ML CHINA</t>
    </r>
  </si>
  <si>
    <r>
      <rPr>
        <sz val="8"/>
        <rFont val="Times New Roman"/>
        <charset val="134"/>
      </rPr>
      <t>HD4501</t>
    </r>
  </si>
  <si>
    <r>
      <rPr>
        <sz val="9"/>
        <rFont val="Microsoft Sans Serif"/>
        <charset val="134"/>
      </rPr>
      <t>J518 PORTABLE SPEAKER</t>
    </r>
  </si>
  <si>
    <r>
      <rPr>
        <sz val="8"/>
        <rFont val="Times New Roman"/>
        <charset val="134"/>
      </rPr>
      <t>HD3315</t>
    </r>
  </si>
  <si>
    <r>
      <rPr>
        <sz val="9"/>
        <rFont val="Microsoft Sans Serif"/>
        <charset val="134"/>
      </rPr>
      <t>JABON LIQUIDO 003 DISPENSADOR 05/2021</t>
    </r>
  </si>
  <si>
    <r>
      <rPr>
        <sz val="8"/>
        <rFont val="Times New Roman"/>
        <charset val="134"/>
      </rPr>
      <t>HD3316</t>
    </r>
  </si>
  <si>
    <r>
      <rPr>
        <sz val="9"/>
        <rFont val="Microsoft Sans Serif"/>
        <charset val="134"/>
      </rPr>
      <t>JABON LIQUIDO DISPENSADOR 05/2021</t>
    </r>
  </si>
  <si>
    <r>
      <rPr>
        <sz val="8"/>
        <rFont val="Times New Roman"/>
        <charset val="134"/>
      </rPr>
      <t>HD6902</t>
    </r>
  </si>
  <si>
    <r>
      <rPr>
        <sz val="9"/>
        <rFont val="Microsoft Sans Serif"/>
        <charset val="134"/>
      </rPr>
      <t>JARRON VIDRIO 30CM</t>
    </r>
  </si>
  <si>
    <r>
      <rPr>
        <sz val="8"/>
        <rFont val="Times New Roman"/>
        <charset val="134"/>
      </rPr>
      <t>HD4460</t>
    </r>
  </si>
  <si>
    <r>
      <rPr>
        <sz val="9"/>
        <rFont val="Microsoft Sans Serif"/>
        <charset val="134"/>
      </rPr>
      <t>JB520216 RELOJ</t>
    </r>
  </si>
  <si>
    <r>
      <rPr>
        <sz val="8"/>
        <rFont val="Times New Roman"/>
        <charset val="134"/>
      </rPr>
      <t>HD4461</t>
    </r>
  </si>
  <si>
    <r>
      <rPr>
        <sz val="9"/>
        <rFont val="Microsoft Sans Serif"/>
        <charset val="134"/>
      </rPr>
      <t>JB525216 RELOJ</t>
    </r>
  </si>
  <si>
    <r>
      <rPr>
        <sz val="8"/>
        <rFont val="Times New Roman"/>
        <charset val="134"/>
      </rPr>
      <t>HD4462</t>
    </r>
  </si>
  <si>
    <r>
      <rPr>
        <sz val="9"/>
        <rFont val="Microsoft Sans Serif"/>
        <charset val="134"/>
      </rPr>
      <t>JB528216 RELOJ</t>
    </r>
  </si>
  <si>
    <r>
      <rPr>
        <sz val="8"/>
        <rFont val="Times New Roman"/>
        <charset val="134"/>
      </rPr>
      <t>RFD356328</t>
    </r>
  </si>
  <si>
    <r>
      <rPr>
        <sz val="9"/>
        <rFont val="Microsoft Sans Serif"/>
        <charset val="134"/>
      </rPr>
      <t>JENGA COLOR</t>
    </r>
  </si>
  <si>
    <r>
      <rPr>
        <sz val="8"/>
        <rFont val="Times New Roman"/>
        <charset val="134"/>
      </rPr>
      <t>HD3146</t>
    </r>
  </si>
  <si>
    <r>
      <rPr>
        <sz val="9"/>
        <rFont val="Microsoft Sans Serif"/>
        <charset val="134"/>
      </rPr>
      <t>JOYERO COLOR 05/2021 - 3817AA</t>
    </r>
  </si>
  <si>
    <r>
      <rPr>
        <sz val="8"/>
        <rFont val="Times New Roman"/>
        <charset val="134"/>
      </rPr>
      <t>HD3147</t>
    </r>
  </si>
  <si>
    <r>
      <rPr>
        <sz val="9"/>
        <rFont val="Microsoft Sans Serif"/>
        <charset val="134"/>
      </rPr>
      <t>JOYERO COLOR 05/2021- 3816AA</t>
    </r>
  </si>
  <si>
    <r>
      <rPr>
        <sz val="8"/>
        <rFont val="Times New Roman"/>
        <charset val="134"/>
      </rPr>
      <t>HD3145</t>
    </r>
  </si>
  <si>
    <r>
      <rPr>
        <sz val="9"/>
        <rFont val="Microsoft Sans Serif"/>
        <charset val="134"/>
      </rPr>
      <t>JOYERO COLOR 05/2021- 3818AA</t>
    </r>
  </si>
  <si>
    <r>
      <rPr>
        <sz val="8"/>
        <rFont val="Times New Roman"/>
        <charset val="134"/>
      </rPr>
      <t>HD3144</t>
    </r>
  </si>
  <si>
    <r>
      <rPr>
        <sz val="9"/>
        <rFont val="Microsoft Sans Serif"/>
        <charset val="134"/>
      </rPr>
      <t>JOYERO ESCAMA 05/2021 - 3816A</t>
    </r>
  </si>
  <si>
    <r>
      <rPr>
        <sz val="8"/>
        <rFont val="Times New Roman"/>
        <charset val="134"/>
      </rPr>
      <t>HD3143</t>
    </r>
  </si>
  <si>
    <r>
      <rPr>
        <sz val="9"/>
        <rFont val="Microsoft Sans Serif"/>
        <charset val="134"/>
      </rPr>
      <t>JOYERO ESCAMA 05/2021 -3817A</t>
    </r>
  </si>
  <si>
    <r>
      <rPr>
        <sz val="8"/>
        <rFont val="Times New Roman"/>
        <charset val="134"/>
      </rPr>
      <t>HD3142</t>
    </r>
  </si>
  <si>
    <r>
      <rPr>
        <sz val="9"/>
        <rFont val="Microsoft Sans Serif"/>
        <charset val="134"/>
      </rPr>
      <t>JOYERO ESCAMA 05/2021 3818A</t>
    </r>
  </si>
  <si>
    <r>
      <rPr>
        <sz val="8"/>
        <rFont val="Times New Roman"/>
        <charset val="134"/>
      </rPr>
      <t>HD1669</t>
    </r>
  </si>
  <si>
    <r>
      <rPr>
        <sz val="9"/>
        <rFont val="Microsoft Sans Serif"/>
        <charset val="134"/>
      </rPr>
      <t>JR-U-3057 JARRA CHINA</t>
    </r>
  </si>
  <si>
    <r>
      <rPr>
        <sz val="8"/>
        <rFont val="Times New Roman"/>
        <charset val="134"/>
      </rPr>
      <t>HD3138</t>
    </r>
  </si>
  <si>
    <r>
      <rPr>
        <sz val="9"/>
        <rFont val="Microsoft Sans Serif"/>
        <charset val="134"/>
      </rPr>
      <t>JTZ-160BW-3B CAMARA 05/2021</t>
    </r>
  </si>
  <si>
    <r>
      <rPr>
        <sz val="8"/>
        <rFont val="Times New Roman"/>
        <charset val="134"/>
      </rPr>
      <t>HD4056</t>
    </r>
  </si>
  <si>
    <r>
      <rPr>
        <sz val="9"/>
        <rFont val="Microsoft Sans Serif"/>
        <charset val="134"/>
      </rPr>
      <t>JUEGO</t>
    </r>
  </si>
  <si>
    <r>
      <rPr>
        <sz val="8"/>
        <rFont val="Times New Roman"/>
        <charset val="134"/>
      </rPr>
      <t>HD4103</t>
    </r>
  </si>
  <si>
    <r>
      <rPr>
        <sz val="9"/>
        <rFont val="Microsoft Sans Serif"/>
        <charset val="134"/>
      </rPr>
      <t>JUEGO DE BROCHA HD 3PCS</t>
    </r>
  </si>
  <si>
    <r>
      <rPr>
        <sz val="8"/>
        <rFont val="Times New Roman"/>
        <charset val="134"/>
      </rPr>
      <t>HD4021</t>
    </r>
  </si>
  <si>
    <r>
      <rPr>
        <sz val="9"/>
        <rFont val="Microsoft Sans Serif"/>
        <charset val="134"/>
      </rPr>
      <t>JUEGO DE CAMA HD 4 PZ</t>
    </r>
  </si>
  <si>
    <r>
      <rPr>
        <sz val="8"/>
        <rFont val="Times New Roman"/>
        <charset val="134"/>
      </rPr>
      <t>HD4022</t>
    </r>
  </si>
  <si>
    <r>
      <rPr>
        <sz val="9"/>
        <rFont val="Microsoft Sans Serif"/>
        <charset val="134"/>
      </rPr>
      <t>JUEGO DE CAMA HD 4 PZ.</t>
    </r>
  </si>
  <si>
    <r>
      <rPr>
        <sz val="8"/>
        <rFont val="Times New Roman"/>
        <charset val="134"/>
      </rPr>
      <t>HD4023</t>
    </r>
  </si>
  <si>
    <r>
      <rPr>
        <sz val="9"/>
        <rFont val="Microsoft Sans Serif"/>
        <charset val="134"/>
      </rPr>
      <t>JUEGO DE CAMA HD 4 PZ..</t>
    </r>
  </si>
  <si>
    <r>
      <rPr>
        <sz val="8"/>
        <rFont val="Times New Roman"/>
        <charset val="134"/>
      </rPr>
      <t>HD4024</t>
    </r>
  </si>
  <si>
    <r>
      <rPr>
        <sz val="9"/>
        <rFont val="Microsoft Sans Serif"/>
        <charset val="134"/>
      </rPr>
      <t>JUEGO DE CAMA HD 4PZ</t>
    </r>
  </si>
  <si>
    <r>
      <rPr>
        <sz val="9"/>
        <rFont val="Microsoft Sans Serif"/>
        <charset val="134"/>
      </rPr>
      <t>JUEGO DE COPA 6 UND. DELI GLASSWARE</t>
    </r>
  </si>
  <si>
    <r>
      <rPr>
        <sz val="8"/>
        <rFont val="Times New Roman"/>
        <charset val="134"/>
      </rPr>
      <t>HD4087</t>
    </r>
  </si>
  <si>
    <r>
      <rPr>
        <sz val="9"/>
        <rFont val="Microsoft Sans Serif"/>
        <charset val="134"/>
      </rPr>
      <t>JUEGO DE DARDOS HD 17INCH 25.4CM</t>
    </r>
  </si>
  <si>
    <r>
      <rPr>
        <sz val="8"/>
        <rFont val="Times New Roman"/>
        <charset val="134"/>
      </rPr>
      <t>HD4088</t>
    </r>
  </si>
  <si>
    <r>
      <rPr>
        <sz val="9"/>
        <rFont val="Microsoft Sans Serif"/>
        <charset val="134"/>
      </rPr>
      <t>JUEGO DE DARDOS HD 17INCH 43.2CM</t>
    </r>
  </si>
  <si>
    <r>
      <rPr>
        <sz val="8"/>
        <rFont val="Times New Roman"/>
        <charset val="134"/>
      </rPr>
      <t>HD4086</t>
    </r>
  </si>
  <si>
    <r>
      <rPr>
        <sz val="9"/>
        <rFont val="Microsoft Sans Serif"/>
        <charset val="134"/>
      </rPr>
      <t>JUEGO DE DARDOS HD 18CM</t>
    </r>
  </si>
  <si>
    <r>
      <rPr>
        <sz val="8"/>
        <rFont val="Times New Roman"/>
        <charset val="134"/>
      </rPr>
      <t xml:space="preserve">00194169725480
</t>
    </r>
    <r>
      <rPr>
        <sz val="8"/>
        <rFont val="Times New Roman"/>
        <charset val="134"/>
      </rPr>
      <t>33809</t>
    </r>
  </si>
  <si>
    <r>
      <rPr>
        <sz val="9"/>
        <rFont val="Microsoft Sans Serif"/>
        <charset val="134"/>
      </rPr>
      <t>JUEGO DE HERRAMIENTAS HD X3 K-380</t>
    </r>
  </si>
  <si>
    <r>
      <rPr>
        <sz val="8"/>
        <rFont val="Times New Roman"/>
        <charset val="134"/>
      </rPr>
      <t>HD4104</t>
    </r>
  </si>
  <si>
    <r>
      <rPr>
        <sz val="8"/>
        <rFont val="Times New Roman"/>
        <charset val="134"/>
      </rPr>
      <t>HD295387</t>
    </r>
  </si>
  <si>
    <r>
      <rPr>
        <sz val="9"/>
        <rFont val="Microsoft Sans Serif"/>
        <charset val="134"/>
      </rPr>
      <t>JUGUETE BABY SET MU</t>
    </r>
  </si>
  <si>
    <r>
      <rPr>
        <sz val="8"/>
        <rFont val="Times New Roman"/>
        <charset val="134"/>
      </rPr>
      <t>RFD315143</t>
    </r>
  </si>
  <si>
    <r>
      <rPr>
        <sz val="9"/>
        <rFont val="Microsoft Sans Serif"/>
        <charset val="134"/>
      </rPr>
      <t>JUGUETE BABY STEERI</t>
    </r>
  </si>
  <si>
    <r>
      <rPr>
        <sz val="8"/>
        <rFont val="Times New Roman"/>
        <charset val="134"/>
      </rPr>
      <t>HD3554</t>
    </r>
  </si>
  <si>
    <r>
      <rPr>
        <sz val="9"/>
        <rFont val="Microsoft Sans Serif"/>
        <charset val="134"/>
      </rPr>
      <t>JUGUETE DE PERRO HD Bola intermitente</t>
    </r>
  </si>
  <si>
    <r>
      <rPr>
        <sz val="8"/>
        <rFont val="Times New Roman"/>
        <charset val="134"/>
      </rPr>
      <t>HD3553</t>
    </r>
  </si>
  <si>
    <r>
      <rPr>
        <sz val="9"/>
        <rFont val="Microsoft Sans Serif"/>
        <charset val="134"/>
      </rPr>
      <t>JUGUETE HD</t>
    </r>
  </si>
  <si>
    <r>
      <rPr>
        <sz val="8"/>
        <rFont val="Times New Roman"/>
        <charset val="134"/>
      </rPr>
      <t>HD3365</t>
    </r>
  </si>
  <si>
    <r>
      <rPr>
        <sz val="9"/>
        <rFont val="Microsoft Sans Serif"/>
        <charset val="134"/>
      </rPr>
      <t>JUGUETE PARA MASCOTAS 05/2021 142265</t>
    </r>
  </si>
  <si>
    <r>
      <rPr>
        <sz val="8"/>
        <rFont val="Times New Roman"/>
        <charset val="134"/>
      </rPr>
      <t>HD3366</t>
    </r>
  </si>
  <si>
    <r>
      <rPr>
        <sz val="9"/>
        <rFont val="Microsoft Sans Serif"/>
        <charset val="134"/>
      </rPr>
      <t>JUGUETE PARA MASCOTAS CORAZON 05/2021</t>
    </r>
  </si>
  <si>
    <r>
      <rPr>
        <sz val="8"/>
        <rFont val="Times New Roman"/>
        <charset val="134"/>
      </rPr>
      <t>HD3540</t>
    </r>
  </si>
  <si>
    <r>
      <rPr>
        <sz val="9"/>
        <rFont val="Microsoft Sans Serif"/>
        <charset val="134"/>
      </rPr>
      <t>JUGUETE PARA PERRO HD ANILLO</t>
    </r>
  </si>
  <si>
    <r>
      <rPr>
        <sz val="8"/>
        <rFont val="Times New Roman"/>
        <charset val="134"/>
      </rPr>
      <t>HD3544</t>
    </r>
  </si>
  <si>
    <r>
      <rPr>
        <sz val="9"/>
        <rFont val="Microsoft Sans Serif"/>
        <charset val="134"/>
      </rPr>
      <t>JUGUETE PARA PERRO HD BOLA COLORES</t>
    </r>
  </si>
  <si>
    <r>
      <rPr>
        <sz val="8"/>
        <rFont val="Times New Roman"/>
        <charset val="134"/>
      </rPr>
      <t>HD3543</t>
    </r>
  </si>
  <si>
    <r>
      <rPr>
        <sz val="9"/>
        <rFont val="Microsoft Sans Serif"/>
        <charset val="134"/>
      </rPr>
      <t>JUGUETE PARA PERRO HD CIRCULO 4 COLOR</t>
    </r>
  </si>
  <si>
    <r>
      <rPr>
        <sz val="8"/>
        <rFont val="Times New Roman"/>
        <charset val="134"/>
      </rPr>
      <t>HD3550</t>
    </r>
  </si>
  <si>
    <r>
      <rPr>
        <sz val="9"/>
        <rFont val="Microsoft Sans Serif"/>
        <charset val="134"/>
      </rPr>
      <t>JUGUETE PARA PERRO HD DIBUJOS</t>
    </r>
  </si>
  <si>
    <r>
      <rPr>
        <sz val="8"/>
        <rFont val="Times New Roman"/>
        <charset val="134"/>
      </rPr>
      <t>HD3542</t>
    </r>
  </si>
  <si>
    <r>
      <rPr>
        <sz val="9"/>
        <rFont val="Microsoft Sans Serif"/>
        <charset val="134"/>
      </rPr>
      <t>JUGUETE PARA PERRO HD ESTRELLA</t>
    </r>
  </si>
  <si>
    <r>
      <rPr>
        <sz val="8"/>
        <rFont val="Times New Roman"/>
        <charset val="134"/>
      </rPr>
      <t>HD3547</t>
    </r>
  </si>
  <si>
    <r>
      <rPr>
        <sz val="9"/>
        <rFont val="Microsoft Sans Serif"/>
        <charset val="134"/>
      </rPr>
      <t>JUGUETE PARA PERRO HD ESTRELLAS</t>
    </r>
  </si>
  <si>
    <r>
      <rPr>
        <sz val="8"/>
        <rFont val="Times New Roman"/>
        <charset val="134"/>
      </rPr>
      <t>HD3549</t>
    </r>
  </si>
  <si>
    <r>
      <rPr>
        <sz val="9"/>
        <rFont val="Microsoft Sans Serif"/>
        <charset val="134"/>
      </rPr>
      <t>JUGUETE PARA PERRO HD ESTRELLAS PUNTAS</t>
    </r>
  </si>
  <si>
    <r>
      <rPr>
        <sz val="8"/>
        <rFont val="Times New Roman"/>
        <charset val="134"/>
      </rPr>
      <t>HD3539</t>
    </r>
  </si>
  <si>
    <r>
      <rPr>
        <sz val="9"/>
        <rFont val="Microsoft Sans Serif"/>
        <charset val="134"/>
      </rPr>
      <t>JUGUETE PARA PERRO HD HUESO</t>
    </r>
  </si>
  <si>
    <r>
      <rPr>
        <sz val="8"/>
        <rFont val="Times New Roman"/>
        <charset val="134"/>
      </rPr>
      <t>HD3552</t>
    </r>
  </si>
  <si>
    <r>
      <rPr>
        <sz val="9"/>
        <rFont val="Microsoft Sans Serif"/>
        <charset val="134"/>
      </rPr>
      <t>JUGUETE PARA PERRO HD HUESO CON TIRA</t>
    </r>
  </si>
  <si>
    <r>
      <rPr>
        <sz val="8"/>
        <rFont val="Times New Roman"/>
        <charset val="134"/>
      </rPr>
      <t>HD3541</t>
    </r>
  </si>
  <si>
    <r>
      <rPr>
        <sz val="9"/>
        <rFont val="Microsoft Sans Serif"/>
        <charset val="134"/>
      </rPr>
      <t>JUGUETE PARA PERRO HD HUESO PEQUENO ROSA</t>
    </r>
  </si>
  <si>
    <r>
      <rPr>
        <sz val="8"/>
        <rFont val="Times New Roman"/>
        <charset val="134"/>
      </rPr>
      <t>HD3551</t>
    </r>
  </si>
  <si>
    <r>
      <rPr>
        <sz val="9"/>
        <rFont val="Microsoft Sans Serif"/>
        <charset val="134"/>
      </rPr>
      <t>JUGUETE PARA PERRO HD HUESOS</t>
    </r>
  </si>
  <si>
    <r>
      <rPr>
        <sz val="8"/>
        <rFont val="Times New Roman"/>
        <charset val="134"/>
      </rPr>
      <t>HD3545</t>
    </r>
  </si>
  <si>
    <r>
      <rPr>
        <sz val="9"/>
        <rFont val="Microsoft Sans Serif"/>
        <charset val="134"/>
      </rPr>
      <t>JUGUETE PARA PERRO HD PIERNA POLLO</t>
    </r>
  </si>
  <si>
    <r>
      <rPr>
        <sz val="8"/>
        <rFont val="Times New Roman"/>
        <charset val="134"/>
      </rPr>
      <t>HD3548</t>
    </r>
  </si>
  <si>
    <r>
      <rPr>
        <sz val="9"/>
        <rFont val="Microsoft Sans Serif"/>
        <charset val="134"/>
      </rPr>
      <t>JUGUETE PARA PERRO HD TRIANGULO</t>
    </r>
  </si>
  <si>
    <r>
      <rPr>
        <sz val="8"/>
        <rFont val="Times New Roman"/>
        <charset val="134"/>
      </rPr>
      <t>RFD318797</t>
    </r>
  </si>
  <si>
    <r>
      <rPr>
        <sz val="9"/>
        <rFont val="Microsoft Sans Serif"/>
        <charset val="134"/>
      </rPr>
      <t>JUGUETE SHAPES MATCHING</t>
    </r>
  </si>
  <si>
    <r>
      <rPr>
        <sz val="8"/>
        <rFont val="Times New Roman"/>
        <charset val="134"/>
      </rPr>
      <t>HD864</t>
    </r>
  </si>
  <si>
    <r>
      <rPr>
        <sz val="9"/>
        <rFont val="Microsoft Sans Serif"/>
        <charset val="134"/>
      </rPr>
      <t>JUGUETE TROMPETA CHINA</t>
    </r>
  </si>
  <si>
    <r>
      <rPr>
        <sz val="8"/>
        <rFont val="Times New Roman"/>
        <charset val="134"/>
      </rPr>
      <t>RFD431992</t>
    </r>
  </si>
  <si>
    <r>
      <rPr>
        <sz val="9"/>
        <rFont val="Microsoft Sans Serif"/>
        <charset val="134"/>
      </rPr>
      <t>JUGUETE WOODPECKER</t>
    </r>
  </si>
  <si>
    <r>
      <rPr>
        <sz val="8"/>
        <rFont val="Times New Roman"/>
        <charset val="134"/>
      </rPr>
      <t>RFD427739</t>
    </r>
  </si>
  <si>
    <r>
      <rPr>
        <sz val="9"/>
        <rFont val="Microsoft Sans Serif"/>
        <charset val="134"/>
      </rPr>
      <t>JUGUETES BASKETBALL BOARD</t>
    </r>
  </si>
  <si>
    <r>
      <rPr>
        <sz val="8"/>
        <rFont val="Times New Roman"/>
        <charset val="134"/>
      </rPr>
      <t>HD406</t>
    </r>
  </si>
  <si>
    <r>
      <rPr>
        <sz val="9"/>
        <rFont val="Microsoft Sans Serif"/>
        <charset val="134"/>
      </rPr>
      <t>JUGUETES CH</t>
    </r>
  </si>
  <si>
    <r>
      <rPr>
        <sz val="8"/>
        <rFont val="Times New Roman"/>
        <charset val="134"/>
      </rPr>
      <t>HD688</t>
    </r>
  </si>
  <si>
    <r>
      <rPr>
        <sz val="8"/>
        <rFont val="Times New Roman"/>
        <charset val="134"/>
      </rPr>
      <t>HD866</t>
    </r>
  </si>
  <si>
    <r>
      <rPr>
        <sz val="9"/>
        <rFont val="Microsoft Sans Serif"/>
        <charset val="134"/>
      </rPr>
      <t>JUGUETES PITOS WJ/022 BT</t>
    </r>
  </si>
  <si>
    <r>
      <rPr>
        <sz val="8"/>
        <rFont val="Times New Roman"/>
        <charset val="134"/>
      </rPr>
      <t>HD874</t>
    </r>
  </si>
  <si>
    <r>
      <rPr>
        <sz val="9"/>
        <rFont val="Microsoft Sans Serif"/>
        <charset val="134"/>
      </rPr>
      <t>JUGUETES PLUMAS CHINA</t>
    </r>
  </si>
  <si>
    <r>
      <rPr>
        <sz val="8"/>
        <rFont val="Times New Roman"/>
        <charset val="134"/>
      </rPr>
      <t>HD868</t>
    </r>
  </si>
  <si>
    <r>
      <rPr>
        <sz val="9"/>
        <rFont val="Microsoft Sans Serif"/>
        <charset val="134"/>
      </rPr>
      <t>JUGUETES PULSERA MICKEY CHINA</t>
    </r>
  </si>
  <si>
    <r>
      <rPr>
        <sz val="8"/>
        <rFont val="Times New Roman"/>
        <charset val="134"/>
      </rPr>
      <t>RFD418785</t>
    </r>
  </si>
  <si>
    <r>
      <rPr>
        <sz val="9"/>
        <rFont val="Microsoft Sans Serif"/>
        <charset val="134"/>
      </rPr>
      <t>JUGUETES SIDEWALK DOUBLE REMOTE CONTROL STUN</t>
    </r>
  </si>
  <si>
    <r>
      <rPr>
        <sz val="8"/>
        <rFont val="Times New Roman"/>
        <charset val="134"/>
      </rPr>
      <t>HD877</t>
    </r>
  </si>
  <si>
    <r>
      <rPr>
        <sz val="9"/>
        <rFont val="Microsoft Sans Serif"/>
        <charset val="134"/>
      </rPr>
      <t>JUGUETES SOPLADOR CHINA</t>
    </r>
  </si>
  <si>
    <r>
      <rPr>
        <sz val="8"/>
        <rFont val="Times New Roman"/>
        <charset val="134"/>
      </rPr>
      <t>RFD402970</t>
    </r>
  </si>
  <si>
    <r>
      <rPr>
        <sz val="9"/>
        <rFont val="Microsoft Sans Serif"/>
        <charset val="134"/>
      </rPr>
      <t>JUGUETES THREE STUNT CAR</t>
    </r>
  </si>
  <si>
    <r>
      <rPr>
        <sz val="8"/>
        <rFont val="Times New Roman"/>
        <charset val="134"/>
      </rPr>
      <t>RFD388388</t>
    </r>
  </si>
  <si>
    <r>
      <rPr>
        <sz val="9"/>
        <rFont val="Microsoft Sans Serif"/>
        <charset val="134"/>
      </rPr>
      <t>JUGUETES TRANSFORMING ROBOT</t>
    </r>
  </si>
  <si>
    <r>
      <rPr>
        <sz val="8"/>
        <rFont val="Times New Roman"/>
        <charset val="134"/>
      </rPr>
      <t>HD873</t>
    </r>
  </si>
  <si>
    <r>
      <rPr>
        <sz val="9"/>
        <rFont val="Microsoft Sans Serif"/>
        <charset val="134"/>
      </rPr>
      <t>JUGUETES WJ/001 CHINA</t>
    </r>
  </si>
  <si>
    <r>
      <rPr>
        <sz val="8"/>
        <rFont val="Times New Roman"/>
        <charset val="134"/>
      </rPr>
      <t>HD889</t>
    </r>
  </si>
  <si>
    <r>
      <rPr>
        <sz val="9"/>
        <rFont val="Microsoft Sans Serif"/>
        <charset val="134"/>
      </rPr>
      <t>JUGUETES WJ/016 CHINA</t>
    </r>
  </si>
  <si>
    <r>
      <rPr>
        <sz val="8"/>
        <rFont val="Times New Roman"/>
        <charset val="134"/>
      </rPr>
      <t>HD3797</t>
    </r>
  </si>
  <si>
    <r>
      <rPr>
        <sz val="9"/>
        <rFont val="Microsoft Sans Serif"/>
        <charset val="134"/>
      </rPr>
      <t>JUGUTE POPIT HD 30x30</t>
    </r>
  </si>
  <si>
    <r>
      <rPr>
        <sz val="8"/>
        <rFont val="Times New Roman"/>
        <charset val="134"/>
      </rPr>
      <t>HD3800</t>
    </r>
  </si>
  <si>
    <r>
      <rPr>
        <sz val="9"/>
        <rFont val="Microsoft Sans Serif"/>
        <charset val="134"/>
      </rPr>
      <t>JUGUTE POPIT HD HOCTAGONO 12x121.651.4</t>
    </r>
  </si>
  <si>
    <r>
      <rPr>
        <sz val="8"/>
        <rFont val="Times New Roman"/>
        <charset val="134"/>
      </rPr>
      <t>HD3803</t>
    </r>
  </si>
  <si>
    <r>
      <rPr>
        <sz val="9"/>
        <rFont val="Microsoft Sans Serif"/>
        <charset val="134"/>
      </rPr>
      <t>JUGUTE POPIT HD RECTANGULAR 19x33</t>
    </r>
  </si>
  <si>
    <r>
      <rPr>
        <sz val="8"/>
        <rFont val="Times New Roman"/>
        <charset val="134"/>
      </rPr>
      <t>HD3802</t>
    </r>
  </si>
  <si>
    <r>
      <rPr>
        <sz val="9"/>
        <rFont val="Microsoft Sans Serif"/>
        <charset val="134"/>
      </rPr>
      <t>JUGUTE POPIT HELADO HD</t>
    </r>
  </si>
  <si>
    <r>
      <rPr>
        <sz val="8"/>
        <rFont val="Times New Roman"/>
        <charset val="134"/>
      </rPr>
      <t>HD3167</t>
    </r>
  </si>
  <si>
    <r>
      <rPr>
        <sz val="9"/>
        <rFont val="Microsoft Sans Serif"/>
        <charset val="134"/>
      </rPr>
      <t>JX-819 RELOJ DIGITAL 05/2021</t>
    </r>
  </si>
  <si>
    <r>
      <rPr>
        <sz val="8"/>
        <rFont val="Times New Roman"/>
        <charset val="134"/>
      </rPr>
      <t>HD1976</t>
    </r>
  </si>
  <si>
    <r>
      <rPr>
        <sz val="9"/>
        <rFont val="Microsoft Sans Serif"/>
        <charset val="134"/>
      </rPr>
      <t>JY167 PINZA PARA PESTAÑAS</t>
    </r>
  </si>
  <si>
    <r>
      <rPr>
        <sz val="8"/>
        <rFont val="Times New Roman"/>
        <charset val="134"/>
      </rPr>
      <t>HD3235</t>
    </r>
  </si>
  <si>
    <r>
      <rPr>
        <sz val="9"/>
        <rFont val="Microsoft Sans Serif"/>
        <charset val="134"/>
      </rPr>
      <t>K-0860 TIJERA 05/2021</t>
    </r>
  </si>
  <si>
    <r>
      <rPr>
        <sz val="8"/>
        <rFont val="Times New Roman"/>
        <charset val="134"/>
      </rPr>
      <t>HD4126</t>
    </r>
  </si>
  <si>
    <r>
      <rPr>
        <sz val="9"/>
        <rFont val="Microsoft Sans Serif"/>
        <charset val="134"/>
      </rPr>
      <t>K-108 TIJERA HD DORADA</t>
    </r>
  </si>
  <si>
    <r>
      <rPr>
        <sz val="8"/>
        <rFont val="Times New Roman"/>
        <charset val="134"/>
      </rPr>
      <t>HD4129</t>
    </r>
  </si>
  <si>
    <r>
      <rPr>
        <sz val="9"/>
        <rFont val="Microsoft Sans Serif"/>
        <charset val="134"/>
      </rPr>
      <t>K-148 PRESTOBARBA X10 HD</t>
    </r>
  </si>
  <si>
    <r>
      <rPr>
        <sz val="8"/>
        <rFont val="Times New Roman"/>
        <charset val="134"/>
      </rPr>
      <t>HD3324</t>
    </r>
  </si>
  <si>
    <r>
      <rPr>
        <sz val="9"/>
        <rFont val="Microsoft Sans Serif"/>
        <charset val="134"/>
      </rPr>
      <t>K2 AURICULARES BLUETOOTH 05/2021</t>
    </r>
  </si>
  <si>
    <r>
      <rPr>
        <sz val="8"/>
        <rFont val="Times New Roman"/>
        <charset val="134"/>
      </rPr>
      <t>HD4037</t>
    </r>
  </si>
  <si>
    <r>
      <rPr>
        <sz val="9"/>
        <rFont val="Microsoft Sans Serif"/>
        <charset val="134"/>
      </rPr>
      <t>K-221 TIJERA COCINA HD 2022/02</t>
    </r>
  </si>
  <si>
    <r>
      <rPr>
        <sz val="8"/>
        <rFont val="Times New Roman"/>
        <charset val="134"/>
      </rPr>
      <t>HD4123</t>
    </r>
  </si>
  <si>
    <r>
      <rPr>
        <sz val="9"/>
        <rFont val="Microsoft Sans Serif"/>
        <charset val="134"/>
      </rPr>
      <t>K-222 TIJERA HD 2022/02</t>
    </r>
  </si>
  <si>
    <r>
      <rPr>
        <sz val="8"/>
        <rFont val="Times New Roman"/>
        <charset val="134"/>
      </rPr>
      <t>HD4125</t>
    </r>
  </si>
  <si>
    <r>
      <rPr>
        <sz val="9"/>
        <rFont val="Microsoft Sans Serif"/>
        <charset val="134"/>
      </rPr>
      <t>K-228 SACA CORCHO HD 2022/02</t>
    </r>
  </si>
  <si>
    <r>
      <rPr>
        <sz val="8"/>
        <rFont val="Times New Roman"/>
        <charset val="134"/>
      </rPr>
      <t>HD4038</t>
    </r>
  </si>
  <si>
    <r>
      <rPr>
        <sz val="9"/>
        <rFont val="Microsoft Sans Serif"/>
        <charset val="134"/>
      </rPr>
      <t>K-417 KIT DE ESTILETES HD</t>
    </r>
  </si>
  <si>
    <r>
      <rPr>
        <sz val="8"/>
        <rFont val="Times New Roman"/>
        <charset val="134"/>
      </rPr>
      <t>HD2000</t>
    </r>
  </si>
  <si>
    <r>
      <rPr>
        <sz val="9"/>
        <rFont val="Microsoft Sans Serif"/>
        <charset val="134"/>
      </rPr>
      <t>K7 HUMIFICADOR CHINA</t>
    </r>
  </si>
  <si>
    <r>
      <rPr>
        <sz val="8"/>
        <rFont val="Times New Roman"/>
        <charset val="134"/>
      </rPr>
      <t>HD3337</t>
    </r>
  </si>
  <si>
    <r>
      <rPr>
        <sz val="9"/>
        <rFont val="Microsoft Sans Serif"/>
        <charset val="134"/>
      </rPr>
      <t>K70 MOUSE 05/2021</t>
    </r>
  </si>
  <si>
    <r>
      <rPr>
        <sz val="8"/>
        <rFont val="Times New Roman"/>
        <charset val="134"/>
      </rPr>
      <t>HD2003</t>
    </r>
  </si>
  <si>
    <r>
      <rPr>
        <sz val="9"/>
        <rFont val="Microsoft Sans Serif"/>
        <charset val="134"/>
      </rPr>
      <t>K8 HUMIFICADOR CHINA</t>
    </r>
  </si>
  <si>
    <r>
      <rPr>
        <sz val="8"/>
        <rFont val="Times New Roman"/>
        <charset val="134"/>
      </rPr>
      <t>HD1711</t>
    </r>
  </si>
  <si>
    <r>
      <rPr>
        <sz val="9"/>
        <rFont val="Microsoft Sans Serif"/>
        <charset val="134"/>
      </rPr>
      <t>KD135 VENTILADOR CHINA</t>
    </r>
  </si>
  <si>
    <r>
      <rPr>
        <sz val="8"/>
        <rFont val="Times New Roman"/>
        <charset val="134"/>
      </rPr>
      <t>HD5607</t>
    </r>
  </si>
  <si>
    <r>
      <rPr>
        <sz val="9"/>
        <rFont val="Microsoft Sans Serif"/>
        <charset val="134"/>
      </rPr>
      <t>KIT DE COCINA SALERO</t>
    </r>
  </si>
  <si>
    <r>
      <rPr>
        <sz val="8"/>
        <rFont val="Times New Roman"/>
        <charset val="134"/>
      </rPr>
      <t>HD4111</t>
    </r>
  </si>
  <si>
    <r>
      <rPr>
        <sz val="9"/>
        <rFont val="Microsoft Sans Serif"/>
        <charset val="134"/>
      </rPr>
      <t>KIT DE COCINA X2 HD K-399</t>
    </r>
  </si>
  <si>
    <r>
      <rPr>
        <sz val="8"/>
        <rFont val="Times New Roman"/>
        <charset val="134"/>
      </rPr>
      <t>HD4114</t>
    </r>
  </si>
  <si>
    <r>
      <rPr>
        <sz val="9"/>
        <rFont val="Microsoft Sans Serif"/>
        <charset val="134"/>
      </rPr>
      <t>KIT DE ESCOLAR HD K-137</t>
    </r>
  </si>
  <si>
    <r>
      <rPr>
        <sz val="8"/>
        <rFont val="Times New Roman"/>
        <charset val="134"/>
      </rPr>
      <t>HD4120</t>
    </r>
  </si>
  <si>
    <r>
      <rPr>
        <sz val="9"/>
        <rFont val="Microsoft Sans Serif"/>
        <charset val="134"/>
      </rPr>
      <t>KIT DE ESTILETE HD</t>
    </r>
  </si>
  <si>
    <r>
      <rPr>
        <sz val="8"/>
        <rFont val="Times New Roman"/>
        <charset val="134"/>
      </rPr>
      <t>HD2481</t>
    </r>
  </si>
  <si>
    <r>
      <rPr>
        <sz val="9"/>
        <rFont val="Microsoft Sans Serif"/>
        <charset val="134"/>
      </rPr>
      <t>KIT DE FIESTA 05/2021</t>
    </r>
  </si>
  <si>
    <r>
      <rPr>
        <sz val="8"/>
        <rFont val="Times New Roman"/>
        <charset val="134"/>
      </rPr>
      <t>HD4110</t>
    </r>
  </si>
  <si>
    <r>
      <rPr>
        <sz val="9"/>
        <rFont val="Microsoft Sans Serif"/>
        <charset val="134"/>
      </rPr>
      <t>KIT DE HERRAMIENTA X5 HD k-232</t>
    </r>
  </si>
  <si>
    <r>
      <rPr>
        <sz val="8"/>
        <rFont val="Times New Roman"/>
        <charset val="134"/>
      </rPr>
      <t>HD4116</t>
    </r>
  </si>
  <si>
    <r>
      <rPr>
        <sz val="9"/>
        <rFont val="Microsoft Sans Serif"/>
        <charset val="134"/>
      </rPr>
      <t>KIT DE HERRAMIENTAS HD</t>
    </r>
  </si>
  <si>
    <r>
      <rPr>
        <sz val="8"/>
        <rFont val="Times New Roman"/>
        <charset val="134"/>
      </rPr>
      <t>HD4122</t>
    </r>
  </si>
  <si>
    <r>
      <rPr>
        <sz val="9"/>
        <rFont val="Microsoft Sans Serif"/>
        <charset val="134"/>
      </rPr>
      <t>KIT DE HERRAMIENTAS HD 3PCS K-381</t>
    </r>
  </si>
  <si>
    <r>
      <rPr>
        <sz val="8"/>
        <rFont val="Times New Roman"/>
        <charset val="134"/>
      </rPr>
      <t>HD4109</t>
    </r>
  </si>
  <si>
    <r>
      <rPr>
        <sz val="9"/>
        <rFont val="Microsoft Sans Serif"/>
        <charset val="134"/>
      </rPr>
      <t>KIT DE HERRAMIENTAS HD K-342</t>
    </r>
  </si>
  <si>
    <r>
      <rPr>
        <sz val="8"/>
        <rFont val="Times New Roman"/>
        <charset val="134"/>
      </rPr>
      <t>HD4119</t>
    </r>
  </si>
  <si>
    <r>
      <rPr>
        <sz val="9"/>
        <rFont val="Microsoft Sans Serif"/>
        <charset val="134"/>
      </rPr>
      <t>KIT DE LIMPIEZA 4PCS HD K-340</t>
    </r>
  </si>
  <si>
    <r>
      <rPr>
        <sz val="8"/>
        <rFont val="Times New Roman"/>
        <charset val="134"/>
      </rPr>
      <t>HD4117</t>
    </r>
  </si>
  <si>
    <r>
      <rPr>
        <sz val="9"/>
        <rFont val="Microsoft Sans Serif"/>
        <charset val="134"/>
      </rPr>
      <t>KIT DE PRESTOBARBA HD K-363</t>
    </r>
  </si>
  <si>
    <r>
      <rPr>
        <sz val="8"/>
        <rFont val="Times New Roman"/>
        <charset val="134"/>
      </rPr>
      <t>HD4121</t>
    </r>
  </si>
  <si>
    <r>
      <rPr>
        <sz val="9"/>
        <rFont val="Microsoft Sans Serif"/>
        <charset val="134"/>
      </rPr>
      <t>KIT HERRAMIENTA DE BBQ HD 2PCS K-485</t>
    </r>
  </si>
  <si>
    <r>
      <rPr>
        <sz val="8"/>
        <rFont val="Times New Roman"/>
        <charset val="134"/>
      </rPr>
      <t>HD4202</t>
    </r>
  </si>
  <si>
    <r>
      <rPr>
        <sz val="9"/>
        <rFont val="Microsoft Sans Serif"/>
        <charset val="134"/>
      </rPr>
      <t>KIT MASCOTAS</t>
    </r>
  </si>
  <si>
    <r>
      <rPr>
        <sz val="8"/>
        <rFont val="Times New Roman"/>
        <charset val="134"/>
      </rPr>
      <t>HD4107</t>
    </r>
  </si>
  <si>
    <r>
      <rPr>
        <sz val="9"/>
        <rFont val="Microsoft Sans Serif"/>
        <charset val="134"/>
      </rPr>
      <t>KIT PARA HOGAR X2 HD DESTAPADOR 0818</t>
    </r>
  </si>
  <si>
    <r>
      <rPr>
        <sz val="8"/>
        <rFont val="Times New Roman"/>
        <charset val="134"/>
      </rPr>
      <t>HD4115</t>
    </r>
  </si>
  <si>
    <r>
      <rPr>
        <sz val="9"/>
        <rFont val="Microsoft Sans Serif"/>
        <charset val="134"/>
      </rPr>
      <t>KIT RECORTADOR DE CEJAS HD K-498</t>
    </r>
  </si>
  <si>
    <r>
      <rPr>
        <sz val="8"/>
        <rFont val="Times New Roman"/>
        <charset val="134"/>
      </rPr>
      <t>HD4620</t>
    </r>
  </si>
  <si>
    <r>
      <rPr>
        <sz val="9"/>
        <rFont val="Microsoft Sans Serif"/>
        <charset val="134"/>
      </rPr>
      <t>KIT UTENCILIO</t>
    </r>
  </si>
  <si>
    <r>
      <rPr>
        <sz val="8"/>
        <rFont val="Times New Roman"/>
        <charset val="134"/>
      </rPr>
      <t>HD4317</t>
    </r>
  </si>
  <si>
    <r>
      <rPr>
        <sz val="9"/>
        <rFont val="Microsoft Sans Serif"/>
        <charset val="134"/>
      </rPr>
      <t>KIT UTENCILIOS NIÑOS</t>
    </r>
  </si>
  <si>
    <r>
      <rPr>
        <sz val="8"/>
        <rFont val="Times New Roman"/>
        <charset val="134"/>
      </rPr>
      <t>HD4318</t>
    </r>
  </si>
  <si>
    <r>
      <rPr>
        <sz val="9"/>
        <rFont val="Microsoft Sans Serif"/>
        <charset val="134"/>
      </rPr>
      <t>KIT UTENCILIOS NIÑOS.</t>
    </r>
  </si>
  <si>
    <r>
      <rPr>
        <sz val="8"/>
        <rFont val="Times New Roman"/>
        <charset val="134"/>
      </rPr>
      <t>HD4319</t>
    </r>
  </si>
  <si>
    <r>
      <rPr>
        <sz val="9"/>
        <rFont val="Microsoft Sans Serif"/>
        <charset val="134"/>
      </rPr>
      <t>KIT UTENCILIOS NIÑOS..</t>
    </r>
  </si>
  <si>
    <r>
      <rPr>
        <sz val="8"/>
        <rFont val="Times New Roman"/>
        <charset val="134"/>
      </rPr>
      <t>HD4320</t>
    </r>
  </si>
  <si>
    <r>
      <rPr>
        <sz val="9"/>
        <rFont val="Microsoft Sans Serif"/>
        <charset val="134"/>
      </rPr>
      <t>KIT UTENCILIOS NIÑOS…</t>
    </r>
  </si>
  <si>
    <r>
      <rPr>
        <sz val="8"/>
        <rFont val="Times New Roman"/>
        <charset val="134"/>
      </rPr>
      <t>HD4322</t>
    </r>
  </si>
  <si>
    <r>
      <rPr>
        <sz val="9"/>
        <rFont val="Microsoft Sans Serif"/>
        <charset val="134"/>
      </rPr>
      <t>KIT UTENCILIOS NIÑOS…..</t>
    </r>
  </si>
  <si>
    <r>
      <rPr>
        <sz val="8"/>
        <rFont val="Times New Roman"/>
        <charset val="134"/>
      </rPr>
      <t>HD4324</t>
    </r>
  </si>
  <si>
    <r>
      <rPr>
        <sz val="9"/>
        <rFont val="Microsoft Sans Serif"/>
        <charset val="134"/>
      </rPr>
      <t>KIT UTENCILIOS NIÑOS…….</t>
    </r>
  </si>
  <si>
    <r>
      <rPr>
        <sz val="8"/>
        <rFont val="Times New Roman"/>
        <charset val="134"/>
      </rPr>
      <t>HD4314</t>
    </r>
  </si>
  <si>
    <r>
      <rPr>
        <sz val="9"/>
        <rFont val="Microsoft Sans Serif"/>
        <charset val="134"/>
      </rPr>
      <t>KITS CUBIERTOS B-28</t>
    </r>
  </si>
  <si>
    <r>
      <rPr>
        <sz val="8"/>
        <rFont val="Times New Roman"/>
        <charset val="134"/>
      </rPr>
      <t>HD4315</t>
    </r>
  </si>
  <si>
    <r>
      <rPr>
        <sz val="9"/>
        <rFont val="Microsoft Sans Serif"/>
        <charset val="134"/>
      </rPr>
      <t>KITS CUBIERTOS B-40</t>
    </r>
  </si>
  <si>
    <r>
      <rPr>
        <sz val="8"/>
        <rFont val="Times New Roman"/>
        <charset val="134"/>
      </rPr>
      <t>HD4316</t>
    </r>
  </si>
  <si>
    <r>
      <rPr>
        <sz val="9"/>
        <rFont val="Microsoft Sans Serif"/>
        <charset val="134"/>
      </rPr>
      <t>KITS CUBIERTOS B-43</t>
    </r>
  </si>
  <si>
    <r>
      <rPr>
        <sz val="8"/>
        <rFont val="Times New Roman"/>
        <charset val="134"/>
      </rPr>
      <t>HD4297</t>
    </r>
  </si>
  <si>
    <r>
      <rPr>
        <sz val="9"/>
        <rFont val="Microsoft Sans Serif"/>
        <charset val="134"/>
      </rPr>
      <t>KITS UTENSILIOS 04621</t>
    </r>
  </si>
  <si>
    <r>
      <rPr>
        <sz val="8"/>
        <rFont val="Times New Roman"/>
        <charset val="134"/>
      </rPr>
      <t>HD4303</t>
    </r>
  </si>
  <si>
    <r>
      <rPr>
        <sz val="9"/>
        <rFont val="Microsoft Sans Serif"/>
        <charset val="134"/>
      </rPr>
      <t>KITS UTENSILIOS 2001M-2P</t>
    </r>
  </si>
  <si>
    <r>
      <rPr>
        <sz val="8"/>
        <rFont val="Times New Roman"/>
        <charset val="134"/>
      </rPr>
      <t>HD4302</t>
    </r>
  </si>
  <si>
    <r>
      <rPr>
        <sz val="9"/>
        <rFont val="Microsoft Sans Serif"/>
        <charset val="134"/>
      </rPr>
      <t>KITS UTENSILIOS 9178A-304</t>
    </r>
  </si>
  <si>
    <r>
      <rPr>
        <sz val="8"/>
        <rFont val="Times New Roman"/>
        <charset val="134"/>
      </rPr>
      <t>HD2023</t>
    </r>
  </si>
  <si>
    <r>
      <rPr>
        <sz val="9"/>
        <rFont val="Microsoft Sans Serif"/>
        <charset val="134"/>
      </rPr>
      <t>L740 STAGE BLUETOOTH SPEAKER</t>
    </r>
  </si>
  <si>
    <r>
      <rPr>
        <sz val="9"/>
        <rFont val="Microsoft Sans Serif"/>
        <charset val="134"/>
      </rPr>
      <t>LABIAL  ACC.BELLEZA</t>
    </r>
  </si>
  <si>
    <r>
      <rPr>
        <sz val="8"/>
        <rFont val="Times New Roman"/>
        <charset val="134"/>
      </rPr>
      <t>HD3177</t>
    </r>
  </si>
  <si>
    <r>
      <rPr>
        <sz val="9"/>
        <rFont val="Microsoft Sans Serif"/>
        <charset val="134"/>
      </rPr>
      <t>LAMPARA CRISTAL SENCILLA 05/2021</t>
    </r>
  </si>
  <si>
    <r>
      <rPr>
        <sz val="8"/>
        <rFont val="Times New Roman"/>
        <charset val="134"/>
      </rPr>
      <t>HD3712</t>
    </r>
  </si>
  <si>
    <r>
      <rPr>
        <sz val="9"/>
        <rFont val="Microsoft Sans Serif"/>
        <charset val="134"/>
      </rPr>
      <t>LAMPARA DE UNAS HD</t>
    </r>
  </si>
  <si>
    <r>
      <rPr>
        <sz val="8"/>
        <rFont val="Times New Roman"/>
        <charset val="134"/>
      </rPr>
      <t>HD3713</t>
    </r>
  </si>
  <si>
    <r>
      <rPr>
        <sz val="8"/>
        <rFont val="Times New Roman"/>
        <charset val="134"/>
      </rPr>
      <t>HD1713</t>
    </r>
  </si>
  <si>
    <r>
      <rPr>
        <sz val="9"/>
        <rFont val="Microsoft Sans Serif"/>
        <charset val="134"/>
      </rPr>
      <t>LD1049 LAMPARA CHINA</t>
    </r>
  </si>
  <si>
    <r>
      <rPr>
        <sz val="8"/>
        <rFont val="Times New Roman"/>
        <charset val="134"/>
      </rPr>
      <t>HD1715</t>
    </r>
  </si>
  <si>
    <r>
      <rPr>
        <sz val="9"/>
        <rFont val="Microsoft Sans Serif"/>
        <charset val="134"/>
      </rPr>
      <t>LD1073 LAMPARA CHINA</t>
    </r>
  </si>
  <si>
    <r>
      <rPr>
        <sz val="8"/>
        <rFont val="Times New Roman"/>
        <charset val="134"/>
      </rPr>
      <t>HD1750</t>
    </r>
  </si>
  <si>
    <r>
      <rPr>
        <sz val="9"/>
        <rFont val="Microsoft Sans Serif"/>
        <charset val="134"/>
      </rPr>
      <t>LD221 VENTILADOR CHINA</t>
    </r>
  </si>
  <si>
    <r>
      <rPr>
        <sz val="8"/>
        <rFont val="Times New Roman"/>
        <charset val="134"/>
      </rPr>
      <t>HD1751</t>
    </r>
  </si>
  <si>
    <r>
      <rPr>
        <sz val="9"/>
        <rFont val="Microsoft Sans Serif"/>
        <charset val="134"/>
      </rPr>
      <t>LD261 VENTILADOR CHINA</t>
    </r>
  </si>
  <si>
    <r>
      <rPr>
        <sz val="8"/>
        <rFont val="Times New Roman"/>
        <charset val="134"/>
      </rPr>
      <t>HD1741</t>
    </r>
  </si>
  <si>
    <r>
      <rPr>
        <sz val="9"/>
        <rFont val="Microsoft Sans Serif"/>
        <charset val="134"/>
      </rPr>
      <t>LD275 VENTILADOR CHINA</t>
    </r>
  </si>
  <si>
    <r>
      <rPr>
        <sz val="8"/>
        <rFont val="Times New Roman"/>
        <charset val="134"/>
      </rPr>
      <t>HD1742</t>
    </r>
  </si>
  <si>
    <r>
      <rPr>
        <sz val="9"/>
        <rFont val="Microsoft Sans Serif"/>
        <charset val="134"/>
      </rPr>
      <t>LD277 VENTILADOR CHINA</t>
    </r>
  </si>
  <si>
    <r>
      <rPr>
        <sz val="8"/>
        <rFont val="Times New Roman"/>
        <charset val="134"/>
      </rPr>
      <t>HD2042</t>
    </r>
  </si>
  <si>
    <r>
      <rPr>
        <sz val="9"/>
        <rFont val="Microsoft Sans Serif"/>
        <charset val="134"/>
      </rPr>
      <t>LED MUSIC BULB APP</t>
    </r>
  </si>
  <si>
    <r>
      <rPr>
        <sz val="8"/>
        <rFont val="Times New Roman"/>
        <charset val="134"/>
      </rPr>
      <t>HD3945</t>
    </r>
  </si>
  <si>
    <r>
      <rPr>
        <sz val="9"/>
        <rFont val="Microsoft Sans Serif"/>
        <charset val="134"/>
      </rPr>
      <t>LIGAS PEQUEÑAS</t>
    </r>
  </si>
  <si>
    <r>
      <rPr>
        <sz val="8"/>
        <rFont val="Times New Roman"/>
        <charset val="134"/>
      </rPr>
      <t>HD3652</t>
    </r>
  </si>
  <si>
    <r>
      <rPr>
        <sz val="9"/>
        <rFont val="Microsoft Sans Serif"/>
        <charset val="134"/>
      </rPr>
      <t>LIGAS YX-ZLD HD</t>
    </r>
  </si>
  <si>
    <r>
      <rPr>
        <sz val="9"/>
        <rFont val="Microsoft Sans Serif"/>
        <charset val="134"/>
      </rPr>
      <t>LIMA DE UÑAS</t>
    </r>
  </si>
  <si>
    <r>
      <rPr>
        <sz val="8"/>
        <rFont val="Times New Roman"/>
        <charset val="134"/>
      </rPr>
      <t>HD602</t>
    </r>
  </si>
  <si>
    <r>
      <rPr>
        <sz val="9"/>
        <rFont val="Microsoft Sans Serif"/>
        <charset val="134"/>
      </rPr>
      <t>LIMA DE UÑAS LM</t>
    </r>
  </si>
  <si>
    <r>
      <rPr>
        <sz val="9"/>
        <rFont val="Microsoft Sans Serif"/>
        <charset val="134"/>
      </rPr>
      <t>LIMA DE UÑAS..</t>
    </r>
  </si>
  <si>
    <r>
      <rPr>
        <sz val="8"/>
        <rFont val="Times New Roman"/>
        <charset val="134"/>
      </rPr>
      <t>HD4069</t>
    </r>
  </si>
  <si>
    <r>
      <rPr>
        <sz val="9"/>
        <rFont val="Microsoft Sans Serif"/>
        <charset val="134"/>
      </rPr>
      <t>LIMPIADOR FOREVER FACIAL HD</t>
    </r>
  </si>
  <si>
    <r>
      <rPr>
        <sz val="8"/>
        <rFont val="Times New Roman"/>
        <charset val="134"/>
      </rPr>
      <t>HD1746</t>
    </r>
  </si>
  <si>
    <r>
      <rPr>
        <sz val="9"/>
        <rFont val="Microsoft Sans Serif"/>
        <charset val="134"/>
      </rPr>
      <t>LJH/018 HUMIFICADOR CHINA</t>
    </r>
  </si>
  <si>
    <r>
      <rPr>
        <sz val="8"/>
        <rFont val="Times New Roman"/>
        <charset val="134"/>
      </rPr>
      <t>HD477</t>
    </r>
  </si>
  <si>
    <r>
      <rPr>
        <sz val="9"/>
        <rFont val="Microsoft Sans Serif"/>
        <charset val="134"/>
      </rPr>
      <t>LLAVEROS VARIOS CHINA</t>
    </r>
  </si>
  <si>
    <r>
      <rPr>
        <sz val="8"/>
        <rFont val="Times New Roman"/>
        <charset val="134"/>
      </rPr>
      <t>HD370</t>
    </r>
  </si>
  <si>
    <r>
      <rPr>
        <sz val="9"/>
        <rFont val="Microsoft Sans Serif"/>
        <charset val="134"/>
      </rPr>
      <t>LUCE PARA ZAPATO</t>
    </r>
  </si>
  <si>
    <r>
      <rPr>
        <sz val="8"/>
        <rFont val="Times New Roman"/>
        <charset val="134"/>
      </rPr>
      <t>HD2571</t>
    </r>
  </si>
  <si>
    <r>
      <rPr>
        <sz val="9"/>
        <rFont val="Microsoft Sans Serif"/>
        <charset val="134"/>
      </rPr>
      <t>LUCES LED NAVIDAD</t>
    </r>
  </si>
  <si>
    <r>
      <rPr>
        <sz val="8"/>
        <rFont val="Times New Roman"/>
        <charset val="134"/>
      </rPr>
      <t>HD2559</t>
    </r>
  </si>
  <si>
    <r>
      <rPr>
        <sz val="9"/>
        <rFont val="Microsoft Sans Serif"/>
        <charset val="134"/>
      </rPr>
      <t>LUCES NAVIDAD 4M58</t>
    </r>
  </si>
  <si>
    <r>
      <rPr>
        <sz val="8"/>
        <rFont val="Times New Roman"/>
        <charset val="134"/>
      </rPr>
      <t>HD3711</t>
    </r>
  </si>
  <si>
    <r>
      <rPr>
        <sz val="9"/>
        <rFont val="Microsoft Sans Serif"/>
        <charset val="134"/>
      </rPr>
      <t>LUZ DE RELLENO HD</t>
    </r>
  </si>
  <si>
    <r>
      <rPr>
        <sz val="8"/>
        <rFont val="Times New Roman"/>
        <charset val="134"/>
      </rPr>
      <t>HD3710</t>
    </r>
  </si>
  <si>
    <r>
      <rPr>
        <sz val="9"/>
        <rFont val="Microsoft Sans Serif"/>
        <charset val="134"/>
      </rPr>
      <t>LUZ EN VIVODEL TECHO HD</t>
    </r>
  </si>
  <si>
    <r>
      <rPr>
        <sz val="8"/>
        <rFont val="Times New Roman"/>
        <charset val="134"/>
      </rPr>
      <t>HD3298</t>
    </r>
  </si>
  <si>
    <r>
      <rPr>
        <sz val="9"/>
        <rFont val="Microsoft Sans Serif"/>
        <charset val="134"/>
      </rPr>
      <t>LY-2019 RAQUETA 05/2021</t>
    </r>
  </si>
  <si>
    <r>
      <rPr>
        <sz val="8"/>
        <rFont val="Times New Roman"/>
        <charset val="134"/>
      </rPr>
      <t>HD2004</t>
    </r>
  </si>
  <si>
    <r>
      <rPr>
        <sz val="9"/>
        <rFont val="Microsoft Sans Serif"/>
        <charset val="134"/>
      </rPr>
      <t>M101 HUMIFICADOR CHINA</t>
    </r>
  </si>
  <si>
    <r>
      <rPr>
        <sz val="8"/>
        <rFont val="Times New Roman"/>
        <charset val="134"/>
      </rPr>
      <t>HD2005</t>
    </r>
  </si>
  <si>
    <r>
      <rPr>
        <sz val="9"/>
        <rFont val="Microsoft Sans Serif"/>
        <charset val="134"/>
      </rPr>
      <t>M107 HUMIFICADOR CHINA</t>
    </r>
  </si>
  <si>
    <r>
      <rPr>
        <sz val="8"/>
        <rFont val="Times New Roman"/>
        <charset val="134"/>
      </rPr>
      <t>HD2006</t>
    </r>
  </si>
  <si>
    <r>
      <rPr>
        <sz val="9"/>
        <rFont val="Microsoft Sans Serif"/>
        <charset val="134"/>
      </rPr>
      <t>M107+ HUMIFICADOR CHINA</t>
    </r>
  </si>
  <si>
    <r>
      <rPr>
        <sz val="8"/>
        <rFont val="Times New Roman"/>
        <charset val="134"/>
      </rPr>
      <t>HD3132</t>
    </r>
  </si>
  <si>
    <r>
      <rPr>
        <sz val="9"/>
        <rFont val="Microsoft Sans Serif"/>
        <charset val="134"/>
      </rPr>
      <t>M4 SMART RELOJ NEGRO 05/2021</t>
    </r>
  </si>
  <si>
    <r>
      <rPr>
        <sz val="8"/>
        <rFont val="Times New Roman"/>
        <charset val="134"/>
      </rPr>
      <t>HD3331</t>
    </r>
  </si>
  <si>
    <r>
      <rPr>
        <sz val="9"/>
        <rFont val="Microsoft Sans Serif"/>
        <charset val="134"/>
      </rPr>
      <t>M-400 TECLADO 05/2021</t>
    </r>
  </si>
  <si>
    <r>
      <rPr>
        <sz val="8"/>
        <rFont val="Times New Roman"/>
        <charset val="134"/>
      </rPr>
      <t>HD3329</t>
    </r>
  </si>
  <si>
    <r>
      <rPr>
        <sz val="9"/>
        <rFont val="Microsoft Sans Serif"/>
        <charset val="134"/>
      </rPr>
      <t>M-900 TECLADO 05/2021</t>
    </r>
  </si>
  <si>
    <r>
      <rPr>
        <sz val="8"/>
        <rFont val="Times New Roman"/>
        <charset val="134"/>
      </rPr>
      <t>RFD342086</t>
    </r>
  </si>
  <si>
    <r>
      <rPr>
        <sz val="9"/>
        <rFont val="Microsoft Sans Serif"/>
        <charset val="134"/>
      </rPr>
      <t>MACHINE BABY EDUC PUZZLEY JUGUETES</t>
    </r>
  </si>
  <si>
    <r>
      <rPr>
        <sz val="8"/>
        <rFont val="Times New Roman"/>
        <charset val="134"/>
      </rPr>
      <t>RFD385516</t>
    </r>
  </si>
  <si>
    <r>
      <rPr>
        <sz val="9"/>
        <rFont val="Microsoft Sans Serif"/>
        <charset val="134"/>
      </rPr>
      <t>MAGNETIC 62 PCS ELECTRIC</t>
    </r>
  </si>
  <si>
    <r>
      <rPr>
        <sz val="8"/>
        <rFont val="Times New Roman"/>
        <charset val="134"/>
      </rPr>
      <t>RFD431797</t>
    </r>
  </si>
  <si>
    <r>
      <rPr>
        <sz val="9"/>
        <rFont val="Microsoft Sans Serif"/>
        <charset val="134"/>
      </rPr>
      <t>magnetic juguete</t>
    </r>
  </si>
  <si>
    <r>
      <rPr>
        <sz val="8"/>
        <rFont val="Times New Roman"/>
        <charset val="134"/>
      </rPr>
      <t>RFD251344</t>
    </r>
  </si>
  <si>
    <r>
      <rPr>
        <sz val="9"/>
        <rFont val="Microsoft Sans Serif"/>
        <charset val="134"/>
      </rPr>
      <t>MAGNETISM CHINESE CHECKERS</t>
    </r>
  </si>
  <si>
    <r>
      <rPr>
        <sz val="8"/>
        <rFont val="Times New Roman"/>
        <charset val="134"/>
      </rPr>
      <t>HD882</t>
    </r>
  </si>
  <si>
    <r>
      <rPr>
        <sz val="9"/>
        <rFont val="Microsoft Sans Serif"/>
        <charset val="134"/>
      </rPr>
      <t>MANITOS WJ/010 CHINA</t>
    </r>
  </si>
  <si>
    <r>
      <rPr>
        <sz val="8"/>
        <rFont val="Times New Roman"/>
        <charset val="134"/>
      </rPr>
      <t>HD4034</t>
    </r>
  </si>
  <si>
    <r>
      <rPr>
        <sz val="9"/>
        <rFont val="Microsoft Sans Serif"/>
        <charset val="134"/>
      </rPr>
      <t>MANTEL</t>
    </r>
  </si>
  <si>
    <r>
      <rPr>
        <sz val="8"/>
        <rFont val="Times New Roman"/>
        <charset val="134"/>
      </rPr>
      <t>HD618</t>
    </r>
  </si>
  <si>
    <r>
      <rPr>
        <sz val="9"/>
        <rFont val="Microsoft Sans Serif"/>
        <charset val="134"/>
      </rPr>
      <t>MAQUILLADOR</t>
    </r>
  </si>
  <si>
    <r>
      <rPr>
        <sz val="8"/>
        <rFont val="Times New Roman"/>
        <charset val="134"/>
      </rPr>
      <t>HD3064</t>
    </r>
  </si>
  <si>
    <r>
      <rPr>
        <sz val="9"/>
        <rFont val="Microsoft Sans Serif"/>
        <charset val="134"/>
      </rPr>
      <t>MARCADOR X4 NEGRO Y AZUL 05/2021</t>
    </r>
  </si>
  <si>
    <r>
      <rPr>
        <sz val="8"/>
        <rFont val="Times New Roman"/>
        <charset val="134"/>
      </rPr>
      <t>HD3659-1</t>
    </r>
  </si>
  <si>
    <r>
      <rPr>
        <sz val="9"/>
        <rFont val="Microsoft Sans Serif"/>
        <charset val="134"/>
      </rPr>
      <t>MASAJEADOR MUSCULAR HD XY-AM</t>
    </r>
  </si>
  <si>
    <r>
      <rPr>
        <sz val="8"/>
        <rFont val="Times New Roman"/>
        <charset val="134"/>
      </rPr>
      <t>HD192</t>
    </r>
  </si>
  <si>
    <r>
      <rPr>
        <sz val="9"/>
        <rFont val="Microsoft Sans Serif"/>
        <charset val="134"/>
      </rPr>
      <t>MASCARA DE CUMPLEAÑOS</t>
    </r>
  </si>
  <si>
    <r>
      <rPr>
        <sz val="8"/>
        <rFont val="Times New Roman"/>
        <charset val="134"/>
      </rPr>
      <t>HD193</t>
    </r>
  </si>
  <si>
    <r>
      <rPr>
        <sz val="9"/>
        <rFont val="Microsoft Sans Serif"/>
        <charset val="134"/>
      </rPr>
      <t>MASCARA DE CUMPLEAÑOS.</t>
    </r>
  </si>
  <si>
    <r>
      <rPr>
        <sz val="8"/>
        <rFont val="Times New Roman"/>
        <charset val="134"/>
      </rPr>
      <t>HD3828</t>
    </r>
  </si>
  <si>
    <r>
      <rPr>
        <sz val="9"/>
        <rFont val="Microsoft Sans Serif"/>
        <charset val="134"/>
      </rPr>
      <t>MASCARA HD</t>
    </r>
  </si>
  <si>
    <r>
      <rPr>
        <sz val="8"/>
        <rFont val="Times New Roman"/>
        <charset val="134"/>
      </rPr>
      <t>HD3829</t>
    </r>
  </si>
  <si>
    <r>
      <rPr>
        <sz val="9"/>
        <rFont val="Microsoft Sans Serif"/>
        <charset val="134"/>
      </rPr>
      <t>MASCARA HD.</t>
    </r>
  </si>
  <si>
    <r>
      <rPr>
        <sz val="8"/>
        <rFont val="Times New Roman"/>
        <charset val="134"/>
      </rPr>
      <t>HD1069</t>
    </r>
  </si>
  <si>
    <r>
      <rPr>
        <sz val="9"/>
        <rFont val="Microsoft Sans Serif"/>
        <charset val="134"/>
      </rPr>
      <t>MATE20 LITE OSCURO_CARCASA</t>
    </r>
  </si>
  <si>
    <r>
      <rPr>
        <sz val="8"/>
        <rFont val="Times New Roman"/>
        <charset val="134"/>
      </rPr>
      <t>HD1200</t>
    </r>
  </si>
  <si>
    <r>
      <rPr>
        <sz val="9"/>
        <rFont val="Microsoft Sans Serif"/>
        <charset val="134"/>
      </rPr>
      <t>MATE20LITE ARCOIRIS CH</t>
    </r>
  </si>
  <si>
    <r>
      <rPr>
        <sz val="8"/>
        <rFont val="Times New Roman"/>
        <charset val="134"/>
      </rPr>
      <t>HD1151</t>
    </r>
  </si>
  <si>
    <r>
      <rPr>
        <sz val="9"/>
        <rFont val="Microsoft Sans Serif"/>
        <charset val="134"/>
      </rPr>
      <t>MATE20LITE CORAZON ESPEJO CH_CARCASA</t>
    </r>
  </si>
  <si>
    <r>
      <rPr>
        <sz val="8"/>
        <rFont val="Times New Roman"/>
        <charset val="134"/>
      </rPr>
      <t>HD1282</t>
    </r>
  </si>
  <si>
    <r>
      <rPr>
        <sz val="9"/>
        <rFont val="Microsoft Sans Serif"/>
        <charset val="134"/>
      </rPr>
      <t>MATE20LITE HUAWEI UNICOLOR CH</t>
    </r>
  </si>
  <si>
    <r>
      <rPr>
        <sz val="8"/>
        <rFont val="Times New Roman"/>
        <charset val="134"/>
      </rPr>
      <t>HD1223</t>
    </r>
  </si>
  <si>
    <r>
      <rPr>
        <sz val="9"/>
        <rFont val="Microsoft Sans Serif"/>
        <charset val="134"/>
      </rPr>
      <t>MATE20LITE MATIZADO CON DORADO CH</t>
    </r>
  </si>
  <si>
    <r>
      <rPr>
        <sz val="8"/>
        <rFont val="Times New Roman"/>
        <charset val="134"/>
      </rPr>
      <t>HD1111</t>
    </r>
  </si>
  <si>
    <r>
      <rPr>
        <sz val="9"/>
        <rFont val="Microsoft Sans Serif"/>
        <charset val="134"/>
      </rPr>
      <t>MATE20LITE PROTECTOR TELF CH_CARCASA</t>
    </r>
  </si>
  <si>
    <r>
      <rPr>
        <sz val="8"/>
        <rFont val="Times New Roman"/>
        <charset val="134"/>
      </rPr>
      <t>HD1246</t>
    </r>
  </si>
  <si>
    <r>
      <rPr>
        <sz val="9"/>
        <rFont val="Microsoft Sans Serif"/>
        <charset val="134"/>
      </rPr>
      <t>MATE20LITE RELIEVE FIGURAS CH_CARCASA</t>
    </r>
  </si>
  <si>
    <r>
      <rPr>
        <sz val="8"/>
        <rFont val="Times New Roman"/>
        <charset val="134"/>
      </rPr>
      <t>HD4112</t>
    </r>
  </si>
  <si>
    <r>
      <rPr>
        <sz val="9"/>
        <rFont val="Microsoft Sans Serif"/>
        <charset val="134"/>
      </rPr>
      <t>MAZO PARA ABLANDAR ALIMENTOS_HERRAMIENTA HD K</t>
    </r>
  </si>
  <si>
    <r>
      <rPr>
        <sz val="8"/>
        <rFont val="Times New Roman"/>
        <charset val="134"/>
      </rPr>
      <t>HD4490</t>
    </r>
  </si>
  <si>
    <r>
      <rPr>
        <sz val="9"/>
        <rFont val="Microsoft Sans Serif"/>
        <charset val="134"/>
      </rPr>
      <t>MC-1 AHDESIVO COCINA BLANCO 30*30</t>
    </r>
  </si>
  <si>
    <r>
      <rPr>
        <sz val="8"/>
        <rFont val="Times New Roman"/>
        <charset val="134"/>
      </rPr>
      <t>HD4491</t>
    </r>
  </si>
  <si>
    <r>
      <rPr>
        <sz val="9"/>
        <rFont val="Microsoft Sans Serif"/>
        <charset val="134"/>
      </rPr>
      <t>MC-2 AHDESIVO COCINA NEGRO 30*30</t>
    </r>
  </si>
  <si>
    <r>
      <rPr>
        <sz val="8"/>
        <rFont val="Times New Roman"/>
        <charset val="134"/>
      </rPr>
      <t>HD4492</t>
    </r>
  </si>
  <si>
    <r>
      <rPr>
        <sz val="9"/>
        <rFont val="Microsoft Sans Serif"/>
        <charset val="134"/>
      </rPr>
      <t>MC-3 AHDESIVO COCINA GRIS 30*30</t>
    </r>
  </si>
  <si>
    <r>
      <rPr>
        <sz val="8"/>
        <rFont val="Times New Roman"/>
        <charset val="134"/>
      </rPr>
      <t>HD4493</t>
    </r>
  </si>
  <si>
    <r>
      <rPr>
        <sz val="9"/>
        <rFont val="Microsoft Sans Serif"/>
        <charset val="134"/>
      </rPr>
      <t>MC-5 AHDESIVO COCINA ROSADO 30*30</t>
    </r>
  </si>
  <si>
    <r>
      <rPr>
        <sz val="8"/>
        <rFont val="Times New Roman"/>
        <charset val="134"/>
      </rPr>
      <t>HD4494</t>
    </r>
  </si>
  <si>
    <r>
      <rPr>
        <sz val="9"/>
        <rFont val="Microsoft Sans Serif"/>
        <charset val="134"/>
      </rPr>
      <t>MC-6 AHDESIVO COCINA ROJO 30*30</t>
    </r>
  </si>
  <si>
    <r>
      <rPr>
        <sz val="8"/>
        <rFont val="Times New Roman"/>
        <charset val="134"/>
      </rPr>
      <t>HD4495</t>
    </r>
  </si>
  <si>
    <r>
      <rPr>
        <sz val="9"/>
        <rFont val="Microsoft Sans Serif"/>
        <charset val="134"/>
      </rPr>
      <t>MC-7 AHDESIVO COCINA AMARILLO 30*30.</t>
    </r>
  </si>
  <si>
    <r>
      <rPr>
        <sz val="8"/>
        <rFont val="Times New Roman"/>
        <charset val="134"/>
      </rPr>
      <t>HD4484</t>
    </r>
  </si>
  <si>
    <r>
      <rPr>
        <sz val="9"/>
        <rFont val="Microsoft Sans Serif"/>
        <charset val="134"/>
      </rPr>
      <t>ME-1 AHDESIVO DE COCINA BLANCO 30*30</t>
    </r>
  </si>
  <si>
    <r>
      <rPr>
        <sz val="8"/>
        <rFont val="Times New Roman"/>
        <charset val="134"/>
      </rPr>
      <t>HD4485</t>
    </r>
  </si>
  <si>
    <r>
      <rPr>
        <sz val="9"/>
        <rFont val="Microsoft Sans Serif"/>
        <charset val="134"/>
      </rPr>
      <t>ME-2 AHDESIVO DE COCINA NEGRO 30*30.</t>
    </r>
  </si>
  <si>
    <r>
      <rPr>
        <sz val="8"/>
        <rFont val="Times New Roman"/>
        <charset val="134"/>
      </rPr>
      <t>HD4486</t>
    </r>
  </si>
  <si>
    <r>
      <rPr>
        <sz val="9"/>
        <rFont val="Microsoft Sans Serif"/>
        <charset val="134"/>
      </rPr>
      <t>ME-3 AHDESIVO DE COCINA GRIS 30*30</t>
    </r>
  </si>
  <si>
    <r>
      <rPr>
        <sz val="8"/>
        <rFont val="Times New Roman"/>
        <charset val="134"/>
      </rPr>
      <t>HD4487</t>
    </r>
  </si>
  <si>
    <r>
      <rPr>
        <sz val="9"/>
        <rFont val="Microsoft Sans Serif"/>
        <charset val="134"/>
      </rPr>
      <t>ME-5 AHDESIVO COCINA ROSADO 30*30</t>
    </r>
  </si>
  <si>
    <r>
      <rPr>
        <sz val="8"/>
        <rFont val="Times New Roman"/>
        <charset val="134"/>
      </rPr>
      <t>HD4488</t>
    </r>
  </si>
  <si>
    <r>
      <rPr>
        <sz val="9"/>
        <rFont val="Microsoft Sans Serif"/>
        <charset val="134"/>
      </rPr>
      <t>ME-6 AHDESIVO COCINA ROJO 30*30</t>
    </r>
  </si>
  <si>
    <r>
      <rPr>
        <sz val="8"/>
        <rFont val="Times New Roman"/>
        <charset val="134"/>
      </rPr>
      <t>HD4489</t>
    </r>
  </si>
  <si>
    <r>
      <rPr>
        <sz val="9"/>
        <rFont val="Microsoft Sans Serif"/>
        <charset val="134"/>
      </rPr>
      <t>ME-7 AHDESIVO COCINA AMARILLO 30*30</t>
    </r>
  </si>
  <si>
    <r>
      <rPr>
        <sz val="8"/>
        <rFont val="Times New Roman"/>
        <charset val="134"/>
      </rPr>
      <t>HD404</t>
    </r>
  </si>
  <si>
    <r>
      <rPr>
        <sz val="9"/>
        <rFont val="Microsoft Sans Serif"/>
        <charset val="134"/>
      </rPr>
      <t>ME-805 MOCHILA NIÑAS PEQ</t>
    </r>
  </si>
  <si>
    <r>
      <rPr>
        <sz val="8"/>
        <rFont val="Times New Roman"/>
        <charset val="134"/>
      </rPr>
      <t>HD9201</t>
    </r>
  </si>
  <si>
    <r>
      <rPr>
        <sz val="9"/>
        <rFont val="Microsoft Sans Serif"/>
        <charset val="134"/>
      </rPr>
      <t>MED CAJA DE RGALO CHINA.</t>
    </r>
  </si>
  <si>
    <r>
      <rPr>
        <sz val="8"/>
        <rFont val="Times New Roman"/>
        <charset val="134"/>
      </rPr>
      <t>HD2016</t>
    </r>
  </si>
  <si>
    <r>
      <rPr>
        <sz val="9"/>
        <rFont val="Microsoft Sans Serif"/>
        <charset val="134"/>
      </rPr>
      <t>MED PAPEL F. DE REG CHINA</t>
    </r>
  </si>
  <si>
    <r>
      <rPr>
        <sz val="8"/>
        <rFont val="Times New Roman"/>
        <charset val="134"/>
      </rPr>
      <t>HD1039</t>
    </r>
  </si>
  <si>
    <r>
      <rPr>
        <sz val="9"/>
        <rFont val="Microsoft Sans Serif"/>
        <charset val="134"/>
      </rPr>
      <t>MICAS</t>
    </r>
  </si>
  <si>
    <r>
      <rPr>
        <sz val="8"/>
        <rFont val="Times New Roman"/>
        <charset val="134"/>
      </rPr>
      <t>HD1040</t>
    </r>
  </si>
  <si>
    <r>
      <rPr>
        <sz val="8"/>
        <rFont val="Times New Roman"/>
        <charset val="134"/>
      </rPr>
      <t>HD1041</t>
    </r>
  </si>
  <si>
    <r>
      <rPr>
        <sz val="8"/>
        <rFont val="Times New Roman"/>
        <charset val="134"/>
      </rPr>
      <t>HD1043</t>
    </r>
  </si>
  <si>
    <r>
      <rPr>
        <sz val="8"/>
        <rFont val="Times New Roman"/>
        <charset val="134"/>
      </rPr>
      <t>HD1044</t>
    </r>
  </si>
  <si>
    <r>
      <rPr>
        <sz val="8"/>
        <rFont val="Times New Roman"/>
        <charset val="134"/>
      </rPr>
      <t>HD1064</t>
    </r>
  </si>
  <si>
    <r>
      <rPr>
        <sz val="8"/>
        <rFont val="Times New Roman"/>
        <charset val="134"/>
      </rPr>
      <t>HD1066</t>
    </r>
  </si>
  <si>
    <r>
      <rPr>
        <sz val="8"/>
        <rFont val="Times New Roman"/>
        <charset val="134"/>
      </rPr>
      <t>HD1070</t>
    </r>
  </si>
  <si>
    <r>
      <rPr>
        <sz val="8"/>
        <rFont val="Times New Roman"/>
        <charset val="134"/>
      </rPr>
      <t>HD1073</t>
    </r>
  </si>
  <si>
    <r>
      <rPr>
        <sz val="8"/>
        <rFont val="Times New Roman"/>
        <charset val="134"/>
      </rPr>
      <t>HD1074</t>
    </r>
  </si>
  <si>
    <r>
      <rPr>
        <sz val="8"/>
        <rFont val="Times New Roman"/>
        <charset val="134"/>
      </rPr>
      <t>HD1078</t>
    </r>
  </si>
  <si>
    <r>
      <rPr>
        <sz val="8"/>
        <rFont val="Times New Roman"/>
        <charset val="134"/>
      </rPr>
      <t>HD1089</t>
    </r>
  </si>
  <si>
    <r>
      <rPr>
        <sz val="8"/>
        <rFont val="Times New Roman"/>
        <charset val="134"/>
      </rPr>
      <t>HD1080</t>
    </r>
  </si>
  <si>
    <r>
      <rPr>
        <sz val="9"/>
        <rFont val="Microsoft Sans Serif"/>
        <charset val="134"/>
      </rPr>
      <t>MICAS PARA CELULAR</t>
    </r>
  </si>
  <si>
    <r>
      <rPr>
        <sz val="8"/>
        <rFont val="Times New Roman"/>
        <charset val="134"/>
      </rPr>
      <t>HD3680</t>
    </r>
  </si>
  <si>
    <r>
      <rPr>
        <sz val="9"/>
        <rFont val="Microsoft Sans Serif"/>
        <charset val="134"/>
      </rPr>
      <t>MICRODERMOABRASION 1 HD</t>
    </r>
  </si>
  <si>
    <r>
      <rPr>
        <sz val="8"/>
        <rFont val="Times New Roman"/>
        <charset val="134"/>
      </rPr>
      <t>HD1927</t>
    </r>
  </si>
  <si>
    <r>
      <rPr>
        <sz val="9"/>
        <rFont val="Microsoft Sans Serif"/>
        <charset val="134"/>
      </rPr>
      <t>MINI SELFIE STICK CHINA</t>
    </r>
  </si>
  <si>
    <r>
      <rPr>
        <sz val="8"/>
        <rFont val="Times New Roman"/>
        <charset val="134"/>
      </rPr>
      <t>HD1925</t>
    </r>
  </si>
  <si>
    <r>
      <rPr>
        <sz val="9"/>
        <rFont val="Microsoft Sans Serif"/>
        <charset val="134"/>
      </rPr>
      <t>MINICALCULADORA JUGUETE</t>
    </r>
  </si>
  <si>
    <r>
      <rPr>
        <sz val="8"/>
        <rFont val="Times New Roman"/>
        <charset val="134"/>
      </rPr>
      <t>HD400</t>
    </r>
  </si>
  <si>
    <r>
      <rPr>
        <sz val="9"/>
        <rFont val="Microsoft Sans Serif"/>
        <charset val="134"/>
      </rPr>
      <t>MOCHILA</t>
    </r>
  </si>
  <si>
    <r>
      <rPr>
        <sz val="8"/>
        <rFont val="Times New Roman"/>
        <charset val="134"/>
      </rPr>
      <t>HD4508</t>
    </r>
  </si>
  <si>
    <r>
      <rPr>
        <sz val="9"/>
        <rFont val="Microsoft Sans Serif"/>
        <charset val="134"/>
      </rPr>
      <t>MOCHILA 11238</t>
    </r>
  </si>
  <si>
    <r>
      <rPr>
        <sz val="8"/>
        <rFont val="Times New Roman"/>
        <charset val="134"/>
      </rPr>
      <t>HD4516</t>
    </r>
  </si>
  <si>
    <r>
      <rPr>
        <sz val="9"/>
        <rFont val="Microsoft Sans Serif"/>
        <charset val="134"/>
      </rPr>
      <t>MOCHILA 12297</t>
    </r>
  </si>
  <si>
    <r>
      <rPr>
        <sz val="8"/>
        <rFont val="Times New Roman"/>
        <charset val="134"/>
      </rPr>
      <t>HD4517</t>
    </r>
  </si>
  <si>
    <r>
      <rPr>
        <sz val="9"/>
        <rFont val="Microsoft Sans Serif"/>
        <charset val="134"/>
      </rPr>
      <t>MOCHILA 12630</t>
    </r>
  </si>
  <si>
    <r>
      <rPr>
        <sz val="8"/>
        <rFont val="Times New Roman"/>
        <charset val="134"/>
      </rPr>
      <t>HD4504</t>
    </r>
  </si>
  <si>
    <r>
      <rPr>
        <sz val="9"/>
        <rFont val="Microsoft Sans Serif"/>
        <charset val="134"/>
      </rPr>
      <t>MOCHILA 12639</t>
    </r>
  </si>
  <si>
    <r>
      <rPr>
        <sz val="8"/>
        <rFont val="Times New Roman"/>
        <charset val="134"/>
      </rPr>
      <t>HD4512</t>
    </r>
  </si>
  <si>
    <r>
      <rPr>
        <sz val="9"/>
        <rFont val="Microsoft Sans Serif"/>
        <charset val="134"/>
      </rPr>
      <t>MOCHILA 18859</t>
    </r>
  </si>
  <si>
    <r>
      <rPr>
        <sz val="8"/>
        <rFont val="Times New Roman"/>
        <charset val="134"/>
      </rPr>
      <t>HD4522</t>
    </r>
  </si>
  <si>
    <r>
      <rPr>
        <sz val="9"/>
        <rFont val="Microsoft Sans Serif"/>
        <charset val="134"/>
      </rPr>
      <t>MOCHILA 18862</t>
    </r>
  </si>
  <si>
    <r>
      <rPr>
        <sz val="8"/>
        <rFont val="Times New Roman"/>
        <charset val="134"/>
      </rPr>
      <t>HD4519</t>
    </r>
  </si>
  <si>
    <r>
      <rPr>
        <sz val="9"/>
        <rFont val="Microsoft Sans Serif"/>
        <charset val="134"/>
      </rPr>
      <t>MOCHILA 18863</t>
    </r>
  </si>
  <si>
    <r>
      <rPr>
        <sz val="8"/>
        <rFont val="Times New Roman"/>
        <charset val="134"/>
      </rPr>
      <t>HD4510</t>
    </r>
  </si>
  <si>
    <r>
      <rPr>
        <sz val="9"/>
        <rFont val="Microsoft Sans Serif"/>
        <charset val="134"/>
      </rPr>
      <t>MOCHILA 20173</t>
    </r>
  </si>
  <si>
    <r>
      <rPr>
        <sz val="8"/>
        <rFont val="Times New Roman"/>
        <charset val="134"/>
      </rPr>
      <t>HD4511</t>
    </r>
  </si>
  <si>
    <r>
      <rPr>
        <sz val="9"/>
        <rFont val="Microsoft Sans Serif"/>
        <charset val="134"/>
      </rPr>
      <t>MOCHILA 20837</t>
    </r>
  </si>
  <si>
    <r>
      <rPr>
        <sz val="8"/>
        <rFont val="Times New Roman"/>
        <charset val="134"/>
      </rPr>
      <t>HD4507</t>
    </r>
  </si>
  <si>
    <r>
      <rPr>
        <sz val="9"/>
        <rFont val="Microsoft Sans Serif"/>
        <charset val="134"/>
      </rPr>
      <t>MOCHILA 20851</t>
    </r>
  </si>
  <si>
    <r>
      <rPr>
        <sz val="8"/>
        <rFont val="Times New Roman"/>
        <charset val="134"/>
      </rPr>
      <t>HD4509</t>
    </r>
  </si>
  <si>
    <r>
      <rPr>
        <sz val="9"/>
        <rFont val="Microsoft Sans Serif"/>
        <charset val="134"/>
      </rPr>
      <t>MOCHILA 2135</t>
    </r>
  </si>
  <si>
    <r>
      <rPr>
        <sz val="8"/>
        <rFont val="Times New Roman"/>
        <charset val="134"/>
      </rPr>
      <t>HD4521</t>
    </r>
  </si>
  <si>
    <r>
      <rPr>
        <sz val="9"/>
        <rFont val="Microsoft Sans Serif"/>
        <charset val="134"/>
      </rPr>
      <t>MOCHILA 22008</t>
    </r>
  </si>
  <si>
    <r>
      <rPr>
        <sz val="8"/>
        <rFont val="Times New Roman"/>
        <charset val="134"/>
      </rPr>
      <t>HD4515</t>
    </r>
  </si>
  <si>
    <r>
      <rPr>
        <sz val="9"/>
        <rFont val="Microsoft Sans Serif"/>
        <charset val="134"/>
      </rPr>
      <t>MOCHILA 2221</t>
    </r>
  </si>
  <si>
    <r>
      <rPr>
        <sz val="8"/>
        <rFont val="Times New Roman"/>
        <charset val="134"/>
      </rPr>
      <t>HD4506</t>
    </r>
  </si>
  <si>
    <r>
      <rPr>
        <sz val="9"/>
        <rFont val="Microsoft Sans Serif"/>
        <charset val="134"/>
      </rPr>
      <t>MOCHILA 23551</t>
    </r>
  </si>
  <si>
    <r>
      <rPr>
        <sz val="8"/>
        <rFont val="Times New Roman"/>
        <charset val="134"/>
      </rPr>
      <t>HD4514</t>
    </r>
  </si>
  <si>
    <r>
      <rPr>
        <sz val="9"/>
        <rFont val="Microsoft Sans Serif"/>
        <charset val="134"/>
      </rPr>
      <t>MOCHILA 61618</t>
    </r>
  </si>
  <si>
    <r>
      <rPr>
        <sz val="8"/>
        <rFont val="Times New Roman"/>
        <charset val="134"/>
      </rPr>
      <t>HD4089</t>
    </r>
  </si>
  <si>
    <r>
      <rPr>
        <sz val="9"/>
        <rFont val="Microsoft Sans Serif"/>
        <charset val="134"/>
      </rPr>
      <t>MOCHILA DE NIÑAS HD</t>
    </r>
  </si>
  <si>
    <r>
      <rPr>
        <sz val="8"/>
        <rFont val="Times New Roman"/>
        <charset val="134"/>
      </rPr>
      <t>HD4091</t>
    </r>
  </si>
  <si>
    <r>
      <rPr>
        <sz val="9"/>
        <rFont val="Microsoft Sans Serif"/>
        <charset val="134"/>
      </rPr>
      <t>MOCHILA DE NIÑAS HD.</t>
    </r>
  </si>
  <si>
    <r>
      <rPr>
        <sz val="8"/>
        <rFont val="Times New Roman"/>
        <charset val="134"/>
      </rPr>
      <t>HD4092</t>
    </r>
  </si>
  <si>
    <r>
      <rPr>
        <sz val="9"/>
        <rFont val="Microsoft Sans Serif"/>
        <charset val="134"/>
      </rPr>
      <t>MOCHILA DE NIÑAS HD..</t>
    </r>
  </si>
  <si>
    <r>
      <rPr>
        <sz val="8"/>
        <rFont val="Times New Roman"/>
        <charset val="134"/>
      </rPr>
      <t>HD4094</t>
    </r>
  </si>
  <si>
    <r>
      <rPr>
        <sz val="9"/>
        <rFont val="Microsoft Sans Serif"/>
        <charset val="134"/>
      </rPr>
      <t>MOCHILA DE NIÑAS HD…</t>
    </r>
  </si>
  <si>
    <r>
      <rPr>
        <sz val="8"/>
        <rFont val="Times New Roman"/>
        <charset val="134"/>
      </rPr>
      <t>HD4090</t>
    </r>
  </si>
  <si>
    <r>
      <rPr>
        <sz val="9"/>
        <rFont val="Microsoft Sans Serif"/>
        <charset val="134"/>
      </rPr>
      <t>MOCHILA HD</t>
    </r>
  </si>
  <si>
    <r>
      <rPr>
        <sz val="8"/>
        <rFont val="Times New Roman"/>
        <charset val="134"/>
      </rPr>
      <t>HD4093</t>
    </r>
  </si>
  <si>
    <r>
      <rPr>
        <sz val="9"/>
        <rFont val="Microsoft Sans Serif"/>
        <charset val="134"/>
      </rPr>
      <t>MOCHILA HD.</t>
    </r>
  </si>
  <si>
    <r>
      <rPr>
        <sz val="8"/>
        <rFont val="Times New Roman"/>
        <charset val="134"/>
      </rPr>
      <t>HD4416</t>
    </r>
  </si>
  <si>
    <r>
      <rPr>
        <sz val="9"/>
        <rFont val="Microsoft Sans Serif"/>
        <charset val="134"/>
      </rPr>
      <t>MOLDES PALETAS YH-697</t>
    </r>
  </si>
  <si>
    <r>
      <rPr>
        <sz val="8"/>
        <rFont val="Times New Roman"/>
        <charset val="134"/>
      </rPr>
      <t>HD4417</t>
    </r>
  </si>
  <si>
    <r>
      <rPr>
        <sz val="9"/>
        <rFont val="Microsoft Sans Serif"/>
        <charset val="134"/>
      </rPr>
      <t>MOLDES PALETAS YH-698</t>
    </r>
  </si>
  <si>
    <r>
      <rPr>
        <sz val="8"/>
        <rFont val="Times New Roman"/>
        <charset val="134"/>
      </rPr>
      <t>HD4418</t>
    </r>
  </si>
  <si>
    <r>
      <rPr>
        <sz val="9"/>
        <rFont val="Microsoft Sans Serif"/>
        <charset val="134"/>
      </rPr>
      <t>MOLDES PALETAS YH-743</t>
    </r>
  </si>
  <si>
    <r>
      <rPr>
        <sz val="8"/>
        <rFont val="Times New Roman"/>
        <charset val="134"/>
      </rPr>
      <t>HD4419</t>
    </r>
  </si>
  <si>
    <r>
      <rPr>
        <sz val="9"/>
        <rFont val="Microsoft Sans Serif"/>
        <charset val="134"/>
      </rPr>
      <t>MOLDES PALETAS YH-747</t>
    </r>
  </si>
  <si>
    <r>
      <rPr>
        <sz val="8"/>
        <rFont val="Times New Roman"/>
        <charset val="134"/>
      </rPr>
      <t>HD4420</t>
    </r>
  </si>
  <si>
    <r>
      <rPr>
        <sz val="9"/>
        <rFont val="Microsoft Sans Serif"/>
        <charset val="134"/>
      </rPr>
      <t>MOLDES PALETAS YH-749</t>
    </r>
  </si>
  <si>
    <r>
      <rPr>
        <sz val="8"/>
        <rFont val="Times New Roman"/>
        <charset val="134"/>
      </rPr>
      <t>HD4422</t>
    </r>
  </si>
  <si>
    <r>
      <rPr>
        <sz val="9"/>
        <rFont val="Microsoft Sans Serif"/>
        <charset val="134"/>
      </rPr>
      <t>MOLDES PALETAS YH-755</t>
    </r>
  </si>
  <si>
    <r>
      <rPr>
        <sz val="8"/>
        <rFont val="Times New Roman"/>
        <charset val="134"/>
      </rPr>
      <t>HD4423</t>
    </r>
  </si>
  <si>
    <r>
      <rPr>
        <sz val="9"/>
        <rFont val="Microsoft Sans Serif"/>
        <charset val="134"/>
      </rPr>
      <t>MOLDES PALETAS YH-757</t>
    </r>
  </si>
  <si>
    <r>
      <rPr>
        <sz val="8"/>
        <rFont val="Times New Roman"/>
        <charset val="134"/>
      </rPr>
      <t>HD4424</t>
    </r>
  </si>
  <si>
    <r>
      <rPr>
        <sz val="9"/>
        <rFont val="Microsoft Sans Serif"/>
        <charset val="134"/>
      </rPr>
      <t>MOLDES PALETAS YH-765</t>
    </r>
  </si>
  <si>
    <r>
      <rPr>
        <sz val="8"/>
        <rFont val="Times New Roman"/>
        <charset val="134"/>
      </rPr>
      <t>HD4425</t>
    </r>
  </si>
  <si>
    <r>
      <rPr>
        <sz val="9"/>
        <rFont val="Microsoft Sans Serif"/>
        <charset val="134"/>
      </rPr>
      <t>MOLDES PALETAS YH-797</t>
    </r>
  </si>
  <si>
    <r>
      <rPr>
        <sz val="8"/>
        <rFont val="Times New Roman"/>
        <charset val="134"/>
      </rPr>
      <t>HD2117</t>
    </r>
  </si>
  <si>
    <r>
      <rPr>
        <sz val="9"/>
        <rFont val="Microsoft Sans Serif"/>
        <charset val="134"/>
      </rPr>
      <t>MOÑO VARIOS MODELOS</t>
    </r>
  </si>
  <si>
    <r>
      <rPr>
        <sz val="8"/>
        <rFont val="Times New Roman"/>
        <charset val="134"/>
      </rPr>
      <t>HD4095</t>
    </r>
  </si>
  <si>
    <r>
      <rPr>
        <sz val="9"/>
        <rFont val="Microsoft Sans Serif"/>
        <charset val="134"/>
      </rPr>
      <t>MOÑOS DE NIÑAS HD</t>
    </r>
  </si>
  <si>
    <r>
      <rPr>
        <sz val="8"/>
        <rFont val="Times New Roman"/>
        <charset val="134"/>
      </rPr>
      <t>HD4096</t>
    </r>
  </si>
  <si>
    <r>
      <rPr>
        <sz val="9"/>
        <rFont val="Microsoft Sans Serif"/>
        <charset val="134"/>
      </rPr>
      <t>MOÑOS DE NIÑAS HD.</t>
    </r>
  </si>
  <si>
    <r>
      <rPr>
        <sz val="8"/>
        <rFont val="Times New Roman"/>
        <charset val="134"/>
      </rPr>
      <t>HD4097</t>
    </r>
  </si>
  <si>
    <r>
      <rPr>
        <sz val="9"/>
        <rFont val="Microsoft Sans Serif"/>
        <charset val="134"/>
      </rPr>
      <t>MOÑOS DE NIÑAS HD..</t>
    </r>
  </si>
  <si>
    <r>
      <rPr>
        <sz val="8"/>
        <rFont val="Times New Roman"/>
        <charset val="134"/>
      </rPr>
      <t>HD4098</t>
    </r>
  </si>
  <si>
    <r>
      <rPr>
        <sz val="9"/>
        <rFont val="Microsoft Sans Serif"/>
        <charset val="134"/>
      </rPr>
      <t>MOÑOS DE NIÑAS HD…</t>
    </r>
  </si>
  <si>
    <r>
      <rPr>
        <sz val="8"/>
        <rFont val="Times New Roman"/>
        <charset val="134"/>
      </rPr>
      <t>HD4100</t>
    </r>
  </si>
  <si>
    <r>
      <rPr>
        <sz val="9"/>
        <rFont val="Microsoft Sans Serif"/>
        <charset val="134"/>
      </rPr>
      <t>MOÑOS HD</t>
    </r>
  </si>
  <si>
    <r>
      <rPr>
        <sz val="8"/>
        <rFont val="Times New Roman"/>
        <charset val="134"/>
      </rPr>
      <t>HD4287</t>
    </r>
  </si>
  <si>
    <r>
      <rPr>
        <sz val="9"/>
        <rFont val="Microsoft Sans Serif"/>
        <charset val="134"/>
      </rPr>
      <t>MOÑOS PARA NIÑAS</t>
    </r>
  </si>
  <si>
    <r>
      <rPr>
        <sz val="8"/>
        <rFont val="Times New Roman"/>
        <charset val="134"/>
      </rPr>
      <t>HD3084</t>
    </r>
  </si>
  <si>
    <r>
      <rPr>
        <sz val="9"/>
        <rFont val="Microsoft Sans Serif"/>
        <charset val="134"/>
      </rPr>
      <t>MOÑOS SENCILLO 05/2021</t>
    </r>
  </si>
  <si>
    <r>
      <rPr>
        <sz val="8"/>
        <rFont val="Times New Roman"/>
        <charset val="134"/>
      </rPr>
      <t>HD3086</t>
    </r>
  </si>
  <si>
    <r>
      <rPr>
        <sz val="9"/>
        <rFont val="Microsoft Sans Serif"/>
        <charset val="134"/>
      </rPr>
      <t>MOÑOS X10 TUTU 05/2021</t>
    </r>
  </si>
  <si>
    <r>
      <rPr>
        <sz val="8"/>
        <rFont val="Times New Roman"/>
        <charset val="134"/>
      </rPr>
      <t>HD3521</t>
    </r>
  </si>
  <si>
    <r>
      <rPr>
        <sz val="9"/>
        <rFont val="Microsoft Sans Serif"/>
        <charset val="134"/>
      </rPr>
      <t>MORADO FLOR CHINA</t>
    </r>
  </si>
  <si>
    <r>
      <rPr>
        <sz val="8"/>
        <rFont val="Times New Roman"/>
        <charset val="134"/>
      </rPr>
      <t>HD0006</t>
    </r>
  </si>
  <si>
    <r>
      <rPr>
        <sz val="9"/>
        <rFont val="Microsoft Sans Serif"/>
        <charset val="134"/>
      </rPr>
      <t>MORDEDOR</t>
    </r>
  </si>
  <si>
    <r>
      <rPr>
        <sz val="8"/>
        <rFont val="Times New Roman"/>
        <charset val="134"/>
      </rPr>
      <t>HD3126</t>
    </r>
  </si>
  <si>
    <r>
      <rPr>
        <sz val="9"/>
        <rFont val="Microsoft Sans Serif"/>
        <charset val="134"/>
      </rPr>
      <t>MOSQUITERO TIPO CARPA 05/2021</t>
    </r>
  </si>
  <si>
    <r>
      <rPr>
        <sz val="8"/>
        <rFont val="Times New Roman"/>
        <charset val="134"/>
      </rPr>
      <t>HD3296</t>
    </r>
  </si>
  <si>
    <r>
      <rPr>
        <sz val="9"/>
        <rFont val="Microsoft Sans Serif"/>
        <charset val="134"/>
      </rPr>
      <t>MT-012 MAQUINA MATA MOSQUITO 05/2021</t>
    </r>
  </si>
  <si>
    <r>
      <rPr>
        <sz val="8"/>
        <rFont val="Times New Roman"/>
        <charset val="134"/>
      </rPr>
      <t>HD4210</t>
    </r>
  </si>
  <si>
    <r>
      <rPr>
        <sz val="9"/>
        <rFont val="Microsoft Sans Serif"/>
        <charset val="134"/>
      </rPr>
      <t>MUNECO SQUID GAME HD</t>
    </r>
  </si>
  <si>
    <r>
      <rPr>
        <sz val="8"/>
        <rFont val="Times New Roman"/>
        <charset val="134"/>
      </rPr>
      <t>HD3434</t>
    </r>
  </si>
  <si>
    <r>
      <rPr>
        <sz val="9"/>
        <rFont val="Microsoft Sans Serif"/>
        <charset val="134"/>
      </rPr>
      <t>MUÑECA 1818A HD</t>
    </r>
  </si>
  <si>
    <r>
      <rPr>
        <sz val="8"/>
        <rFont val="Times New Roman"/>
        <charset val="134"/>
      </rPr>
      <t>HD3435</t>
    </r>
  </si>
  <si>
    <r>
      <rPr>
        <sz val="9"/>
        <rFont val="Microsoft Sans Serif"/>
        <charset val="134"/>
      </rPr>
      <t>MUÑECA A007 HD</t>
    </r>
  </si>
  <si>
    <r>
      <rPr>
        <sz val="8"/>
        <rFont val="Times New Roman"/>
        <charset val="134"/>
      </rPr>
      <t>HD424408</t>
    </r>
  </si>
  <si>
    <r>
      <rPr>
        <sz val="9"/>
        <rFont val="Microsoft Sans Serif"/>
        <charset val="134"/>
      </rPr>
      <t>Music Recreation</t>
    </r>
  </si>
  <si>
    <r>
      <rPr>
        <sz val="8"/>
        <rFont val="Times New Roman"/>
        <charset val="134"/>
      </rPr>
      <t>HD3459</t>
    </r>
  </si>
  <si>
    <r>
      <rPr>
        <sz val="9"/>
        <rFont val="Microsoft Sans Serif"/>
        <charset val="134"/>
      </rPr>
      <t>MUSICA MOBILE HE0307 HD</t>
    </r>
  </si>
  <si>
    <r>
      <rPr>
        <sz val="8"/>
        <rFont val="Times New Roman"/>
        <charset val="134"/>
      </rPr>
      <t>HD3175</t>
    </r>
  </si>
  <si>
    <r>
      <rPr>
        <sz val="9"/>
        <rFont val="Microsoft Sans Serif"/>
        <charset val="134"/>
      </rPr>
      <t>NA811 RELOJ DIGITAL 05/2021</t>
    </r>
  </si>
  <si>
    <r>
      <rPr>
        <sz val="8"/>
        <rFont val="Times New Roman"/>
        <charset val="134"/>
      </rPr>
      <t>HD3176</t>
    </r>
  </si>
  <si>
    <r>
      <rPr>
        <sz val="9"/>
        <rFont val="Microsoft Sans Serif"/>
        <charset val="134"/>
      </rPr>
      <t>NA823 RELOJ DIGITAL 05/2021.</t>
    </r>
  </si>
  <si>
    <r>
      <rPr>
        <sz val="8"/>
        <rFont val="Times New Roman"/>
        <charset val="134"/>
      </rPr>
      <t xml:space="preserve">00192769710917
</t>
    </r>
    <r>
      <rPr>
        <sz val="8"/>
        <rFont val="Times New Roman"/>
        <charset val="134"/>
      </rPr>
      <t>93321</t>
    </r>
  </si>
  <si>
    <r>
      <rPr>
        <sz val="9"/>
        <rFont val="Microsoft Sans Serif"/>
        <charset val="134"/>
      </rPr>
      <t>NAVAJA DE CEJAS ACCESORIO DE BELLEZA</t>
    </r>
  </si>
  <si>
    <r>
      <rPr>
        <sz val="9"/>
        <rFont val="Microsoft Sans Serif"/>
        <charset val="134"/>
      </rPr>
      <t>NAVAJA PARA CEJAS ACCESORIO DE BELLEZA</t>
    </r>
  </si>
  <si>
    <r>
      <rPr>
        <sz val="8"/>
        <rFont val="Times New Roman"/>
        <charset val="134"/>
      </rPr>
      <t>EX0003</t>
    </r>
  </si>
  <si>
    <r>
      <rPr>
        <sz val="9"/>
        <rFont val="Microsoft Sans Serif"/>
        <charset val="134"/>
      </rPr>
      <t>NAVIDAD VARIOS 3</t>
    </r>
  </si>
  <si>
    <r>
      <rPr>
        <sz val="8"/>
        <rFont val="Times New Roman"/>
        <charset val="134"/>
      </rPr>
      <t>HD1694</t>
    </r>
  </si>
  <si>
    <r>
      <rPr>
        <sz val="9"/>
        <rFont val="Microsoft Sans Serif"/>
        <charset val="134"/>
      </rPr>
      <t>NT303 PORCELANA CHINA</t>
    </r>
  </si>
  <si>
    <r>
      <rPr>
        <sz val="8"/>
        <rFont val="Times New Roman"/>
        <charset val="134"/>
      </rPr>
      <t>HD1695</t>
    </r>
  </si>
  <si>
    <r>
      <rPr>
        <sz val="9"/>
        <rFont val="Microsoft Sans Serif"/>
        <charset val="134"/>
      </rPr>
      <t>NT406 PORCELANA CHINA</t>
    </r>
  </si>
  <si>
    <r>
      <rPr>
        <sz val="8"/>
        <rFont val="Times New Roman"/>
        <charset val="134"/>
      </rPr>
      <t>HD1700</t>
    </r>
  </si>
  <si>
    <r>
      <rPr>
        <sz val="9"/>
        <rFont val="Microsoft Sans Serif"/>
        <charset val="134"/>
      </rPr>
      <t>NT407 PORCELANA CHINA</t>
    </r>
  </si>
  <si>
    <r>
      <rPr>
        <sz val="8"/>
        <rFont val="Times New Roman"/>
        <charset val="134"/>
      </rPr>
      <t>HD1698</t>
    </r>
  </si>
  <si>
    <r>
      <rPr>
        <sz val="9"/>
        <rFont val="Microsoft Sans Serif"/>
        <charset val="134"/>
      </rPr>
      <t>NT414 PORCELANA CHINA</t>
    </r>
  </si>
  <si>
    <r>
      <rPr>
        <sz val="8"/>
        <rFont val="Times New Roman"/>
        <charset val="134"/>
      </rPr>
      <t>HD1691</t>
    </r>
  </si>
  <si>
    <r>
      <rPr>
        <sz val="9"/>
        <rFont val="Microsoft Sans Serif"/>
        <charset val="134"/>
      </rPr>
      <t>NT416 PORCELANA CHINA</t>
    </r>
  </si>
  <si>
    <r>
      <rPr>
        <sz val="8"/>
        <rFont val="Times New Roman"/>
        <charset val="134"/>
      </rPr>
      <t>HD4630</t>
    </r>
  </si>
  <si>
    <r>
      <rPr>
        <sz val="9"/>
        <rFont val="Microsoft Sans Serif"/>
        <charset val="134"/>
      </rPr>
      <t>OLOR ELIMINA REFRI</t>
    </r>
  </si>
  <si>
    <r>
      <rPr>
        <sz val="8"/>
        <rFont val="Times New Roman"/>
        <charset val="134"/>
      </rPr>
      <t>HD4199</t>
    </r>
  </si>
  <si>
    <r>
      <rPr>
        <sz val="9"/>
        <rFont val="Microsoft Sans Serif"/>
        <charset val="134"/>
      </rPr>
      <t>ONDULADOR DE CABELLO HD GW-12</t>
    </r>
  </si>
  <si>
    <r>
      <rPr>
        <sz val="8"/>
        <rFont val="Times New Roman"/>
        <charset val="134"/>
      </rPr>
      <t>HD3527</t>
    </r>
  </si>
  <si>
    <r>
      <rPr>
        <sz val="9"/>
        <rFont val="Microsoft Sans Serif"/>
        <charset val="134"/>
      </rPr>
      <t>OSITO VARIOS CHINA 3F</t>
    </r>
  </si>
  <si>
    <r>
      <rPr>
        <sz val="8"/>
        <rFont val="Times New Roman"/>
        <charset val="134"/>
      </rPr>
      <t>RFD433364</t>
    </r>
  </si>
  <si>
    <r>
      <rPr>
        <sz val="9"/>
        <rFont val="Microsoft Sans Serif"/>
        <charset val="134"/>
      </rPr>
      <t>OSO POLAR PEQ</t>
    </r>
  </si>
  <si>
    <r>
      <rPr>
        <sz val="8"/>
        <rFont val="Times New Roman"/>
        <charset val="134"/>
      </rPr>
      <t>RFD427417</t>
    </r>
  </si>
  <si>
    <r>
      <rPr>
        <sz val="9"/>
        <rFont val="Microsoft Sans Serif"/>
        <charset val="134"/>
      </rPr>
      <t>OWL BUBBLE MACHINE</t>
    </r>
  </si>
  <si>
    <r>
      <rPr>
        <sz val="8"/>
        <rFont val="Times New Roman"/>
        <charset val="134"/>
      </rPr>
      <t>HD1042</t>
    </r>
  </si>
  <si>
    <r>
      <rPr>
        <sz val="9"/>
        <rFont val="Microsoft Sans Serif"/>
        <charset val="134"/>
      </rPr>
      <t>P 6 PLUS MATE CH_CARCASA</t>
    </r>
  </si>
  <si>
    <r>
      <rPr>
        <sz val="8"/>
        <rFont val="Times New Roman"/>
        <charset val="134"/>
      </rPr>
      <t>HD1472</t>
    </r>
  </si>
  <si>
    <r>
      <rPr>
        <sz val="9"/>
        <rFont val="Microsoft Sans Serif"/>
        <charset val="134"/>
      </rPr>
      <t>P30 AMOR CH_CARCASA</t>
    </r>
  </si>
  <si>
    <r>
      <rPr>
        <sz val="8"/>
        <rFont val="Times New Roman"/>
        <charset val="134"/>
      </rPr>
      <t>HD1321</t>
    </r>
  </si>
  <si>
    <r>
      <rPr>
        <sz val="9"/>
        <rFont val="Microsoft Sans Serif"/>
        <charset val="134"/>
      </rPr>
      <t>P30 ANILLO ROSA CH_CARCASA</t>
    </r>
  </si>
  <si>
    <r>
      <rPr>
        <sz val="8"/>
        <rFont val="Times New Roman"/>
        <charset val="134"/>
      </rPr>
      <t>HD1203</t>
    </r>
  </si>
  <si>
    <r>
      <rPr>
        <sz val="9"/>
        <rFont val="Microsoft Sans Serif"/>
        <charset val="134"/>
      </rPr>
      <t>P30 ARCOIRIS CH_CARCASA</t>
    </r>
  </si>
  <si>
    <r>
      <rPr>
        <sz val="8"/>
        <rFont val="Times New Roman"/>
        <charset val="134"/>
      </rPr>
      <t>HD1541</t>
    </r>
  </si>
  <si>
    <r>
      <rPr>
        <sz val="9"/>
        <rFont val="Microsoft Sans Serif"/>
        <charset val="134"/>
      </rPr>
      <t>P30 BORDE DE COLOR CH_CARCASA</t>
    </r>
  </si>
  <si>
    <r>
      <rPr>
        <sz val="8"/>
        <rFont val="Times New Roman"/>
        <charset val="134"/>
      </rPr>
      <t>HD1495</t>
    </r>
  </si>
  <si>
    <r>
      <rPr>
        <sz val="9"/>
        <rFont val="Microsoft Sans Serif"/>
        <charset val="134"/>
      </rPr>
      <t>P30 BROCHE UNICOLOR CH_CARCASA</t>
    </r>
  </si>
  <si>
    <r>
      <rPr>
        <sz val="8"/>
        <rFont val="Times New Roman"/>
        <charset val="134"/>
      </rPr>
      <t>HD1154</t>
    </r>
  </si>
  <si>
    <r>
      <rPr>
        <sz val="9"/>
        <rFont val="Microsoft Sans Serif"/>
        <charset val="134"/>
      </rPr>
      <t>P30 CORAZON ESPEJO CH_CARCASA</t>
    </r>
  </si>
  <si>
    <r>
      <rPr>
        <sz val="8"/>
        <rFont val="Times New Roman"/>
        <charset val="134"/>
      </rPr>
      <t>HD1426</t>
    </r>
  </si>
  <si>
    <r>
      <rPr>
        <sz val="9"/>
        <rFont val="Microsoft Sans Serif"/>
        <charset val="134"/>
      </rPr>
      <t>P30 ESCARCHADO CON BROCHE CH_CARCASA</t>
    </r>
  </si>
  <si>
    <r>
      <rPr>
        <sz val="8"/>
        <rFont val="Times New Roman"/>
        <charset val="134"/>
      </rPr>
      <t>HD1518</t>
    </r>
  </si>
  <si>
    <r>
      <rPr>
        <sz val="9"/>
        <rFont val="Microsoft Sans Serif"/>
        <charset val="134"/>
      </rPr>
      <t>P30 FLOWERS CADENA CH_CARCASA</t>
    </r>
  </si>
  <si>
    <r>
      <rPr>
        <sz val="8"/>
        <rFont val="Times New Roman"/>
        <charset val="134"/>
      </rPr>
      <t>HD1285</t>
    </r>
  </si>
  <si>
    <r>
      <rPr>
        <sz val="9"/>
        <rFont val="Microsoft Sans Serif"/>
        <charset val="134"/>
      </rPr>
      <t>P30 HUAWEI UNICOLOR CH_CARCASA</t>
    </r>
  </si>
  <si>
    <r>
      <rPr>
        <sz val="8"/>
        <rFont val="Times New Roman"/>
        <charset val="134"/>
      </rPr>
      <t>HD1390</t>
    </r>
  </si>
  <si>
    <r>
      <rPr>
        <sz val="9"/>
        <rFont val="Microsoft Sans Serif"/>
        <charset val="134"/>
      </rPr>
      <t>P30 LAZO GIRLS CH_CARCASA</t>
    </r>
  </si>
  <si>
    <r>
      <rPr>
        <sz val="8"/>
        <rFont val="Times New Roman"/>
        <charset val="134"/>
      </rPr>
      <t>HD1062</t>
    </r>
  </si>
  <si>
    <r>
      <rPr>
        <sz val="9"/>
        <rFont val="Microsoft Sans Serif"/>
        <charset val="134"/>
      </rPr>
      <t>P30 LITE OSCURO_CARCASA</t>
    </r>
  </si>
  <si>
    <r>
      <rPr>
        <sz val="8"/>
        <rFont val="Times New Roman"/>
        <charset val="134"/>
      </rPr>
      <t>HD1449</t>
    </r>
  </si>
  <si>
    <r>
      <rPr>
        <sz val="9"/>
        <rFont val="Microsoft Sans Serif"/>
        <charset val="134"/>
      </rPr>
      <t>P30 LOVE CORAZON CH_CARCASA</t>
    </r>
  </si>
  <si>
    <r>
      <rPr>
        <sz val="8"/>
        <rFont val="Times New Roman"/>
        <charset val="134"/>
      </rPr>
      <t>HD1061</t>
    </r>
  </si>
  <si>
    <r>
      <rPr>
        <sz val="9"/>
        <rFont val="Microsoft Sans Serif"/>
        <charset val="134"/>
      </rPr>
      <t>P30 MATE CHINA-CARCASA</t>
    </r>
  </si>
  <si>
    <r>
      <rPr>
        <sz val="8"/>
        <rFont val="Times New Roman"/>
        <charset val="134"/>
      </rPr>
      <t>HD1226</t>
    </r>
  </si>
  <si>
    <r>
      <rPr>
        <sz val="9"/>
        <rFont val="Microsoft Sans Serif"/>
        <charset val="134"/>
      </rPr>
      <t>P30 MATIZADO CON DORADO CH_CARCASA</t>
    </r>
  </si>
  <si>
    <r>
      <rPr>
        <sz val="8"/>
        <rFont val="Times New Roman"/>
        <charset val="134"/>
      </rPr>
      <t>HD1366</t>
    </r>
  </si>
  <si>
    <r>
      <rPr>
        <sz val="9"/>
        <rFont val="Microsoft Sans Serif"/>
        <charset val="134"/>
      </rPr>
      <t>P30 PERLAS CORAZON CH_CARCASA</t>
    </r>
  </si>
  <si>
    <r>
      <rPr>
        <sz val="8"/>
        <rFont val="Times New Roman"/>
        <charset val="134"/>
      </rPr>
      <t>HD1114</t>
    </r>
  </si>
  <si>
    <r>
      <rPr>
        <sz val="9"/>
        <rFont val="Microsoft Sans Serif"/>
        <charset val="134"/>
      </rPr>
      <t>P30 PROTECTOR TELF CH_CARCASA</t>
    </r>
  </si>
  <si>
    <r>
      <rPr>
        <sz val="8"/>
        <rFont val="Times New Roman"/>
        <charset val="134"/>
      </rPr>
      <t>HD1249</t>
    </r>
  </si>
  <si>
    <r>
      <rPr>
        <sz val="9"/>
        <rFont val="Microsoft Sans Serif"/>
        <charset val="134"/>
      </rPr>
      <t>P30 RELIEVE FIGURAS CH_CARCASA</t>
    </r>
  </si>
  <si>
    <r>
      <rPr>
        <sz val="8"/>
        <rFont val="Times New Roman"/>
        <charset val="134"/>
      </rPr>
      <t>HD1344</t>
    </r>
  </si>
  <si>
    <r>
      <rPr>
        <sz val="9"/>
        <rFont val="Microsoft Sans Serif"/>
        <charset val="134"/>
      </rPr>
      <t>P30 SUPREME2 CH_CARCASA</t>
    </r>
  </si>
  <si>
    <r>
      <rPr>
        <sz val="8"/>
        <rFont val="Times New Roman"/>
        <charset val="134"/>
      </rPr>
      <t>HD1317</t>
    </r>
  </si>
  <si>
    <r>
      <rPr>
        <sz val="9"/>
        <rFont val="Microsoft Sans Serif"/>
        <charset val="134"/>
      </rPr>
      <t>P30LITE ANILLO ROSA CH_CARCASA</t>
    </r>
  </si>
  <si>
    <r>
      <rPr>
        <sz val="8"/>
        <rFont val="Times New Roman"/>
        <charset val="134"/>
      </rPr>
      <t>HD1199</t>
    </r>
  </si>
  <si>
    <r>
      <rPr>
        <sz val="9"/>
        <rFont val="Microsoft Sans Serif"/>
        <charset val="134"/>
      </rPr>
      <t>P30LITE ARCOIRIS CH_CARCASA</t>
    </r>
  </si>
  <si>
    <r>
      <rPr>
        <sz val="8"/>
        <rFont val="Times New Roman"/>
        <charset val="134"/>
      </rPr>
      <t>HD1537</t>
    </r>
  </si>
  <si>
    <r>
      <rPr>
        <sz val="9"/>
        <rFont val="Microsoft Sans Serif"/>
        <charset val="134"/>
      </rPr>
      <t>P30LITE BORDE DE COLOR CH_CARCASA</t>
    </r>
  </si>
  <si>
    <r>
      <rPr>
        <sz val="8"/>
        <rFont val="Times New Roman"/>
        <charset val="134"/>
      </rPr>
      <t>HD1491</t>
    </r>
  </si>
  <si>
    <r>
      <rPr>
        <sz val="9"/>
        <rFont val="Microsoft Sans Serif"/>
        <charset val="134"/>
      </rPr>
      <t>P30LITE BROCHE UNICOLOR CH_CARCASA</t>
    </r>
  </si>
  <si>
    <r>
      <rPr>
        <sz val="8"/>
        <rFont val="Times New Roman"/>
        <charset val="134"/>
      </rPr>
      <t>HD1150</t>
    </r>
  </si>
  <si>
    <r>
      <rPr>
        <sz val="9"/>
        <rFont val="Microsoft Sans Serif"/>
        <charset val="134"/>
      </rPr>
      <t>P30LITE CORAZON ESPEJO CH_CARCASA</t>
    </r>
  </si>
  <si>
    <r>
      <rPr>
        <sz val="8"/>
        <rFont val="Times New Roman"/>
        <charset val="134"/>
      </rPr>
      <t>HD1422</t>
    </r>
  </si>
  <si>
    <r>
      <rPr>
        <sz val="9"/>
        <rFont val="Microsoft Sans Serif"/>
        <charset val="134"/>
      </rPr>
      <t>P30LITE ESCARCHADO CON BROCHE CH_CARCASA</t>
    </r>
  </si>
  <si>
    <r>
      <rPr>
        <sz val="8"/>
        <rFont val="Times New Roman"/>
        <charset val="134"/>
      </rPr>
      <t>HD1514</t>
    </r>
  </si>
  <si>
    <r>
      <rPr>
        <sz val="9"/>
        <rFont val="Microsoft Sans Serif"/>
        <charset val="134"/>
      </rPr>
      <t>P30LITE FLOWERS CADENA CH_CARCASA</t>
    </r>
  </si>
  <si>
    <r>
      <rPr>
        <sz val="8"/>
        <rFont val="Times New Roman"/>
        <charset val="134"/>
      </rPr>
      <t>HD1281</t>
    </r>
  </si>
  <si>
    <r>
      <rPr>
        <sz val="9"/>
        <rFont val="Microsoft Sans Serif"/>
        <charset val="134"/>
      </rPr>
      <t>P30LITE HUAWEI UNICOLOR CH_CARCASA</t>
    </r>
  </si>
  <si>
    <r>
      <rPr>
        <sz val="8"/>
        <rFont val="Times New Roman"/>
        <charset val="134"/>
      </rPr>
      <t>HD1386</t>
    </r>
  </si>
  <si>
    <r>
      <rPr>
        <sz val="9"/>
        <rFont val="Microsoft Sans Serif"/>
        <charset val="134"/>
      </rPr>
      <t>P30LITE LAZO GIRLS CH_CARCASA</t>
    </r>
  </si>
  <si>
    <r>
      <rPr>
        <sz val="8"/>
        <rFont val="Times New Roman"/>
        <charset val="134"/>
      </rPr>
      <t>HD1445</t>
    </r>
  </si>
  <si>
    <r>
      <rPr>
        <sz val="9"/>
        <rFont val="Microsoft Sans Serif"/>
        <charset val="134"/>
      </rPr>
      <t>P30LITE LOVE CORAZON CH_CARCASA</t>
    </r>
  </si>
  <si>
    <r>
      <rPr>
        <sz val="8"/>
        <rFont val="Times New Roman"/>
        <charset val="134"/>
      </rPr>
      <t>HD1222</t>
    </r>
  </si>
  <si>
    <r>
      <rPr>
        <sz val="9"/>
        <rFont val="Microsoft Sans Serif"/>
        <charset val="134"/>
      </rPr>
      <t>P30LITE MATIZADO CON DORADO CH_CARCASA</t>
    </r>
  </si>
  <si>
    <r>
      <rPr>
        <sz val="8"/>
        <rFont val="Times New Roman"/>
        <charset val="134"/>
      </rPr>
      <t>HD1362</t>
    </r>
  </si>
  <si>
    <r>
      <rPr>
        <sz val="9"/>
        <rFont val="Microsoft Sans Serif"/>
        <charset val="134"/>
      </rPr>
      <t>P30LITE PERLAS CORAZON CH_CARCASA</t>
    </r>
  </si>
  <si>
    <r>
      <rPr>
        <sz val="8"/>
        <rFont val="Times New Roman"/>
        <charset val="134"/>
      </rPr>
      <t>HD1245</t>
    </r>
  </si>
  <si>
    <r>
      <rPr>
        <sz val="9"/>
        <rFont val="Microsoft Sans Serif"/>
        <charset val="134"/>
      </rPr>
      <t>P30LITE RELIEVE FIGURAS CH_CARCASA</t>
    </r>
  </si>
  <si>
    <r>
      <rPr>
        <sz val="8"/>
        <rFont val="Times New Roman"/>
        <charset val="134"/>
      </rPr>
      <t>HD1340</t>
    </r>
  </si>
  <si>
    <r>
      <rPr>
        <sz val="9"/>
        <rFont val="Microsoft Sans Serif"/>
        <charset val="134"/>
      </rPr>
      <t>P30LITE SUPREME2 CH_CARCASA</t>
    </r>
  </si>
  <si>
    <r>
      <rPr>
        <sz val="8"/>
        <rFont val="Times New Roman"/>
        <charset val="134"/>
      </rPr>
      <t>HD3323</t>
    </r>
  </si>
  <si>
    <r>
      <rPr>
        <sz val="9"/>
        <rFont val="Microsoft Sans Serif"/>
        <charset val="134"/>
      </rPr>
      <t>P470 AURICULARES BLUETOOTH 05/2021</t>
    </r>
  </si>
  <si>
    <r>
      <rPr>
        <sz val="8"/>
        <rFont val="Times New Roman"/>
        <charset val="134"/>
      </rPr>
      <t>HD3588</t>
    </r>
  </si>
  <si>
    <r>
      <rPr>
        <sz val="9"/>
        <rFont val="Microsoft Sans Serif"/>
        <charset val="134"/>
      </rPr>
      <t>PALA DE ARENA HD PARA GATO</t>
    </r>
  </si>
  <si>
    <r>
      <rPr>
        <sz val="8"/>
        <rFont val="Times New Roman"/>
        <charset val="134"/>
      </rPr>
      <t>HD3589</t>
    </r>
  </si>
  <si>
    <r>
      <rPr>
        <sz val="9"/>
        <rFont val="Microsoft Sans Serif"/>
        <charset val="134"/>
      </rPr>
      <t>PALA DE ARENA HD PARA GATOS</t>
    </r>
  </si>
  <si>
    <r>
      <rPr>
        <sz val="8"/>
        <rFont val="Times New Roman"/>
        <charset val="134"/>
      </rPr>
      <t>HD4296</t>
    </r>
  </si>
  <si>
    <r>
      <rPr>
        <sz val="9"/>
        <rFont val="Microsoft Sans Serif"/>
        <charset val="134"/>
      </rPr>
      <t>PALILLO CHINO</t>
    </r>
  </si>
  <si>
    <r>
      <rPr>
        <sz val="8"/>
        <rFont val="Times New Roman"/>
        <charset val="134"/>
      </rPr>
      <t>HD197</t>
    </r>
  </si>
  <si>
    <r>
      <rPr>
        <sz val="9"/>
        <rFont val="Microsoft Sans Serif"/>
        <charset val="134"/>
      </rPr>
      <t>PALO DE GLOBO</t>
    </r>
  </si>
  <si>
    <r>
      <rPr>
        <sz val="8"/>
        <rFont val="Times New Roman"/>
        <charset val="134"/>
      </rPr>
      <t>HD3651</t>
    </r>
  </si>
  <si>
    <r>
      <rPr>
        <sz val="9"/>
        <rFont val="Microsoft Sans Serif"/>
        <charset val="134"/>
      </rPr>
      <t>PALO DE YOGA YX-YJB HD PORTABLE PILATES</t>
    </r>
  </si>
  <si>
    <r>
      <rPr>
        <sz val="8"/>
        <rFont val="Times New Roman"/>
        <charset val="134"/>
      </rPr>
      <t>RFD433367</t>
    </r>
  </si>
  <si>
    <r>
      <rPr>
        <sz val="9"/>
        <rFont val="Microsoft Sans Serif"/>
        <charset val="134"/>
      </rPr>
      <t>PANDA OSO JUGUETE</t>
    </r>
  </si>
  <si>
    <r>
      <rPr>
        <sz val="8"/>
        <rFont val="Times New Roman"/>
        <charset val="134"/>
      </rPr>
      <t>HD15010</t>
    </r>
  </si>
  <si>
    <r>
      <rPr>
        <sz val="9"/>
        <rFont val="Microsoft Sans Serif"/>
        <charset val="134"/>
      </rPr>
      <t>PAPEL ADHESIVO COCINA 05*/2021 30M*60</t>
    </r>
  </si>
  <si>
    <r>
      <rPr>
        <sz val="8"/>
        <rFont val="Times New Roman"/>
        <charset val="134"/>
      </rPr>
      <t>HD3510-1</t>
    </r>
  </si>
  <si>
    <r>
      <rPr>
        <sz val="9"/>
        <rFont val="Microsoft Sans Serif"/>
        <charset val="134"/>
      </rPr>
      <t>PAPEL COCINA T-010 HD 60x10M</t>
    </r>
  </si>
  <si>
    <r>
      <rPr>
        <sz val="8"/>
        <rFont val="Times New Roman"/>
        <charset val="134"/>
      </rPr>
      <t>HD3030</t>
    </r>
  </si>
  <si>
    <r>
      <rPr>
        <sz val="9"/>
        <rFont val="Microsoft Sans Serif"/>
        <charset val="134"/>
      </rPr>
      <t>PAPEL TAPIZ 05/2021 5*45</t>
    </r>
  </si>
  <si>
    <r>
      <rPr>
        <sz val="8"/>
        <rFont val="Times New Roman"/>
        <charset val="134"/>
      </rPr>
      <t>HD2427</t>
    </r>
  </si>
  <si>
    <r>
      <rPr>
        <sz val="9"/>
        <rFont val="Microsoft Sans Serif"/>
        <charset val="134"/>
      </rPr>
      <t>PAPEL TAPIZ 2*60</t>
    </r>
  </si>
  <si>
    <r>
      <rPr>
        <sz val="8"/>
        <rFont val="Times New Roman"/>
        <charset val="134"/>
      </rPr>
      <t>HD2440</t>
    </r>
  </si>
  <si>
    <r>
      <rPr>
        <sz val="9"/>
        <rFont val="Microsoft Sans Serif"/>
        <charset val="134"/>
      </rPr>
      <t>PARLANTE</t>
    </r>
  </si>
  <si>
    <r>
      <rPr>
        <sz val="8"/>
        <rFont val="Times New Roman"/>
        <charset val="134"/>
      </rPr>
      <t>HD00748</t>
    </r>
  </si>
  <si>
    <r>
      <rPr>
        <sz val="9"/>
        <rFont val="Microsoft Sans Serif"/>
        <charset val="134"/>
      </rPr>
      <t>PARLANTE A2 FM/ RADIO CHINA NEGRO</t>
    </r>
  </si>
  <si>
    <r>
      <rPr>
        <sz val="8"/>
        <rFont val="Times New Roman"/>
        <charset val="134"/>
      </rPr>
      <t>HD2039</t>
    </r>
  </si>
  <si>
    <r>
      <rPr>
        <sz val="9"/>
        <rFont val="Microsoft Sans Serif"/>
        <charset val="134"/>
      </rPr>
      <t>PARLANTE AM</t>
    </r>
  </si>
  <si>
    <r>
      <rPr>
        <sz val="8"/>
        <rFont val="Times New Roman"/>
        <charset val="134"/>
      </rPr>
      <t>HD3742</t>
    </r>
  </si>
  <si>
    <r>
      <rPr>
        <sz val="9"/>
        <rFont val="Microsoft Sans Serif"/>
        <charset val="134"/>
      </rPr>
      <t>PARQUE DE DINOSAURIO 57444 HD 249x191x109CM</t>
    </r>
  </si>
  <si>
    <r>
      <rPr>
        <sz val="8"/>
        <rFont val="Times New Roman"/>
        <charset val="134"/>
      </rPr>
      <t>RFD285604</t>
    </r>
  </si>
  <si>
    <r>
      <rPr>
        <sz val="9"/>
        <rFont val="Microsoft Sans Serif"/>
        <charset val="134"/>
      </rPr>
      <t>PARTIDO DE FUTBOL PARA 2 JUEGOS</t>
    </r>
  </si>
  <si>
    <r>
      <rPr>
        <sz val="8"/>
        <rFont val="Times New Roman"/>
        <charset val="134"/>
      </rPr>
      <t>HD2372</t>
    </r>
  </si>
  <si>
    <r>
      <rPr>
        <sz val="9"/>
        <rFont val="Microsoft Sans Serif"/>
        <charset val="134"/>
      </rPr>
      <t>PD565-J RELOJ DAMA DELICADO MODIYA</t>
    </r>
  </si>
  <si>
    <r>
      <rPr>
        <sz val="8"/>
        <rFont val="Times New Roman"/>
        <charset val="134"/>
      </rPr>
      <t>HD2573</t>
    </r>
  </si>
  <si>
    <r>
      <rPr>
        <sz val="9"/>
        <rFont val="Microsoft Sans Serif"/>
        <charset val="134"/>
      </rPr>
      <t>PDF MUÑECO DE NIEVE CASITA</t>
    </r>
  </si>
  <si>
    <r>
      <rPr>
        <sz val="8"/>
        <rFont val="Times New Roman"/>
        <charset val="134"/>
      </rPr>
      <t>HD2574</t>
    </r>
  </si>
  <si>
    <r>
      <rPr>
        <sz val="9"/>
        <rFont val="Microsoft Sans Serif"/>
        <charset val="134"/>
      </rPr>
      <t>PDF RENO CASITA</t>
    </r>
  </si>
  <si>
    <r>
      <rPr>
        <sz val="8"/>
        <rFont val="Times New Roman"/>
        <charset val="134"/>
      </rPr>
      <t>HD2577</t>
    </r>
  </si>
  <si>
    <r>
      <rPr>
        <sz val="9"/>
        <rFont val="Microsoft Sans Serif"/>
        <charset val="134"/>
      </rPr>
      <t>PDF RENO GRANDE</t>
    </r>
  </si>
  <si>
    <r>
      <rPr>
        <sz val="8"/>
        <rFont val="Times New Roman"/>
        <charset val="134"/>
      </rPr>
      <t>HD2578</t>
    </r>
  </si>
  <si>
    <r>
      <rPr>
        <sz val="9"/>
        <rFont val="Microsoft Sans Serif"/>
        <charset val="134"/>
      </rPr>
      <t>PDF SANTA GRANDE</t>
    </r>
  </si>
  <si>
    <r>
      <rPr>
        <sz val="8"/>
        <rFont val="Times New Roman"/>
        <charset val="134"/>
      </rPr>
      <t>HD2575</t>
    </r>
  </si>
  <si>
    <r>
      <rPr>
        <sz val="9"/>
        <rFont val="Microsoft Sans Serif"/>
        <charset val="134"/>
      </rPr>
      <t>PDF SANTA PEQUEÑO</t>
    </r>
  </si>
  <si>
    <r>
      <rPr>
        <sz val="8"/>
        <rFont val="Times New Roman"/>
        <charset val="134"/>
      </rPr>
      <t>HD716</t>
    </r>
  </si>
  <si>
    <r>
      <rPr>
        <sz val="9"/>
        <rFont val="Microsoft Sans Serif"/>
        <charset val="134"/>
      </rPr>
      <t>PEDIENTES DE DIAMANTES</t>
    </r>
  </si>
  <si>
    <r>
      <rPr>
        <sz val="8"/>
        <rFont val="Times New Roman"/>
        <charset val="134"/>
      </rPr>
      <t>HD591</t>
    </r>
  </si>
  <si>
    <r>
      <rPr>
        <sz val="9"/>
        <rFont val="Microsoft Sans Serif"/>
        <charset val="134"/>
      </rPr>
      <t>PEGA/ PESTAÑAS POS 5PS</t>
    </r>
  </si>
  <si>
    <r>
      <rPr>
        <sz val="8"/>
        <rFont val="Times New Roman"/>
        <charset val="134"/>
      </rPr>
      <t>HD592</t>
    </r>
  </si>
  <si>
    <r>
      <rPr>
        <sz val="9"/>
        <rFont val="Microsoft Sans Serif"/>
        <charset val="134"/>
      </rPr>
      <t>PEGA/PESTAÑAS POS</t>
    </r>
  </si>
  <si>
    <r>
      <rPr>
        <sz val="9"/>
        <rFont val="Microsoft Sans Serif"/>
        <charset val="134"/>
      </rPr>
      <t>PEGAMENTO / UÑAS</t>
    </r>
  </si>
  <si>
    <r>
      <rPr>
        <sz val="8"/>
        <rFont val="Times New Roman"/>
        <charset val="134"/>
      </rPr>
      <t>HD4266</t>
    </r>
  </si>
  <si>
    <r>
      <rPr>
        <sz val="9"/>
        <rFont val="Microsoft Sans Serif"/>
        <charset val="134"/>
      </rPr>
      <t>PEGAMENTO HD ANTICOLISION 4 PCS</t>
    </r>
  </si>
  <si>
    <r>
      <rPr>
        <sz val="8"/>
        <rFont val="Times New Roman"/>
        <charset val="134"/>
      </rPr>
      <t>HD4241</t>
    </r>
  </si>
  <si>
    <r>
      <rPr>
        <sz val="9"/>
        <rFont val="Microsoft Sans Serif"/>
        <charset val="134"/>
      </rPr>
      <t>PEGATINA PRECIO HD 10 PCS</t>
    </r>
  </si>
  <si>
    <r>
      <rPr>
        <sz val="8"/>
        <rFont val="Times New Roman"/>
        <charset val="134"/>
      </rPr>
      <t>HD4242</t>
    </r>
  </si>
  <si>
    <r>
      <rPr>
        <sz val="9"/>
        <rFont val="Microsoft Sans Serif"/>
        <charset val="134"/>
      </rPr>
      <t>PEGATINA PRECIO HD 10 PCS.</t>
    </r>
  </si>
  <si>
    <r>
      <rPr>
        <sz val="8"/>
        <rFont val="Times New Roman"/>
        <charset val="134"/>
      </rPr>
      <t>HD4243</t>
    </r>
  </si>
  <si>
    <r>
      <rPr>
        <sz val="9"/>
        <rFont val="Microsoft Sans Serif"/>
        <charset val="134"/>
      </rPr>
      <t>PEGATINA PRECIO HD 10 PCS..</t>
    </r>
  </si>
  <si>
    <r>
      <rPr>
        <sz val="8"/>
        <rFont val="Times New Roman"/>
        <charset val="134"/>
      </rPr>
      <t>HD4244</t>
    </r>
  </si>
  <si>
    <r>
      <rPr>
        <sz val="9"/>
        <rFont val="Microsoft Sans Serif"/>
        <charset val="134"/>
      </rPr>
      <t>PEGATINA PRECIO HD 10 PCS…</t>
    </r>
  </si>
  <si>
    <r>
      <rPr>
        <sz val="8"/>
        <rFont val="Times New Roman"/>
        <charset val="134"/>
      </rPr>
      <t>HD4245</t>
    </r>
  </si>
  <si>
    <r>
      <rPr>
        <sz val="9"/>
        <rFont val="Microsoft Sans Serif"/>
        <charset val="134"/>
      </rPr>
      <t>PEGATINA PRECIO HD 10 PCS….</t>
    </r>
  </si>
  <si>
    <r>
      <rPr>
        <sz val="8"/>
        <rFont val="Times New Roman"/>
        <charset val="134"/>
      </rPr>
      <t>HD4246</t>
    </r>
  </si>
  <si>
    <r>
      <rPr>
        <sz val="9"/>
        <rFont val="Microsoft Sans Serif"/>
        <charset val="134"/>
      </rPr>
      <t>PEGATINA PRECIO HD 10 PCS…..</t>
    </r>
  </si>
  <si>
    <r>
      <rPr>
        <sz val="8"/>
        <rFont val="Times New Roman"/>
        <charset val="134"/>
      </rPr>
      <t>HD4235</t>
    </r>
  </si>
  <si>
    <r>
      <rPr>
        <sz val="9"/>
        <rFont val="Microsoft Sans Serif"/>
        <charset val="134"/>
      </rPr>
      <t>PEGATINA PRECIO HD 100 PCS/.</t>
    </r>
  </si>
  <si>
    <r>
      <rPr>
        <sz val="8"/>
        <rFont val="Times New Roman"/>
        <charset val="134"/>
      </rPr>
      <t>HD4236</t>
    </r>
  </si>
  <si>
    <r>
      <rPr>
        <sz val="9"/>
        <rFont val="Microsoft Sans Serif"/>
        <charset val="134"/>
      </rPr>
      <t>PEGATINA PRECIO HD 100 PCS/..</t>
    </r>
  </si>
  <si>
    <r>
      <rPr>
        <sz val="8"/>
        <rFont val="Times New Roman"/>
        <charset val="134"/>
      </rPr>
      <t>HD4237</t>
    </r>
  </si>
  <si>
    <r>
      <rPr>
        <sz val="9"/>
        <rFont val="Microsoft Sans Serif"/>
        <charset val="134"/>
      </rPr>
      <t>PEGATINA PRECIO HD 100 PCS/…</t>
    </r>
  </si>
  <si>
    <r>
      <rPr>
        <sz val="8"/>
        <rFont val="Times New Roman"/>
        <charset val="134"/>
      </rPr>
      <t>HD4233</t>
    </r>
  </si>
  <si>
    <r>
      <rPr>
        <sz val="9"/>
        <rFont val="Microsoft Sans Serif"/>
        <charset val="134"/>
      </rPr>
      <t>PEGATINA PRECIO HD 100 PCS……</t>
    </r>
  </si>
  <si>
    <r>
      <rPr>
        <sz val="8"/>
        <rFont val="Times New Roman"/>
        <charset val="134"/>
      </rPr>
      <t>HD211</t>
    </r>
  </si>
  <si>
    <r>
      <rPr>
        <sz val="9"/>
        <rFont val="Microsoft Sans Serif"/>
        <charset val="134"/>
      </rPr>
      <t>PEGATINAS TATUAJE</t>
    </r>
  </si>
  <si>
    <r>
      <rPr>
        <sz val="8"/>
        <rFont val="Times New Roman"/>
        <charset val="134"/>
      </rPr>
      <t>HD212</t>
    </r>
  </si>
  <si>
    <r>
      <rPr>
        <sz val="9"/>
        <rFont val="Microsoft Sans Serif"/>
        <charset val="134"/>
      </rPr>
      <t>PEGATINAS TATUAJE MIMULATED</t>
    </r>
  </si>
  <si>
    <r>
      <rPr>
        <sz val="8"/>
        <rFont val="Times New Roman"/>
        <charset val="134"/>
      </rPr>
      <t>HD3578</t>
    </r>
  </si>
  <si>
    <r>
      <rPr>
        <sz val="9"/>
        <rFont val="Microsoft Sans Serif"/>
        <charset val="134"/>
      </rPr>
      <t>PEINE HD 19CM/ M</t>
    </r>
  </si>
  <si>
    <r>
      <rPr>
        <sz val="8"/>
        <rFont val="Times New Roman"/>
        <charset val="134"/>
      </rPr>
      <t>HD3582</t>
    </r>
  </si>
  <si>
    <r>
      <rPr>
        <sz val="9"/>
        <rFont val="Microsoft Sans Serif"/>
        <charset val="134"/>
      </rPr>
      <t>PEINE HD 2 AGUJEROS</t>
    </r>
  </si>
  <si>
    <r>
      <rPr>
        <sz val="8"/>
        <rFont val="Times New Roman"/>
        <charset val="134"/>
      </rPr>
      <t>HD3586</t>
    </r>
  </si>
  <si>
    <r>
      <rPr>
        <sz val="9"/>
        <rFont val="Microsoft Sans Serif"/>
        <charset val="134"/>
      </rPr>
      <t>PEINE HD AGUJA FINA</t>
    </r>
  </si>
  <si>
    <r>
      <rPr>
        <sz val="8"/>
        <rFont val="Times New Roman"/>
        <charset val="134"/>
      </rPr>
      <t>HD3580</t>
    </r>
  </si>
  <si>
    <r>
      <rPr>
        <sz val="9"/>
        <rFont val="Microsoft Sans Serif"/>
        <charset val="134"/>
      </rPr>
      <t>PEINE HD ANTIPULGAS</t>
    </r>
  </si>
  <si>
    <r>
      <rPr>
        <sz val="8"/>
        <rFont val="Times New Roman"/>
        <charset val="134"/>
      </rPr>
      <t>HD3581</t>
    </r>
  </si>
  <si>
    <r>
      <rPr>
        <sz val="9"/>
        <rFont val="Microsoft Sans Serif"/>
        <charset val="134"/>
      </rPr>
      <t>PEINE HD ANTIPULGAS.</t>
    </r>
  </si>
  <si>
    <r>
      <rPr>
        <sz val="8"/>
        <rFont val="Times New Roman"/>
        <charset val="134"/>
      </rPr>
      <t>HD3585</t>
    </r>
  </si>
  <si>
    <r>
      <rPr>
        <sz val="9"/>
        <rFont val="Microsoft Sans Serif"/>
        <charset val="134"/>
      </rPr>
      <t>PEINE HD DOBLE CARA</t>
    </r>
  </si>
  <si>
    <r>
      <rPr>
        <sz val="8"/>
        <rFont val="Times New Roman"/>
        <charset val="134"/>
      </rPr>
      <t>HD3579</t>
    </r>
  </si>
  <si>
    <r>
      <rPr>
        <sz val="9"/>
        <rFont val="Microsoft Sans Serif"/>
        <charset val="134"/>
      </rPr>
      <t>PEINE HD G</t>
    </r>
  </si>
  <si>
    <r>
      <rPr>
        <sz val="8"/>
        <rFont val="Times New Roman"/>
        <charset val="134"/>
      </rPr>
      <t>HD3583</t>
    </r>
  </si>
  <si>
    <r>
      <rPr>
        <sz val="9"/>
        <rFont val="Microsoft Sans Serif"/>
        <charset val="134"/>
      </rPr>
      <t>PEINE HD G /DOBLE CARA</t>
    </r>
  </si>
  <si>
    <r>
      <rPr>
        <sz val="8"/>
        <rFont val="Times New Roman"/>
        <charset val="134"/>
      </rPr>
      <t>HD3577</t>
    </r>
  </si>
  <si>
    <r>
      <rPr>
        <sz val="9"/>
        <rFont val="Microsoft Sans Serif"/>
        <charset val="134"/>
      </rPr>
      <t>PEINE HD P 19CM</t>
    </r>
  </si>
  <si>
    <r>
      <rPr>
        <sz val="8"/>
        <rFont val="Times New Roman"/>
        <charset val="134"/>
      </rPr>
      <t>HD3584</t>
    </r>
  </si>
  <si>
    <r>
      <rPr>
        <sz val="9"/>
        <rFont val="Microsoft Sans Serif"/>
        <charset val="134"/>
      </rPr>
      <t>PEINE HD P/ DOBLE CARA</t>
    </r>
  </si>
  <si>
    <r>
      <rPr>
        <sz val="8"/>
        <rFont val="Times New Roman"/>
        <charset val="134"/>
      </rPr>
      <t>HD3571</t>
    </r>
  </si>
  <si>
    <r>
      <rPr>
        <sz val="9"/>
        <rFont val="Microsoft Sans Serif"/>
        <charset val="134"/>
      </rPr>
      <t>PEINE PARA PERRO HD</t>
    </r>
  </si>
  <si>
    <r>
      <rPr>
        <sz val="8"/>
        <rFont val="Times New Roman"/>
        <charset val="134"/>
      </rPr>
      <t>HD3570</t>
    </r>
  </si>
  <si>
    <r>
      <rPr>
        <sz val="9"/>
        <rFont val="Microsoft Sans Serif"/>
        <charset val="134"/>
      </rPr>
      <t>PEINE PARA PERRO HD 1 CARA</t>
    </r>
  </si>
  <si>
    <r>
      <rPr>
        <sz val="8"/>
        <rFont val="Times New Roman"/>
        <charset val="134"/>
      </rPr>
      <t>HD3572</t>
    </r>
  </si>
  <si>
    <r>
      <rPr>
        <sz val="9"/>
        <rFont val="Microsoft Sans Serif"/>
        <charset val="134"/>
      </rPr>
      <t>PEINE PARA PERRO HD 1 CARA /CORTO</t>
    </r>
  </si>
  <si>
    <r>
      <rPr>
        <sz val="8"/>
        <rFont val="Times New Roman"/>
        <charset val="134"/>
      </rPr>
      <t>HD3568</t>
    </r>
  </si>
  <si>
    <r>
      <rPr>
        <sz val="9"/>
        <rFont val="Microsoft Sans Serif"/>
        <charset val="134"/>
      </rPr>
      <t>PEINE PARA PERRO HD AGUJA /TROMPETA</t>
    </r>
  </si>
  <si>
    <r>
      <rPr>
        <sz val="8"/>
        <rFont val="Times New Roman"/>
        <charset val="134"/>
      </rPr>
      <t>HD3566</t>
    </r>
  </si>
  <si>
    <r>
      <rPr>
        <sz val="9"/>
        <rFont val="Microsoft Sans Serif"/>
        <charset val="134"/>
      </rPr>
      <t>PEINE PARA PERRO HD AGUJA G</t>
    </r>
  </si>
  <si>
    <r>
      <rPr>
        <sz val="8"/>
        <rFont val="Times New Roman"/>
        <charset val="134"/>
      </rPr>
      <t>HD3569</t>
    </r>
  </si>
  <si>
    <r>
      <rPr>
        <sz val="9"/>
        <rFont val="Microsoft Sans Serif"/>
        <charset val="134"/>
      </rPr>
      <t>PEINE PARA PERRO HD DOBLE CARA</t>
    </r>
  </si>
  <si>
    <r>
      <rPr>
        <sz val="8"/>
        <rFont val="Times New Roman"/>
        <charset val="134"/>
      </rPr>
      <t>HD3556</t>
    </r>
  </si>
  <si>
    <r>
      <rPr>
        <sz val="9"/>
        <rFont val="Microsoft Sans Serif"/>
        <charset val="134"/>
      </rPr>
      <t>PEINE PARA PERRO HD G</t>
    </r>
  </si>
  <si>
    <r>
      <rPr>
        <sz val="8"/>
        <rFont val="Times New Roman"/>
        <charset val="134"/>
      </rPr>
      <t>HD3560</t>
    </r>
  </si>
  <si>
    <r>
      <rPr>
        <sz val="9"/>
        <rFont val="Microsoft Sans Serif"/>
        <charset val="134"/>
      </rPr>
      <t>PEINE PARA PERRO HD G.</t>
    </r>
  </si>
  <si>
    <r>
      <rPr>
        <sz val="8"/>
        <rFont val="Times New Roman"/>
        <charset val="134"/>
      </rPr>
      <t>HD3563</t>
    </r>
  </si>
  <si>
    <r>
      <rPr>
        <sz val="9"/>
        <rFont val="Microsoft Sans Serif"/>
        <charset val="134"/>
      </rPr>
      <t>PEINE PARA PERRO HD G..</t>
    </r>
  </si>
  <si>
    <r>
      <rPr>
        <sz val="8"/>
        <rFont val="Times New Roman"/>
        <charset val="134"/>
      </rPr>
      <t>HD3574</t>
    </r>
  </si>
  <si>
    <r>
      <rPr>
        <sz val="9"/>
        <rFont val="Microsoft Sans Serif"/>
        <charset val="134"/>
      </rPr>
      <t>PEINE PARA PERRO HD G…</t>
    </r>
  </si>
  <si>
    <r>
      <rPr>
        <sz val="8"/>
        <rFont val="Times New Roman"/>
        <charset val="134"/>
      </rPr>
      <t>HD3557</t>
    </r>
  </si>
  <si>
    <r>
      <rPr>
        <sz val="9"/>
        <rFont val="Microsoft Sans Serif"/>
        <charset val="134"/>
      </rPr>
      <t>PEINE PARA PERRO HD M</t>
    </r>
  </si>
  <si>
    <r>
      <rPr>
        <sz val="8"/>
        <rFont val="Times New Roman"/>
        <charset val="134"/>
      </rPr>
      <t>HD3561</t>
    </r>
  </si>
  <si>
    <r>
      <rPr>
        <sz val="9"/>
        <rFont val="Microsoft Sans Serif"/>
        <charset val="134"/>
      </rPr>
      <t>PEINE PARA PERRO HD M.</t>
    </r>
  </si>
  <si>
    <r>
      <rPr>
        <sz val="8"/>
        <rFont val="Times New Roman"/>
        <charset val="134"/>
      </rPr>
      <t>HD3564</t>
    </r>
  </si>
  <si>
    <r>
      <rPr>
        <sz val="9"/>
        <rFont val="Microsoft Sans Serif"/>
        <charset val="134"/>
      </rPr>
      <t>PEINE PARA PERRO HD M..</t>
    </r>
  </si>
  <si>
    <r>
      <rPr>
        <sz val="8"/>
        <rFont val="Times New Roman"/>
        <charset val="134"/>
      </rPr>
      <t>HD3567</t>
    </r>
  </si>
  <si>
    <r>
      <rPr>
        <sz val="9"/>
        <rFont val="Microsoft Sans Serif"/>
        <charset val="134"/>
      </rPr>
      <t>PEINE PARA PERRO HD M…</t>
    </r>
  </si>
  <si>
    <r>
      <rPr>
        <sz val="8"/>
        <rFont val="Times New Roman"/>
        <charset val="134"/>
      </rPr>
      <t>HD3558</t>
    </r>
  </si>
  <si>
    <r>
      <rPr>
        <sz val="9"/>
        <rFont val="Microsoft Sans Serif"/>
        <charset val="134"/>
      </rPr>
      <t>PEINE PARA PERRO HD MANGO TROMPETA</t>
    </r>
  </si>
  <si>
    <r>
      <rPr>
        <sz val="8"/>
        <rFont val="Times New Roman"/>
        <charset val="134"/>
      </rPr>
      <t>HD3562</t>
    </r>
  </si>
  <si>
    <r>
      <rPr>
        <sz val="9"/>
        <rFont val="Microsoft Sans Serif"/>
        <charset val="134"/>
      </rPr>
      <t>PEINE PARA PERRO HD MANGO TROMPETA.</t>
    </r>
  </si>
  <si>
    <r>
      <rPr>
        <sz val="8"/>
        <rFont val="Times New Roman"/>
        <charset val="134"/>
      </rPr>
      <t>HD3565</t>
    </r>
  </si>
  <si>
    <r>
      <rPr>
        <sz val="9"/>
        <rFont val="Microsoft Sans Serif"/>
        <charset val="134"/>
      </rPr>
      <t>PEINE PARA PERRO HD P</t>
    </r>
  </si>
  <si>
    <r>
      <rPr>
        <sz val="8"/>
        <rFont val="Times New Roman"/>
        <charset val="134"/>
      </rPr>
      <t>HD3573</t>
    </r>
  </si>
  <si>
    <r>
      <rPr>
        <sz val="9"/>
        <rFont val="Microsoft Sans Serif"/>
        <charset val="134"/>
      </rPr>
      <t>PEINE PARA PERRO HD P.</t>
    </r>
  </si>
  <si>
    <r>
      <rPr>
        <sz val="8"/>
        <rFont val="Times New Roman"/>
        <charset val="134"/>
      </rPr>
      <t>HD3555</t>
    </r>
  </si>
  <si>
    <r>
      <rPr>
        <sz val="9"/>
        <rFont val="Microsoft Sans Serif"/>
        <charset val="134"/>
      </rPr>
      <t>PEINE PARA PERRO HD XG</t>
    </r>
  </si>
  <si>
    <r>
      <rPr>
        <sz val="8"/>
        <rFont val="Times New Roman"/>
        <charset val="134"/>
      </rPr>
      <t>HD3559</t>
    </r>
  </si>
  <si>
    <r>
      <rPr>
        <sz val="9"/>
        <rFont val="Microsoft Sans Serif"/>
        <charset val="134"/>
      </rPr>
      <t>PEINE PARA PERRO HD XG.</t>
    </r>
  </si>
  <si>
    <r>
      <rPr>
        <sz val="8"/>
        <rFont val="Times New Roman"/>
        <charset val="134"/>
      </rPr>
      <t>HD3484</t>
    </r>
  </si>
  <si>
    <r>
      <rPr>
        <sz val="9"/>
        <rFont val="Microsoft Sans Serif"/>
        <charset val="134"/>
      </rPr>
      <t>PEINE PERRO</t>
    </r>
  </si>
  <si>
    <r>
      <rPr>
        <sz val="8"/>
        <rFont val="Times New Roman"/>
        <charset val="134"/>
      </rPr>
      <t>HD556</t>
    </r>
  </si>
  <si>
    <r>
      <rPr>
        <sz val="9"/>
        <rFont val="Microsoft Sans Serif"/>
        <charset val="134"/>
      </rPr>
      <t>PEINILLA</t>
    </r>
  </si>
  <si>
    <r>
      <rPr>
        <sz val="8"/>
        <rFont val="Times New Roman"/>
        <charset val="134"/>
      </rPr>
      <t>HD558</t>
    </r>
  </si>
  <si>
    <r>
      <rPr>
        <sz val="8"/>
        <rFont val="Times New Roman"/>
        <charset val="134"/>
      </rPr>
      <t>HD552</t>
    </r>
  </si>
  <si>
    <r>
      <rPr>
        <sz val="9"/>
        <rFont val="Microsoft Sans Serif"/>
        <charset val="134"/>
      </rPr>
      <t>PEINILLA ZI QING</t>
    </r>
  </si>
  <si>
    <r>
      <rPr>
        <sz val="8"/>
        <rFont val="Times New Roman"/>
        <charset val="134"/>
      </rPr>
      <t>HD1725</t>
    </r>
  </si>
  <si>
    <r>
      <rPr>
        <sz val="9"/>
        <rFont val="Microsoft Sans Serif"/>
        <charset val="134"/>
      </rPr>
      <t>PELUCHE CHINA 28CM</t>
    </r>
  </si>
  <si>
    <r>
      <rPr>
        <sz val="8"/>
        <rFont val="Times New Roman"/>
        <charset val="134"/>
      </rPr>
      <t>RFD432511</t>
    </r>
  </si>
  <si>
    <r>
      <rPr>
        <sz val="9"/>
        <rFont val="Microsoft Sans Serif"/>
        <charset val="134"/>
      </rPr>
      <t>PENGUIN ELECTRIC JUGUETES</t>
    </r>
  </si>
  <si>
    <r>
      <rPr>
        <sz val="8"/>
        <rFont val="Times New Roman"/>
        <charset val="134"/>
      </rPr>
      <t>HD9202</t>
    </r>
  </si>
  <si>
    <r>
      <rPr>
        <sz val="9"/>
        <rFont val="Microsoft Sans Serif"/>
        <charset val="134"/>
      </rPr>
      <t>PEQ CAJA DE RGALO CHINA</t>
    </r>
  </si>
  <si>
    <r>
      <rPr>
        <sz val="8"/>
        <rFont val="Times New Roman"/>
        <charset val="134"/>
      </rPr>
      <t>HD4455</t>
    </r>
  </si>
  <si>
    <r>
      <rPr>
        <sz val="9"/>
        <rFont val="Microsoft Sans Serif"/>
        <charset val="134"/>
      </rPr>
      <t>PERFUME</t>
    </r>
  </si>
  <si>
    <r>
      <rPr>
        <sz val="8"/>
        <rFont val="Times New Roman"/>
        <charset val="134"/>
      </rPr>
      <t>HD4583</t>
    </r>
  </si>
  <si>
    <r>
      <rPr>
        <sz val="8"/>
        <rFont val="Times New Roman"/>
        <charset val="134"/>
      </rPr>
      <t>HD4589</t>
    </r>
  </si>
  <si>
    <r>
      <rPr>
        <sz val="9"/>
        <rFont val="Microsoft Sans Serif"/>
        <charset val="134"/>
      </rPr>
      <t>PERFUME 100ML B501</t>
    </r>
  </si>
  <si>
    <r>
      <rPr>
        <sz val="8"/>
        <rFont val="Times New Roman"/>
        <charset val="134"/>
      </rPr>
      <t>HD4591</t>
    </r>
  </si>
  <si>
    <r>
      <rPr>
        <sz val="9"/>
        <rFont val="Microsoft Sans Serif"/>
        <charset val="134"/>
      </rPr>
      <t>PERFUME 100ML B512</t>
    </r>
  </si>
  <si>
    <r>
      <rPr>
        <sz val="8"/>
        <rFont val="Times New Roman"/>
        <charset val="134"/>
      </rPr>
      <t>HD4599</t>
    </r>
  </si>
  <si>
    <r>
      <rPr>
        <sz val="9"/>
        <rFont val="Microsoft Sans Serif"/>
        <charset val="134"/>
      </rPr>
      <t>PERFUME 100ML B520</t>
    </r>
  </si>
  <si>
    <r>
      <rPr>
        <sz val="8"/>
        <rFont val="Times New Roman"/>
        <charset val="134"/>
      </rPr>
      <t>HD4611</t>
    </r>
  </si>
  <si>
    <r>
      <rPr>
        <sz val="9"/>
        <rFont val="Microsoft Sans Serif"/>
        <charset val="134"/>
      </rPr>
      <t>PERFUME 100ML B581- 012</t>
    </r>
  </si>
  <si>
    <r>
      <rPr>
        <sz val="8"/>
        <rFont val="Times New Roman"/>
        <charset val="134"/>
      </rPr>
      <t>HD4612</t>
    </r>
  </si>
  <si>
    <r>
      <rPr>
        <sz val="9"/>
        <rFont val="Microsoft Sans Serif"/>
        <charset val="134"/>
      </rPr>
      <t>PERFUME 100ML B581- 013</t>
    </r>
  </si>
  <si>
    <r>
      <rPr>
        <sz val="8"/>
        <rFont val="Times New Roman"/>
        <charset val="134"/>
      </rPr>
      <t>HD4613</t>
    </r>
  </si>
  <si>
    <r>
      <rPr>
        <sz val="9"/>
        <rFont val="Microsoft Sans Serif"/>
        <charset val="134"/>
      </rPr>
      <t>PERFUME 100ML B581- 014</t>
    </r>
  </si>
  <si>
    <r>
      <rPr>
        <sz val="8"/>
        <rFont val="Times New Roman"/>
        <charset val="134"/>
      </rPr>
      <t>HD4614</t>
    </r>
  </si>
  <si>
    <r>
      <rPr>
        <sz val="9"/>
        <rFont val="Microsoft Sans Serif"/>
        <charset val="134"/>
      </rPr>
      <t>PERFUME 100ML B581- 015</t>
    </r>
  </si>
  <si>
    <r>
      <rPr>
        <sz val="8"/>
        <rFont val="Times New Roman"/>
        <charset val="134"/>
      </rPr>
      <t>HD4610</t>
    </r>
  </si>
  <si>
    <r>
      <rPr>
        <sz val="9"/>
        <rFont val="Microsoft Sans Serif"/>
        <charset val="134"/>
      </rPr>
      <t>PERFUME 100ML B581-011</t>
    </r>
  </si>
  <si>
    <r>
      <rPr>
        <sz val="8"/>
        <rFont val="Times New Roman"/>
        <charset val="134"/>
      </rPr>
      <t>HD4615</t>
    </r>
  </si>
  <si>
    <r>
      <rPr>
        <sz val="9"/>
        <rFont val="Microsoft Sans Serif"/>
        <charset val="134"/>
      </rPr>
      <t>PERFUME 100ML B581-016</t>
    </r>
  </si>
  <si>
    <r>
      <rPr>
        <sz val="8"/>
        <rFont val="Times New Roman"/>
        <charset val="134"/>
      </rPr>
      <t>HD4604</t>
    </r>
  </si>
  <si>
    <r>
      <rPr>
        <sz val="9"/>
        <rFont val="Microsoft Sans Serif"/>
        <charset val="134"/>
      </rPr>
      <t>PERFUME 100ML B582-017</t>
    </r>
  </si>
  <si>
    <r>
      <rPr>
        <sz val="8"/>
        <rFont val="Times New Roman"/>
        <charset val="134"/>
      </rPr>
      <t>HD4605</t>
    </r>
  </si>
  <si>
    <r>
      <rPr>
        <sz val="9"/>
        <rFont val="Microsoft Sans Serif"/>
        <charset val="134"/>
      </rPr>
      <t>PERFUME 100ML B582-018</t>
    </r>
  </si>
  <si>
    <r>
      <rPr>
        <sz val="8"/>
        <rFont val="Times New Roman"/>
        <charset val="134"/>
      </rPr>
      <t>HD4566</t>
    </r>
  </si>
  <si>
    <r>
      <rPr>
        <sz val="9"/>
        <rFont val="Microsoft Sans Serif"/>
        <charset val="134"/>
      </rPr>
      <t>PERFUME 100ML RS8240</t>
    </r>
  </si>
  <si>
    <r>
      <rPr>
        <sz val="8"/>
        <rFont val="Times New Roman"/>
        <charset val="134"/>
      </rPr>
      <t>HD4569</t>
    </r>
  </si>
  <si>
    <r>
      <rPr>
        <sz val="9"/>
        <rFont val="Microsoft Sans Serif"/>
        <charset val="134"/>
      </rPr>
      <t>PERFUME 100ML RS8246</t>
    </r>
  </si>
  <si>
    <r>
      <rPr>
        <sz val="8"/>
        <rFont val="Times New Roman"/>
        <charset val="134"/>
      </rPr>
      <t>HD4565</t>
    </r>
  </si>
  <si>
    <r>
      <rPr>
        <sz val="9"/>
        <rFont val="Microsoft Sans Serif"/>
        <charset val="134"/>
      </rPr>
      <t>PERFUME 100ML RS8248</t>
    </r>
  </si>
  <si>
    <r>
      <rPr>
        <sz val="8"/>
        <rFont val="Times New Roman"/>
        <charset val="134"/>
      </rPr>
      <t>HD4572</t>
    </r>
  </si>
  <si>
    <r>
      <rPr>
        <sz val="9"/>
        <rFont val="Microsoft Sans Serif"/>
        <charset val="134"/>
      </rPr>
      <t>PERFUME 30 ML RS8201 RS8202 AMARILLO</t>
    </r>
  </si>
  <si>
    <r>
      <rPr>
        <sz val="8"/>
        <rFont val="Times New Roman"/>
        <charset val="134"/>
      </rPr>
      <t>HD4574</t>
    </r>
  </si>
  <si>
    <r>
      <rPr>
        <sz val="9"/>
        <rFont val="Microsoft Sans Serif"/>
        <charset val="134"/>
      </rPr>
      <t>PERFUME 30ML RS8201 RS8202 BLANCO</t>
    </r>
  </si>
  <si>
    <r>
      <rPr>
        <sz val="8"/>
        <rFont val="Times New Roman"/>
        <charset val="134"/>
      </rPr>
      <t>HD4570</t>
    </r>
  </si>
  <si>
    <r>
      <rPr>
        <sz val="9"/>
        <rFont val="Microsoft Sans Serif"/>
        <charset val="134"/>
      </rPr>
      <t>PERFUME 30ML RS8201-RS8202 ROSA</t>
    </r>
  </si>
  <si>
    <r>
      <rPr>
        <sz val="8"/>
        <rFont val="Times New Roman"/>
        <charset val="134"/>
      </rPr>
      <t>HD4578</t>
    </r>
  </si>
  <si>
    <r>
      <rPr>
        <sz val="9"/>
        <rFont val="Microsoft Sans Serif"/>
        <charset val="134"/>
      </rPr>
      <t>PERFUME 30ML RS8203 RS8204 AMARILLO</t>
    </r>
  </si>
  <si>
    <r>
      <rPr>
        <sz val="8"/>
        <rFont val="Times New Roman"/>
        <charset val="134"/>
      </rPr>
      <t>HD4580</t>
    </r>
  </si>
  <si>
    <r>
      <rPr>
        <sz val="9"/>
        <rFont val="Microsoft Sans Serif"/>
        <charset val="134"/>
      </rPr>
      <t>PERFUME 30ML RS8203 RS8204 AZUL</t>
    </r>
  </si>
  <si>
    <r>
      <rPr>
        <sz val="8"/>
        <rFont val="Times New Roman"/>
        <charset val="134"/>
      </rPr>
      <t>HD4576</t>
    </r>
  </si>
  <si>
    <r>
      <rPr>
        <sz val="9"/>
        <rFont val="Microsoft Sans Serif"/>
        <charset val="134"/>
      </rPr>
      <t>PERFUME 30ML RS8203 RS8204 ROSA</t>
    </r>
  </si>
  <si>
    <r>
      <rPr>
        <sz val="8"/>
        <rFont val="Times New Roman"/>
        <charset val="134"/>
      </rPr>
      <t>HD4571</t>
    </r>
  </si>
  <si>
    <r>
      <rPr>
        <sz val="9"/>
        <rFont val="Microsoft Sans Serif"/>
        <charset val="134"/>
      </rPr>
      <t>PERFUME 50 ML RS8201- RS8202 ROSA</t>
    </r>
  </si>
  <si>
    <r>
      <rPr>
        <sz val="8"/>
        <rFont val="Times New Roman"/>
        <charset val="134"/>
      </rPr>
      <t>HD4573</t>
    </r>
  </si>
  <si>
    <r>
      <rPr>
        <sz val="9"/>
        <rFont val="Microsoft Sans Serif"/>
        <charset val="134"/>
      </rPr>
      <t>PERFUME 50ML RS8201 RS8202 AMARILLO</t>
    </r>
  </si>
  <si>
    <r>
      <rPr>
        <sz val="8"/>
        <rFont val="Times New Roman"/>
        <charset val="134"/>
      </rPr>
      <t>HD4575</t>
    </r>
  </si>
  <si>
    <r>
      <rPr>
        <sz val="9"/>
        <rFont val="Microsoft Sans Serif"/>
        <charset val="134"/>
      </rPr>
      <t>PERFUME 50ML RS8201 RS8202 BLANCO</t>
    </r>
  </si>
  <si>
    <r>
      <rPr>
        <sz val="8"/>
        <rFont val="Times New Roman"/>
        <charset val="134"/>
      </rPr>
      <t>HD4577</t>
    </r>
  </si>
  <si>
    <r>
      <rPr>
        <sz val="9"/>
        <rFont val="Microsoft Sans Serif"/>
        <charset val="134"/>
      </rPr>
      <t>PERFUME 50ML RS8203 RS8204 ROSA</t>
    </r>
  </si>
  <si>
    <r>
      <rPr>
        <sz val="8"/>
        <rFont val="Times New Roman"/>
        <charset val="134"/>
      </rPr>
      <t>HD4581</t>
    </r>
  </si>
  <si>
    <r>
      <rPr>
        <sz val="9"/>
        <rFont val="Microsoft Sans Serif"/>
        <charset val="134"/>
      </rPr>
      <t>PERFUME 50ML RS8203 RS8205 AZUL</t>
    </r>
  </si>
  <si>
    <r>
      <rPr>
        <sz val="8"/>
        <rFont val="Times New Roman"/>
        <charset val="134"/>
      </rPr>
      <t>HD4552</t>
    </r>
  </si>
  <si>
    <r>
      <rPr>
        <sz val="9"/>
        <rFont val="Microsoft Sans Serif"/>
        <charset val="134"/>
      </rPr>
      <t>PERFUME 50ML RS8215</t>
    </r>
  </si>
  <si>
    <r>
      <rPr>
        <sz val="8"/>
        <rFont val="Times New Roman"/>
        <charset val="134"/>
      </rPr>
      <t>HD4554</t>
    </r>
  </si>
  <si>
    <r>
      <rPr>
        <sz val="9"/>
        <rFont val="Microsoft Sans Serif"/>
        <charset val="134"/>
      </rPr>
      <t>PERFUME 50ML RS8216</t>
    </r>
  </si>
  <si>
    <r>
      <rPr>
        <sz val="8"/>
        <rFont val="Times New Roman"/>
        <charset val="134"/>
      </rPr>
      <t>HD4555</t>
    </r>
  </si>
  <si>
    <r>
      <rPr>
        <sz val="9"/>
        <rFont val="Microsoft Sans Serif"/>
        <charset val="134"/>
      </rPr>
      <t>PERFUME 50ML RS8217</t>
    </r>
  </si>
  <si>
    <t>HD4553</t>
  </si>
  <si>
    <r>
      <rPr>
        <sz val="9"/>
        <rFont val="Microsoft Sans Serif"/>
        <charset val="134"/>
      </rPr>
      <t>PERFUME 50ML RS8218</t>
    </r>
  </si>
  <si>
    <r>
      <rPr>
        <sz val="8"/>
        <rFont val="Times New Roman"/>
        <charset val="134"/>
      </rPr>
      <t>HD4549</t>
    </r>
  </si>
  <si>
    <r>
      <rPr>
        <sz val="9"/>
        <rFont val="Microsoft Sans Serif"/>
        <charset val="134"/>
      </rPr>
      <t>PERFUME 50ML RS8224</t>
    </r>
  </si>
  <si>
    <r>
      <rPr>
        <sz val="8"/>
        <rFont val="Times New Roman"/>
        <charset val="134"/>
      </rPr>
      <t>HD4550</t>
    </r>
  </si>
  <si>
    <r>
      <rPr>
        <sz val="9"/>
        <rFont val="Microsoft Sans Serif"/>
        <charset val="134"/>
      </rPr>
      <t>PERFUME 50ML RS8225</t>
    </r>
  </si>
  <si>
    <r>
      <rPr>
        <sz val="8"/>
        <rFont val="Times New Roman"/>
        <charset val="134"/>
      </rPr>
      <t>HD4556</t>
    </r>
  </si>
  <si>
    <r>
      <rPr>
        <sz val="9"/>
        <rFont val="Microsoft Sans Serif"/>
        <charset val="134"/>
      </rPr>
      <t>PERFUME 50ML RS8226</t>
    </r>
  </si>
  <si>
    <r>
      <rPr>
        <sz val="8"/>
        <rFont val="Times New Roman"/>
        <charset val="134"/>
      </rPr>
      <t>HD4543</t>
    </r>
  </si>
  <si>
    <r>
      <rPr>
        <sz val="9"/>
        <rFont val="Microsoft Sans Serif"/>
        <charset val="134"/>
      </rPr>
      <t>PERFUME 50ML RS8229</t>
    </r>
  </si>
  <si>
    <r>
      <rPr>
        <sz val="8"/>
        <rFont val="Times New Roman"/>
        <charset val="134"/>
      </rPr>
      <t>HD4544</t>
    </r>
  </si>
  <si>
    <r>
      <rPr>
        <sz val="9"/>
        <rFont val="Microsoft Sans Serif"/>
        <charset val="134"/>
      </rPr>
      <t>PERFUME 50ML RS8230</t>
    </r>
  </si>
  <si>
    <r>
      <rPr>
        <sz val="8"/>
        <rFont val="Times New Roman"/>
        <charset val="134"/>
      </rPr>
      <t>HD4546</t>
    </r>
  </si>
  <si>
    <r>
      <rPr>
        <sz val="9"/>
        <rFont val="Microsoft Sans Serif"/>
        <charset val="134"/>
      </rPr>
      <t>PERFUME 50ML RS8232</t>
    </r>
  </si>
  <si>
    <r>
      <rPr>
        <sz val="8"/>
        <rFont val="Times New Roman"/>
        <charset val="134"/>
      </rPr>
      <t>HD4547</t>
    </r>
  </si>
  <si>
    <r>
      <rPr>
        <sz val="9"/>
        <rFont val="Microsoft Sans Serif"/>
        <charset val="134"/>
      </rPr>
      <t>PERFUME 50ML RS8233</t>
    </r>
  </si>
  <si>
    <r>
      <rPr>
        <sz val="8"/>
        <rFont val="Times New Roman"/>
        <charset val="134"/>
      </rPr>
      <t>HD4568</t>
    </r>
  </si>
  <si>
    <r>
      <rPr>
        <sz val="9"/>
        <rFont val="Microsoft Sans Serif"/>
        <charset val="134"/>
      </rPr>
      <t>PERFUME 50ML RS8236</t>
    </r>
  </si>
  <si>
    <r>
      <rPr>
        <sz val="8"/>
        <rFont val="Times New Roman"/>
        <charset val="134"/>
      </rPr>
      <t>HD4562</t>
    </r>
  </si>
  <si>
    <r>
      <rPr>
        <sz val="9"/>
        <rFont val="Microsoft Sans Serif"/>
        <charset val="134"/>
      </rPr>
      <t>PERFUME 50ML RS8237</t>
    </r>
  </si>
  <si>
    <r>
      <rPr>
        <sz val="8"/>
        <rFont val="Times New Roman"/>
        <charset val="134"/>
      </rPr>
      <t>HD4560</t>
    </r>
  </si>
  <si>
    <r>
      <rPr>
        <sz val="9"/>
        <rFont val="Microsoft Sans Serif"/>
        <charset val="134"/>
      </rPr>
      <t>PERFUME 80ML RS8222</t>
    </r>
  </si>
  <si>
    <r>
      <rPr>
        <sz val="8"/>
        <rFont val="Times New Roman"/>
        <charset val="134"/>
      </rPr>
      <t>HD4561</t>
    </r>
  </si>
  <si>
    <r>
      <rPr>
        <sz val="9"/>
        <rFont val="Microsoft Sans Serif"/>
        <charset val="134"/>
      </rPr>
      <t>PERFUME 80ML RSS8223</t>
    </r>
  </si>
  <si>
    <r>
      <rPr>
        <sz val="8"/>
        <rFont val="Times New Roman"/>
        <charset val="134"/>
      </rPr>
      <t>HD3374</t>
    </r>
  </si>
  <si>
    <r>
      <rPr>
        <sz val="9"/>
        <rFont val="Microsoft Sans Serif"/>
        <charset val="134"/>
      </rPr>
      <t>PERFUME B453 B454 HD4583</t>
    </r>
  </si>
  <si>
    <r>
      <rPr>
        <sz val="8"/>
        <rFont val="Times New Roman"/>
        <charset val="134"/>
      </rPr>
      <t>HD4587</t>
    </r>
  </si>
  <si>
    <r>
      <rPr>
        <sz val="9"/>
        <rFont val="Microsoft Sans Serif"/>
        <charset val="134"/>
      </rPr>
      <t>PERFUME SW005 PERFUME 6 PZS</t>
    </r>
  </si>
  <si>
    <r>
      <rPr>
        <sz val="8"/>
        <rFont val="Times New Roman"/>
        <charset val="134"/>
      </rPr>
      <t>HD261</t>
    </r>
  </si>
  <si>
    <r>
      <rPr>
        <sz val="9"/>
        <rFont val="Microsoft Sans Serif"/>
        <charset val="134"/>
      </rPr>
      <t>PERLITAS DECORATIVAS</t>
    </r>
  </si>
  <si>
    <r>
      <rPr>
        <sz val="8"/>
        <rFont val="Times New Roman"/>
        <charset val="134"/>
      </rPr>
      <t>HD586</t>
    </r>
  </si>
  <si>
    <r>
      <rPr>
        <sz val="9"/>
        <rFont val="Microsoft Sans Serif"/>
        <charset val="134"/>
      </rPr>
      <t>PESTAÑAS POS 6D02</t>
    </r>
  </si>
  <si>
    <r>
      <rPr>
        <sz val="8"/>
        <rFont val="Times New Roman"/>
        <charset val="134"/>
      </rPr>
      <t>HD572</t>
    </r>
  </si>
  <si>
    <r>
      <rPr>
        <sz val="9"/>
        <rFont val="Microsoft Sans Serif"/>
        <charset val="134"/>
      </rPr>
      <t>PESTAÑAS POS 6D04</t>
    </r>
  </si>
  <si>
    <r>
      <rPr>
        <sz val="8"/>
        <rFont val="Times New Roman"/>
        <charset val="134"/>
      </rPr>
      <t>HD571</t>
    </r>
  </si>
  <si>
    <r>
      <rPr>
        <sz val="9"/>
        <rFont val="Microsoft Sans Serif"/>
        <charset val="134"/>
      </rPr>
      <t>PESTAÑAS POS BF83</t>
    </r>
  </si>
  <si>
    <r>
      <rPr>
        <sz val="8"/>
        <rFont val="Times New Roman"/>
        <charset val="134"/>
      </rPr>
      <t>HD570</t>
    </r>
  </si>
  <si>
    <r>
      <rPr>
        <sz val="9"/>
        <rFont val="Microsoft Sans Serif"/>
        <charset val="134"/>
      </rPr>
      <t>PESTAÑAS POSTIZAS BF13</t>
    </r>
  </si>
  <si>
    <r>
      <rPr>
        <sz val="8"/>
        <rFont val="Times New Roman"/>
        <charset val="134"/>
      </rPr>
      <t>RFD339990</t>
    </r>
  </si>
  <si>
    <r>
      <rPr>
        <sz val="9"/>
        <rFont val="Microsoft Sans Serif"/>
        <charset val="134"/>
      </rPr>
      <t>PHONE TOUCH JUGUETES</t>
    </r>
  </si>
  <si>
    <r>
      <rPr>
        <sz val="8"/>
        <rFont val="Times New Roman"/>
        <charset val="134"/>
      </rPr>
      <t>HD4079</t>
    </r>
  </si>
  <si>
    <r>
      <rPr>
        <sz val="9"/>
        <rFont val="Microsoft Sans Serif"/>
        <charset val="134"/>
      </rPr>
      <t>PICA TODO</t>
    </r>
  </si>
  <si>
    <r>
      <rPr>
        <sz val="8"/>
        <rFont val="Times New Roman"/>
        <charset val="134"/>
      </rPr>
      <t>HD1633</t>
    </r>
  </si>
  <si>
    <r>
      <rPr>
        <sz val="9"/>
        <rFont val="Microsoft Sans Serif"/>
        <charset val="134"/>
      </rPr>
      <t>PICATODO CK/FB010 CHINA</t>
    </r>
  </si>
  <si>
    <r>
      <rPr>
        <sz val="8"/>
        <rFont val="Times New Roman"/>
        <charset val="134"/>
      </rPr>
      <t>EX0007</t>
    </r>
  </si>
  <si>
    <r>
      <rPr>
        <sz val="9"/>
        <rFont val="Microsoft Sans Serif"/>
        <charset val="134"/>
      </rPr>
      <t>PILA AAA GOLDEN POWER</t>
    </r>
  </si>
  <si>
    <r>
      <rPr>
        <sz val="9"/>
        <rFont val="Microsoft Sans Serif"/>
        <charset val="134"/>
      </rPr>
      <t>PILAS 2 A</t>
    </r>
  </si>
  <si>
    <r>
      <rPr>
        <sz val="9"/>
        <rFont val="Microsoft Sans Serif"/>
        <charset val="134"/>
      </rPr>
      <t>PILAS 3 A</t>
    </r>
  </si>
  <si>
    <r>
      <rPr>
        <sz val="8"/>
        <rFont val="Times New Roman"/>
        <charset val="134"/>
      </rPr>
      <t>EX0008</t>
    </r>
  </si>
  <si>
    <r>
      <rPr>
        <sz val="9"/>
        <rFont val="Microsoft Sans Serif"/>
        <charset val="134"/>
      </rPr>
      <t>PILAS AA GOLDEN POWER</t>
    </r>
  </si>
  <si>
    <r>
      <rPr>
        <sz val="8"/>
        <rFont val="Times New Roman"/>
        <charset val="134"/>
      </rPr>
      <t>RFD432603</t>
    </r>
  </si>
  <si>
    <r>
      <rPr>
        <sz val="9"/>
        <rFont val="Microsoft Sans Serif"/>
        <charset val="134"/>
      </rPr>
      <t>PINGUIN VARIOS JUGUETES</t>
    </r>
  </si>
  <si>
    <r>
      <rPr>
        <sz val="8"/>
        <rFont val="Times New Roman"/>
        <charset val="134"/>
      </rPr>
      <t>RFD323641</t>
    </r>
  </si>
  <si>
    <r>
      <rPr>
        <sz val="9"/>
        <rFont val="Microsoft Sans Serif"/>
        <charset val="134"/>
      </rPr>
      <t>PINK BULL BIBI PLACATE</t>
    </r>
  </si>
  <si>
    <r>
      <rPr>
        <sz val="8"/>
        <rFont val="Times New Roman"/>
        <charset val="134"/>
      </rPr>
      <t>HD6931</t>
    </r>
  </si>
  <si>
    <r>
      <rPr>
        <sz val="9"/>
        <rFont val="Microsoft Sans Serif"/>
        <charset val="134"/>
      </rPr>
      <t>PINZA HD 223</t>
    </r>
  </si>
  <si>
    <r>
      <rPr>
        <sz val="8"/>
        <rFont val="Times New Roman"/>
        <charset val="134"/>
      </rPr>
      <t>HD3757</t>
    </r>
  </si>
  <si>
    <r>
      <rPr>
        <sz val="9"/>
        <rFont val="Microsoft Sans Serif"/>
        <charset val="134"/>
      </rPr>
      <t>PISCINA 56493 HD 191x178x61</t>
    </r>
  </si>
  <si>
    <r>
      <rPr>
        <sz val="8"/>
        <rFont val="Times New Roman"/>
        <charset val="134"/>
      </rPr>
      <t>HD3741</t>
    </r>
  </si>
  <si>
    <r>
      <rPr>
        <sz val="9"/>
        <rFont val="Microsoft Sans Serif"/>
        <charset val="134"/>
      </rPr>
      <t>PISCINA INFLABLE 58448 HD 168x38CM</t>
    </r>
  </si>
  <si>
    <r>
      <rPr>
        <sz val="8"/>
        <rFont val="Times New Roman"/>
        <charset val="134"/>
      </rPr>
      <t>HD3454</t>
    </r>
  </si>
  <si>
    <r>
      <rPr>
        <sz val="9"/>
        <rFont val="Microsoft Sans Serif"/>
        <charset val="134"/>
      </rPr>
      <t>PISCINA PELOTA GRAND 995-7047A HD</t>
    </r>
  </si>
  <si>
    <r>
      <rPr>
        <sz val="8"/>
        <rFont val="Times New Roman"/>
        <charset val="134"/>
      </rPr>
      <t>HD3453</t>
    </r>
  </si>
  <si>
    <r>
      <rPr>
        <sz val="9"/>
        <rFont val="Microsoft Sans Serif"/>
        <charset val="134"/>
      </rPr>
      <t>PISCINA PELOTA PEQUEÑA HD</t>
    </r>
  </si>
  <si>
    <r>
      <rPr>
        <sz val="8"/>
        <rFont val="Times New Roman"/>
        <charset val="134"/>
      </rPr>
      <t>RFD285525</t>
    </r>
  </si>
  <si>
    <r>
      <rPr>
        <sz val="9"/>
        <rFont val="Microsoft Sans Serif"/>
        <charset val="134"/>
      </rPr>
      <t>PISTOLA DE AGUA CH</t>
    </r>
  </si>
  <si>
    <r>
      <rPr>
        <sz val="8"/>
        <rFont val="Times New Roman"/>
        <charset val="134"/>
      </rPr>
      <t>RFD285522</t>
    </r>
  </si>
  <si>
    <r>
      <rPr>
        <sz val="9"/>
        <rFont val="Microsoft Sans Serif"/>
        <charset val="134"/>
      </rPr>
      <t>PISTOLA DE FUERZA LUZ SONID 6PCS</t>
    </r>
  </si>
  <si>
    <r>
      <rPr>
        <sz val="8"/>
        <rFont val="Times New Roman"/>
        <charset val="134"/>
      </rPr>
      <t>HD884</t>
    </r>
  </si>
  <si>
    <r>
      <rPr>
        <sz val="9"/>
        <rFont val="Microsoft Sans Serif"/>
        <charset val="134"/>
      </rPr>
      <t>PITOS SENCILLOS WJ/012 BT</t>
    </r>
  </si>
  <si>
    <r>
      <rPr>
        <sz val="8"/>
        <rFont val="Times New Roman"/>
        <charset val="134"/>
      </rPr>
      <t>HD3630</t>
    </r>
  </si>
  <si>
    <r>
      <rPr>
        <sz val="9"/>
        <rFont val="Microsoft Sans Serif"/>
        <charset val="134"/>
      </rPr>
      <t>PIZARRA TK206 HD</t>
    </r>
  </si>
  <si>
    <r>
      <rPr>
        <sz val="8"/>
        <rFont val="Times New Roman"/>
        <charset val="134"/>
      </rPr>
      <t>HD3632-1</t>
    </r>
  </si>
  <si>
    <r>
      <rPr>
        <sz val="9"/>
        <rFont val="Microsoft Sans Serif"/>
        <charset val="134"/>
      </rPr>
      <t>PIZARRA TK901 HD</t>
    </r>
  </si>
  <si>
    <r>
      <rPr>
        <sz val="8"/>
        <rFont val="Times New Roman"/>
        <charset val="134"/>
      </rPr>
      <t>RFD323656</t>
    </r>
  </si>
  <si>
    <r>
      <rPr>
        <sz val="9"/>
        <rFont val="Microsoft Sans Serif"/>
        <charset val="134"/>
      </rPr>
      <t>PLACATE BULL PINK</t>
    </r>
  </si>
  <si>
    <r>
      <rPr>
        <sz val="8"/>
        <rFont val="Times New Roman"/>
        <charset val="134"/>
      </rPr>
      <t>HD4196</t>
    </r>
  </si>
  <si>
    <r>
      <rPr>
        <sz val="9"/>
        <rFont val="Microsoft Sans Serif"/>
        <charset val="134"/>
      </rPr>
      <t>PLANCHA DE CABELLO HD GW-7668</t>
    </r>
  </si>
  <si>
    <r>
      <rPr>
        <sz val="8"/>
        <rFont val="Times New Roman"/>
        <charset val="134"/>
      </rPr>
      <t>HD2012</t>
    </r>
  </si>
  <si>
    <r>
      <rPr>
        <sz val="9"/>
        <rFont val="Microsoft Sans Serif"/>
        <charset val="134"/>
      </rPr>
      <t>PLASTICO CHINA 2012</t>
    </r>
  </si>
  <si>
    <r>
      <rPr>
        <sz val="8"/>
        <rFont val="Times New Roman"/>
        <charset val="134"/>
      </rPr>
      <t>HD3633</t>
    </r>
  </si>
  <si>
    <r>
      <rPr>
        <sz val="9"/>
        <rFont val="Microsoft Sans Serif"/>
        <charset val="134"/>
      </rPr>
      <t>PLAY DOUGH HD PVC 7702</t>
    </r>
  </si>
  <si>
    <r>
      <rPr>
        <sz val="8"/>
        <rFont val="Times New Roman"/>
        <charset val="134"/>
      </rPr>
      <t>RFD438592</t>
    </r>
  </si>
  <si>
    <r>
      <rPr>
        <sz val="9"/>
        <rFont val="Microsoft Sans Serif"/>
        <charset val="134"/>
      </rPr>
      <t>PLAY TE FLOWER</t>
    </r>
  </si>
  <si>
    <r>
      <rPr>
        <sz val="8"/>
        <rFont val="Times New Roman"/>
        <charset val="134"/>
      </rPr>
      <t>HD4039</t>
    </r>
  </si>
  <si>
    <r>
      <rPr>
        <sz val="9"/>
        <rFont val="Microsoft Sans Serif"/>
        <charset val="134"/>
      </rPr>
      <t>PLAYO ALICATE HERRAMIENTA HD K-502</t>
    </r>
  </si>
  <si>
    <r>
      <rPr>
        <sz val="9"/>
        <rFont val="Microsoft Sans Serif"/>
        <charset val="134"/>
      </rPr>
      <t>PLUMAS AA934</t>
    </r>
  </si>
  <si>
    <r>
      <rPr>
        <sz val="8"/>
        <rFont val="Times New Roman"/>
        <charset val="134"/>
      </rPr>
      <t>HD3184</t>
    </r>
  </si>
  <si>
    <r>
      <rPr>
        <sz val="9"/>
        <rFont val="Microsoft Sans Serif"/>
        <charset val="134"/>
      </rPr>
      <t>PONY CRITAL 05/2021</t>
    </r>
  </si>
  <si>
    <r>
      <rPr>
        <sz val="8"/>
        <rFont val="Times New Roman"/>
        <charset val="134"/>
      </rPr>
      <t>HD4211</t>
    </r>
  </si>
  <si>
    <r>
      <rPr>
        <sz val="9"/>
        <rFont val="Microsoft Sans Serif"/>
        <charset val="134"/>
      </rPr>
      <t>POP IT CARTERA HD</t>
    </r>
  </si>
  <si>
    <r>
      <rPr>
        <sz val="8"/>
        <rFont val="Times New Roman"/>
        <charset val="134"/>
      </rPr>
      <t>HD4216</t>
    </r>
  </si>
  <si>
    <r>
      <rPr>
        <sz val="9"/>
        <rFont val="Microsoft Sans Serif"/>
        <charset val="134"/>
      </rPr>
      <t>POP IT CARTERA HD MODELOS VARIOS</t>
    </r>
  </si>
  <si>
    <r>
      <rPr>
        <sz val="8"/>
        <rFont val="Times New Roman"/>
        <charset val="134"/>
      </rPr>
      <t>HD4208</t>
    </r>
  </si>
  <si>
    <r>
      <rPr>
        <sz val="9"/>
        <rFont val="Microsoft Sans Serif"/>
        <charset val="134"/>
      </rPr>
      <t>POP IT CARTERA HD VARIAS FORMAS</t>
    </r>
  </si>
  <si>
    <r>
      <rPr>
        <sz val="8"/>
        <rFont val="Times New Roman"/>
        <charset val="134"/>
      </rPr>
      <t>HD4212</t>
    </r>
  </si>
  <si>
    <r>
      <rPr>
        <sz val="9"/>
        <rFont val="Microsoft Sans Serif"/>
        <charset val="134"/>
      </rPr>
      <t>POP IT CARTERA HD.</t>
    </r>
  </si>
  <si>
    <r>
      <rPr>
        <sz val="8"/>
        <rFont val="Times New Roman"/>
        <charset val="134"/>
      </rPr>
      <t>HD4213</t>
    </r>
  </si>
  <si>
    <r>
      <rPr>
        <sz val="9"/>
        <rFont val="Microsoft Sans Serif"/>
        <charset val="134"/>
      </rPr>
      <t>POP IT CARTERA HD..</t>
    </r>
  </si>
  <si>
    <r>
      <rPr>
        <sz val="8"/>
        <rFont val="Times New Roman"/>
        <charset val="134"/>
      </rPr>
      <t>HD4203</t>
    </r>
  </si>
  <si>
    <r>
      <rPr>
        <sz val="9"/>
        <rFont val="Microsoft Sans Serif"/>
        <charset val="134"/>
      </rPr>
      <t>POP IT CARTERA HD…</t>
    </r>
  </si>
  <si>
    <r>
      <rPr>
        <sz val="8"/>
        <rFont val="Times New Roman"/>
        <charset val="134"/>
      </rPr>
      <t>HD4204</t>
    </r>
  </si>
  <si>
    <r>
      <rPr>
        <sz val="9"/>
        <rFont val="Microsoft Sans Serif"/>
        <charset val="134"/>
      </rPr>
      <t>POP IT CARTERA HD….</t>
    </r>
  </si>
  <si>
    <r>
      <rPr>
        <sz val="8"/>
        <rFont val="Times New Roman"/>
        <charset val="134"/>
      </rPr>
      <t>HD4205</t>
    </r>
  </si>
  <si>
    <r>
      <rPr>
        <sz val="9"/>
        <rFont val="Microsoft Sans Serif"/>
        <charset val="134"/>
      </rPr>
      <t>POP IT CARTERA HD…..</t>
    </r>
  </si>
  <si>
    <r>
      <rPr>
        <sz val="8"/>
        <rFont val="Times New Roman"/>
        <charset val="134"/>
      </rPr>
      <t>HD4207</t>
    </r>
  </si>
  <si>
    <r>
      <rPr>
        <sz val="9"/>
        <rFont val="Microsoft Sans Serif"/>
        <charset val="134"/>
      </rPr>
      <t>POP IT CARTERA HD……</t>
    </r>
  </si>
  <si>
    <r>
      <rPr>
        <sz val="8"/>
        <rFont val="Times New Roman"/>
        <charset val="134"/>
      </rPr>
      <t>HD4279</t>
    </r>
  </si>
  <si>
    <r>
      <rPr>
        <sz val="9"/>
        <rFont val="Microsoft Sans Serif"/>
        <charset val="134"/>
      </rPr>
      <t>POP IT CIRCULO HD</t>
    </r>
  </si>
  <si>
    <r>
      <rPr>
        <sz val="8"/>
        <rFont val="Times New Roman"/>
        <charset val="134"/>
      </rPr>
      <t>HD4280</t>
    </r>
  </si>
  <si>
    <r>
      <rPr>
        <sz val="9"/>
        <rFont val="Microsoft Sans Serif"/>
        <charset val="134"/>
      </rPr>
      <t>POP IT CORAZON HD</t>
    </r>
  </si>
  <si>
    <r>
      <rPr>
        <sz val="8"/>
        <rFont val="Times New Roman"/>
        <charset val="134"/>
      </rPr>
      <t>HD4278</t>
    </r>
  </si>
  <si>
    <r>
      <rPr>
        <sz val="9"/>
        <rFont val="Microsoft Sans Serif"/>
        <charset val="134"/>
      </rPr>
      <t>POP IT INSECTO HD</t>
    </r>
  </si>
  <si>
    <r>
      <rPr>
        <sz val="8"/>
        <rFont val="Times New Roman"/>
        <charset val="134"/>
      </rPr>
      <t>HD4277</t>
    </r>
  </si>
  <si>
    <r>
      <rPr>
        <sz val="9"/>
        <rFont val="Microsoft Sans Serif"/>
        <charset val="134"/>
      </rPr>
      <t>POP IT MANZANA HD</t>
    </r>
  </si>
  <si>
    <r>
      <rPr>
        <sz val="8"/>
        <rFont val="Times New Roman"/>
        <charset val="134"/>
      </rPr>
      <t>HD1692</t>
    </r>
  </si>
  <si>
    <r>
      <rPr>
        <sz val="9"/>
        <rFont val="Microsoft Sans Serif"/>
        <charset val="134"/>
      </rPr>
      <t>PORCELANA CISNE</t>
    </r>
  </si>
  <si>
    <r>
      <rPr>
        <sz val="8"/>
        <rFont val="Times New Roman"/>
        <charset val="134"/>
      </rPr>
      <t>HD2200</t>
    </r>
  </si>
  <si>
    <r>
      <rPr>
        <sz val="9"/>
        <rFont val="Microsoft Sans Serif"/>
        <charset val="134"/>
      </rPr>
      <t>PORTA CELULAR VIP GRANDE</t>
    </r>
  </si>
  <si>
    <r>
      <rPr>
        <sz val="8"/>
        <rFont val="Times New Roman"/>
        <charset val="134"/>
      </rPr>
      <t>HD364</t>
    </r>
  </si>
  <si>
    <r>
      <rPr>
        <sz val="9"/>
        <rFont val="Microsoft Sans Serif"/>
        <charset val="134"/>
      </rPr>
      <t>PORTA CELULAR VIP PEQ</t>
    </r>
  </si>
  <si>
    <r>
      <rPr>
        <sz val="8"/>
        <rFont val="Times New Roman"/>
        <charset val="134"/>
      </rPr>
      <t>HD879</t>
    </r>
  </si>
  <si>
    <r>
      <rPr>
        <sz val="9"/>
        <rFont val="Microsoft Sans Serif"/>
        <charset val="134"/>
      </rPr>
      <t>PORTA CELULAR_POPSOCKET RING STAND CHINA</t>
    </r>
  </si>
  <si>
    <r>
      <rPr>
        <sz val="8"/>
        <rFont val="Times New Roman"/>
        <charset val="134"/>
      </rPr>
      <t>HD878</t>
    </r>
  </si>
  <si>
    <r>
      <rPr>
        <sz val="9"/>
        <rFont val="Microsoft Sans Serif"/>
        <charset val="134"/>
      </rPr>
      <t>PORTA CELULAR_POPSOCKET WJ/006 CHINA</t>
    </r>
  </si>
  <si>
    <r>
      <rPr>
        <sz val="8"/>
        <rFont val="Times New Roman"/>
        <charset val="134"/>
      </rPr>
      <t>HD7881</t>
    </r>
  </si>
  <si>
    <r>
      <rPr>
        <sz val="9"/>
        <rFont val="Microsoft Sans Serif"/>
        <charset val="134"/>
      </rPr>
      <t>PORTA CEPILLO BAMBOO</t>
    </r>
  </si>
  <si>
    <r>
      <rPr>
        <sz val="8"/>
        <rFont val="Times New Roman"/>
        <charset val="134"/>
      </rPr>
      <t>HD4002</t>
    </r>
  </si>
  <si>
    <r>
      <rPr>
        <sz val="9"/>
        <rFont val="Microsoft Sans Serif"/>
        <charset val="134"/>
      </rPr>
      <t>PORTA CEPILLO HD</t>
    </r>
  </si>
  <si>
    <r>
      <rPr>
        <sz val="8"/>
        <rFont val="Times New Roman"/>
        <charset val="134"/>
      </rPr>
      <t>HD4015</t>
    </r>
  </si>
  <si>
    <r>
      <rPr>
        <sz val="9"/>
        <rFont val="Microsoft Sans Serif"/>
        <charset val="134"/>
      </rPr>
      <t>PORTA CEPILLO HD.</t>
    </r>
  </si>
  <si>
    <r>
      <rPr>
        <sz val="8"/>
        <rFont val="Times New Roman"/>
        <charset val="134"/>
      </rPr>
      <t>HD4016</t>
    </r>
  </si>
  <si>
    <r>
      <rPr>
        <sz val="9"/>
        <rFont val="Microsoft Sans Serif"/>
        <charset val="134"/>
      </rPr>
      <t>PORTA CEPILLO HD..</t>
    </r>
  </si>
  <si>
    <r>
      <rPr>
        <sz val="8"/>
        <rFont val="Times New Roman"/>
        <charset val="134"/>
      </rPr>
      <t>HD4017</t>
    </r>
  </si>
  <si>
    <r>
      <rPr>
        <sz val="9"/>
        <rFont val="Microsoft Sans Serif"/>
        <charset val="134"/>
      </rPr>
      <t>PORTA CEPILLO HD…</t>
    </r>
  </si>
  <si>
    <r>
      <rPr>
        <sz val="8"/>
        <rFont val="Times New Roman"/>
        <charset val="134"/>
      </rPr>
      <t>HD7110</t>
    </r>
  </si>
  <si>
    <r>
      <rPr>
        <sz val="9"/>
        <rFont val="Microsoft Sans Serif"/>
        <charset val="134"/>
      </rPr>
      <t>PORTA CEPILLO OVALADO</t>
    </r>
  </si>
  <si>
    <r>
      <rPr>
        <sz val="8"/>
        <rFont val="Times New Roman"/>
        <charset val="134"/>
      </rPr>
      <t>EX0020</t>
    </r>
  </si>
  <si>
    <r>
      <rPr>
        <sz val="9"/>
        <rFont val="Microsoft Sans Serif"/>
        <charset val="134"/>
      </rPr>
      <t>PORTA MINA</t>
    </r>
  </si>
  <si>
    <r>
      <rPr>
        <sz val="8"/>
        <rFont val="Times New Roman"/>
        <charset val="134"/>
      </rPr>
      <t>HD3215</t>
    </r>
  </si>
  <si>
    <r>
      <rPr>
        <sz val="9"/>
        <rFont val="Microsoft Sans Serif"/>
        <charset val="134"/>
      </rPr>
      <t>PORTA PAPELERIA COLOR MORADO</t>
    </r>
  </si>
  <si>
    <r>
      <rPr>
        <sz val="8"/>
        <rFont val="Times New Roman"/>
        <charset val="134"/>
      </rPr>
      <t>HD5201</t>
    </r>
  </si>
  <si>
    <r>
      <rPr>
        <sz val="9"/>
        <rFont val="Microsoft Sans Serif"/>
        <charset val="134"/>
      </rPr>
      <t>PORTA RETRATO BASE CHINA</t>
    </r>
  </si>
  <si>
    <r>
      <rPr>
        <sz val="8"/>
        <rFont val="Times New Roman"/>
        <charset val="134"/>
      </rPr>
      <t>HD3450</t>
    </r>
  </si>
  <si>
    <r>
      <rPr>
        <sz val="9"/>
        <rFont val="Microsoft Sans Serif"/>
        <charset val="134"/>
      </rPr>
      <t>PORTABLE BABY 66501 HD</t>
    </r>
  </si>
  <si>
    <r>
      <rPr>
        <sz val="8"/>
        <rFont val="Times New Roman"/>
        <charset val="134"/>
      </rPr>
      <t>HD3028</t>
    </r>
  </si>
  <si>
    <r>
      <rPr>
        <sz val="9"/>
        <rFont val="Microsoft Sans Serif"/>
        <charset val="134"/>
      </rPr>
      <t>PORTACELULAR CHINA3028</t>
    </r>
  </si>
  <si>
    <r>
      <rPr>
        <sz val="8"/>
        <rFont val="Times New Roman"/>
        <charset val="134"/>
      </rPr>
      <t>HD5202</t>
    </r>
  </si>
  <si>
    <r>
      <rPr>
        <sz val="9"/>
        <rFont val="Microsoft Sans Serif"/>
        <charset val="134"/>
      </rPr>
      <t>PORTARETRATO CHINA</t>
    </r>
  </si>
  <si>
    <r>
      <rPr>
        <sz val="8"/>
        <rFont val="Times New Roman"/>
        <charset val="134"/>
      </rPr>
      <t>HD5203</t>
    </r>
  </si>
  <si>
    <r>
      <rPr>
        <sz val="9"/>
        <rFont val="Microsoft Sans Serif"/>
        <charset val="134"/>
      </rPr>
      <t>PORTARETRATO CHINA.</t>
    </r>
  </si>
  <si>
    <r>
      <rPr>
        <sz val="8"/>
        <rFont val="Times New Roman"/>
        <charset val="134"/>
      </rPr>
      <t>HD5204</t>
    </r>
  </si>
  <si>
    <r>
      <rPr>
        <sz val="9"/>
        <rFont val="Microsoft Sans Serif"/>
        <charset val="134"/>
      </rPr>
      <t>PORTARETRATO CHINA..</t>
    </r>
  </si>
  <si>
    <r>
      <rPr>
        <sz val="8"/>
        <rFont val="Times New Roman"/>
        <charset val="134"/>
      </rPr>
      <t>HD5214</t>
    </r>
  </si>
  <si>
    <r>
      <rPr>
        <sz val="9"/>
        <rFont val="Microsoft Sans Serif"/>
        <charset val="134"/>
      </rPr>
      <t>PORTARETRATO CHINA/.</t>
    </r>
  </si>
  <si>
    <r>
      <rPr>
        <sz val="8"/>
        <rFont val="Times New Roman"/>
        <charset val="134"/>
      </rPr>
      <t>HD5215</t>
    </r>
  </si>
  <si>
    <r>
      <rPr>
        <sz val="9"/>
        <rFont val="Microsoft Sans Serif"/>
        <charset val="134"/>
      </rPr>
      <t>PORTARETRATO CHINA/..</t>
    </r>
  </si>
  <si>
    <r>
      <rPr>
        <sz val="8"/>
        <rFont val="Times New Roman"/>
        <charset val="134"/>
      </rPr>
      <t>HD5216</t>
    </r>
  </si>
  <si>
    <r>
      <rPr>
        <sz val="9"/>
        <rFont val="Microsoft Sans Serif"/>
        <charset val="134"/>
      </rPr>
      <t>PORTARETRATO CHINA/…</t>
    </r>
  </si>
  <si>
    <r>
      <rPr>
        <sz val="8"/>
        <rFont val="Times New Roman"/>
        <charset val="134"/>
      </rPr>
      <t>HD5205</t>
    </r>
  </si>
  <si>
    <r>
      <rPr>
        <sz val="9"/>
        <rFont val="Microsoft Sans Serif"/>
        <charset val="134"/>
      </rPr>
      <t>PORTARETRATO CHINA…</t>
    </r>
  </si>
  <si>
    <r>
      <rPr>
        <sz val="8"/>
        <rFont val="Times New Roman"/>
        <charset val="134"/>
      </rPr>
      <t>HD5207</t>
    </r>
  </si>
  <si>
    <r>
      <rPr>
        <sz val="9"/>
        <rFont val="Microsoft Sans Serif"/>
        <charset val="134"/>
      </rPr>
      <t>PORTARETRATO CHINA….</t>
    </r>
  </si>
  <si>
    <r>
      <rPr>
        <sz val="8"/>
        <rFont val="Times New Roman"/>
        <charset val="134"/>
      </rPr>
      <t>HD5211</t>
    </r>
  </si>
  <si>
    <r>
      <rPr>
        <sz val="9"/>
        <rFont val="Microsoft Sans Serif"/>
        <charset val="134"/>
      </rPr>
      <t>PORTARETRATO CHINA…..</t>
    </r>
  </si>
  <si>
    <r>
      <rPr>
        <sz val="8"/>
        <rFont val="Times New Roman"/>
        <charset val="134"/>
      </rPr>
      <t>HD5212</t>
    </r>
  </si>
  <si>
    <r>
      <rPr>
        <sz val="9"/>
        <rFont val="Microsoft Sans Serif"/>
        <charset val="134"/>
      </rPr>
      <t>PORTARETRATO CHINA……</t>
    </r>
  </si>
  <si>
    <r>
      <rPr>
        <sz val="8"/>
        <rFont val="Times New Roman"/>
        <charset val="134"/>
      </rPr>
      <t>HD3141</t>
    </r>
  </si>
  <si>
    <r>
      <rPr>
        <sz val="9"/>
        <rFont val="Microsoft Sans Serif"/>
        <charset val="134"/>
      </rPr>
      <t>POSA VASO CUADRADO 05/2021</t>
    </r>
  </si>
  <si>
    <r>
      <rPr>
        <sz val="8"/>
        <rFont val="Times New Roman"/>
        <charset val="134"/>
      </rPr>
      <t>HD3140</t>
    </r>
  </si>
  <si>
    <r>
      <rPr>
        <sz val="9"/>
        <rFont val="Microsoft Sans Serif"/>
        <charset val="134"/>
      </rPr>
      <t>POSA VASO REDONDO 05/2021</t>
    </r>
  </si>
  <si>
    <r>
      <rPr>
        <sz val="8"/>
        <rFont val="Times New Roman"/>
        <charset val="134"/>
      </rPr>
      <t>HD3269</t>
    </r>
  </si>
  <si>
    <r>
      <rPr>
        <sz val="9"/>
        <rFont val="Microsoft Sans Serif"/>
        <charset val="134"/>
      </rPr>
      <t>POSTE DOBLE PERCHA 05/2021</t>
    </r>
  </si>
  <si>
    <r>
      <rPr>
        <sz val="8"/>
        <rFont val="Times New Roman"/>
        <charset val="134"/>
      </rPr>
      <t>HD4234</t>
    </r>
  </si>
  <si>
    <r>
      <rPr>
        <sz val="9"/>
        <rFont val="Microsoft Sans Serif"/>
        <charset val="134"/>
      </rPr>
      <t>PRECIOS PEGATINA HD</t>
    </r>
  </si>
  <si>
    <r>
      <rPr>
        <sz val="8"/>
        <rFont val="Times New Roman"/>
        <charset val="134"/>
      </rPr>
      <t>HD4238</t>
    </r>
  </si>
  <si>
    <r>
      <rPr>
        <sz val="9"/>
        <rFont val="Microsoft Sans Serif"/>
        <charset val="134"/>
      </rPr>
      <t>PRECIOS PEGATINA HD 10 PCS</t>
    </r>
  </si>
  <si>
    <r>
      <rPr>
        <sz val="8"/>
        <rFont val="Times New Roman"/>
        <charset val="134"/>
      </rPr>
      <t>HD4239</t>
    </r>
  </si>
  <si>
    <r>
      <rPr>
        <sz val="9"/>
        <rFont val="Microsoft Sans Serif"/>
        <charset val="134"/>
      </rPr>
      <t>PRECIOS PEGATINA HD 10 PCS.</t>
    </r>
  </si>
  <si>
    <r>
      <rPr>
        <sz val="8"/>
        <rFont val="Times New Roman"/>
        <charset val="134"/>
      </rPr>
      <t>HD4240</t>
    </r>
  </si>
  <si>
    <r>
      <rPr>
        <sz val="9"/>
        <rFont val="Microsoft Sans Serif"/>
        <charset val="134"/>
      </rPr>
      <t>PRECIOS PEGATINA HD 10 PCS..</t>
    </r>
  </si>
  <si>
    <r>
      <rPr>
        <sz val="8"/>
        <rFont val="Times New Roman"/>
        <charset val="134"/>
      </rPr>
      <t>HD4043</t>
    </r>
  </si>
  <si>
    <r>
      <rPr>
        <sz val="9"/>
        <rFont val="Microsoft Sans Serif"/>
        <charset val="134"/>
      </rPr>
      <t>PRESTOBARBA X10 HD K-269</t>
    </r>
  </si>
  <si>
    <r>
      <rPr>
        <sz val="8"/>
        <rFont val="Times New Roman"/>
        <charset val="134"/>
      </rPr>
      <t>HD4130</t>
    </r>
  </si>
  <si>
    <r>
      <rPr>
        <sz val="9"/>
        <rFont val="Microsoft Sans Serif"/>
        <charset val="134"/>
      </rPr>
      <t>PRESTOBARBA X6 HD</t>
    </r>
  </si>
  <si>
    <r>
      <rPr>
        <sz val="8"/>
        <rFont val="Times New Roman"/>
        <charset val="134"/>
      </rPr>
      <t>RFD424400</t>
    </r>
  </si>
  <si>
    <r>
      <rPr>
        <sz val="9"/>
        <rFont val="Microsoft Sans Serif"/>
        <charset val="134"/>
      </rPr>
      <t>PROJECTION ELECTRIC JUGUETES</t>
    </r>
  </si>
  <si>
    <r>
      <rPr>
        <sz val="8"/>
        <rFont val="Times New Roman"/>
        <charset val="134"/>
      </rPr>
      <t>HD517</t>
    </r>
  </si>
  <si>
    <r>
      <rPr>
        <sz val="9"/>
        <rFont val="Microsoft Sans Serif"/>
        <charset val="134"/>
      </rPr>
      <t>PROMO 8 PZ ESTUCHE</t>
    </r>
  </si>
  <si>
    <r>
      <rPr>
        <sz val="8"/>
        <rFont val="Times New Roman"/>
        <charset val="134"/>
      </rPr>
      <t>HD1967</t>
    </r>
  </si>
  <si>
    <r>
      <rPr>
        <sz val="9"/>
        <rFont val="Microsoft Sans Serif"/>
        <charset val="134"/>
      </rPr>
      <t>PROMO PORTARETRATO ANGEL</t>
    </r>
  </si>
  <si>
    <r>
      <rPr>
        <sz val="8"/>
        <rFont val="Times New Roman"/>
        <charset val="134"/>
      </rPr>
      <t>HD00757</t>
    </r>
  </si>
  <si>
    <r>
      <rPr>
        <sz val="9"/>
        <rFont val="Microsoft Sans Serif"/>
        <charset val="134"/>
      </rPr>
      <t>PROT. DE AGUA VARIOS CHINA</t>
    </r>
  </si>
  <si>
    <r>
      <rPr>
        <sz val="8"/>
        <rFont val="Times New Roman"/>
        <charset val="134"/>
      </rPr>
      <t>HD3514-1</t>
    </r>
  </si>
  <si>
    <r>
      <rPr>
        <sz val="9"/>
        <rFont val="Microsoft Sans Serif"/>
        <charset val="134"/>
      </rPr>
      <t>PROTECTOR DE PECHO HD M</t>
    </r>
  </si>
  <si>
    <r>
      <rPr>
        <sz val="8"/>
        <rFont val="Times New Roman"/>
        <charset val="134"/>
      </rPr>
      <t>HD3515-1</t>
    </r>
  </si>
  <si>
    <r>
      <rPr>
        <sz val="9"/>
        <rFont val="Microsoft Sans Serif"/>
        <charset val="134"/>
      </rPr>
      <t>PROTECTOR DE PECHO HD M.</t>
    </r>
  </si>
  <si>
    <r>
      <rPr>
        <sz val="8"/>
        <rFont val="Times New Roman"/>
        <charset val="134"/>
      </rPr>
      <t>HD3516-1</t>
    </r>
  </si>
  <si>
    <r>
      <rPr>
        <sz val="9"/>
        <rFont val="Microsoft Sans Serif"/>
        <charset val="134"/>
      </rPr>
      <t>PROTECTOR DE PECHO HD XL</t>
    </r>
  </si>
  <si>
    <r>
      <rPr>
        <sz val="8"/>
        <rFont val="Times New Roman"/>
        <charset val="134"/>
      </rPr>
      <t>HD3513-1</t>
    </r>
  </si>
  <si>
    <r>
      <rPr>
        <sz val="9"/>
        <rFont val="Microsoft Sans Serif"/>
        <charset val="134"/>
      </rPr>
      <t>PROTECTOR PECHO HD L</t>
    </r>
  </si>
  <si>
    <r>
      <rPr>
        <sz val="8"/>
        <rFont val="Times New Roman"/>
        <charset val="134"/>
      </rPr>
      <t>HD3512-1</t>
    </r>
  </si>
  <si>
    <r>
      <rPr>
        <sz val="9"/>
        <rFont val="Microsoft Sans Serif"/>
        <charset val="134"/>
      </rPr>
      <t>PROTECTOR PECHO HD M</t>
    </r>
  </si>
  <si>
    <r>
      <rPr>
        <sz val="8"/>
        <rFont val="Times New Roman"/>
        <charset val="134"/>
      </rPr>
      <t>HD3511-1</t>
    </r>
  </si>
  <si>
    <r>
      <rPr>
        <sz val="9"/>
        <rFont val="Microsoft Sans Serif"/>
        <charset val="134"/>
      </rPr>
      <t>PROTECTOR PECHO HD S</t>
    </r>
  </si>
  <si>
    <r>
      <rPr>
        <sz val="8"/>
        <rFont val="Times New Roman"/>
        <charset val="134"/>
      </rPr>
      <t>HD3391</t>
    </r>
  </si>
  <si>
    <r>
      <rPr>
        <sz val="9"/>
        <rFont val="Microsoft Sans Serif"/>
        <charset val="134"/>
      </rPr>
      <t>PU-1006G CABLE USB 1MTR 05/2021</t>
    </r>
  </si>
  <si>
    <r>
      <rPr>
        <sz val="8"/>
        <rFont val="Times New Roman"/>
        <charset val="134"/>
      </rPr>
      <t>HD3389</t>
    </r>
  </si>
  <si>
    <r>
      <rPr>
        <sz val="9"/>
        <rFont val="Microsoft Sans Serif"/>
        <charset val="134"/>
      </rPr>
      <t>PU-100S7 CABLE USB 1MTR 05/2021</t>
    </r>
  </si>
  <si>
    <r>
      <rPr>
        <sz val="8"/>
        <rFont val="Times New Roman"/>
        <charset val="134"/>
      </rPr>
      <t>HD3390</t>
    </r>
  </si>
  <si>
    <r>
      <rPr>
        <sz val="9"/>
        <rFont val="Microsoft Sans Serif"/>
        <charset val="134"/>
      </rPr>
      <t>PU-100TPYE CABLE USB 1MTR 05/2021</t>
    </r>
  </si>
  <si>
    <r>
      <rPr>
        <sz val="8"/>
        <rFont val="Times New Roman"/>
        <charset val="134"/>
      </rPr>
      <t>HD3394</t>
    </r>
  </si>
  <si>
    <r>
      <rPr>
        <sz val="9"/>
        <rFont val="Microsoft Sans Serif"/>
        <charset val="134"/>
      </rPr>
      <t>PU-186G CABLE USB 05/2021</t>
    </r>
  </si>
  <si>
    <r>
      <rPr>
        <sz val="8"/>
        <rFont val="Times New Roman"/>
        <charset val="134"/>
      </rPr>
      <t>HD3392</t>
    </r>
  </si>
  <si>
    <r>
      <rPr>
        <sz val="9"/>
        <rFont val="Microsoft Sans Serif"/>
        <charset val="134"/>
      </rPr>
      <t>PU-18S7 CABLE USB 05/2021</t>
    </r>
  </si>
  <si>
    <r>
      <rPr>
        <sz val="8"/>
        <rFont val="Times New Roman"/>
        <charset val="134"/>
      </rPr>
      <t>HD3393</t>
    </r>
  </si>
  <si>
    <r>
      <rPr>
        <sz val="9"/>
        <rFont val="Microsoft Sans Serif"/>
        <charset val="134"/>
      </rPr>
      <t>PU-18TYPE-C CABLE USB 05/2021</t>
    </r>
  </si>
  <si>
    <r>
      <rPr>
        <sz val="8"/>
        <rFont val="Times New Roman"/>
        <charset val="134"/>
      </rPr>
      <t>HD3395</t>
    </r>
  </si>
  <si>
    <r>
      <rPr>
        <sz val="9"/>
        <rFont val="Microsoft Sans Serif"/>
        <charset val="134"/>
      </rPr>
      <t>PU-31 CABLE USB X3 05/2021</t>
    </r>
  </si>
  <si>
    <r>
      <rPr>
        <sz val="8"/>
        <rFont val="Times New Roman"/>
        <charset val="134"/>
      </rPr>
      <t>HD2040</t>
    </r>
  </si>
  <si>
    <r>
      <rPr>
        <sz val="9"/>
        <rFont val="Microsoft Sans Serif"/>
        <charset val="134"/>
      </rPr>
      <t>PULSE3 T20 WIRELESS</t>
    </r>
  </si>
  <si>
    <r>
      <rPr>
        <sz val="8"/>
        <rFont val="Times New Roman"/>
        <charset val="134"/>
      </rPr>
      <t>HD371</t>
    </r>
  </si>
  <si>
    <r>
      <rPr>
        <sz val="9"/>
        <rFont val="Microsoft Sans Serif"/>
        <charset val="134"/>
      </rPr>
      <t>PULSERA CON LUCE LED</t>
    </r>
  </si>
  <si>
    <r>
      <rPr>
        <sz val="8"/>
        <rFont val="Times New Roman"/>
        <charset val="134"/>
      </rPr>
      <t>HD3418</t>
    </r>
  </si>
  <si>
    <r>
      <rPr>
        <sz val="9"/>
        <rFont val="Microsoft Sans Serif"/>
        <charset val="134"/>
      </rPr>
      <t>PULSERA DE GOMA VARIAS HD</t>
    </r>
  </si>
  <si>
    <r>
      <rPr>
        <sz val="8"/>
        <rFont val="Times New Roman"/>
        <charset val="134"/>
      </rPr>
      <t>RFD323654</t>
    </r>
  </si>
  <si>
    <r>
      <rPr>
        <sz val="9"/>
        <rFont val="Microsoft Sans Serif"/>
        <charset val="134"/>
      </rPr>
      <t>PUPPY BIBI STICKS</t>
    </r>
  </si>
  <si>
    <r>
      <rPr>
        <sz val="8"/>
        <rFont val="Times New Roman"/>
        <charset val="134"/>
      </rPr>
      <t>RFD424214</t>
    </r>
  </si>
  <si>
    <r>
      <rPr>
        <sz val="9"/>
        <rFont val="Microsoft Sans Serif"/>
        <charset val="134"/>
      </rPr>
      <t>Q EGG BALL MUSIC REMOTO</t>
    </r>
  </si>
  <si>
    <r>
      <rPr>
        <sz val="8"/>
        <rFont val="Times New Roman"/>
        <charset val="134"/>
      </rPr>
      <t>HD2087</t>
    </r>
  </si>
  <si>
    <r>
      <rPr>
        <sz val="9"/>
        <rFont val="Microsoft Sans Serif"/>
        <charset val="134"/>
      </rPr>
      <t>Q310AD CARPETA BROCHE</t>
    </r>
  </si>
  <si>
    <r>
      <rPr>
        <sz val="8"/>
        <rFont val="Times New Roman"/>
        <charset val="134"/>
      </rPr>
      <t>HD3168</t>
    </r>
  </si>
  <si>
    <r>
      <rPr>
        <sz val="9"/>
        <rFont val="Microsoft Sans Serif"/>
        <charset val="134"/>
      </rPr>
      <t>R113E RELOJ DIGITAL 05/2021</t>
    </r>
  </si>
  <si>
    <r>
      <rPr>
        <sz val="8"/>
        <rFont val="Times New Roman"/>
        <charset val="134"/>
      </rPr>
      <t>RFD260859</t>
    </r>
  </si>
  <si>
    <r>
      <rPr>
        <sz val="9"/>
        <rFont val="Microsoft Sans Serif"/>
        <charset val="134"/>
      </rPr>
      <t>RAINBOW HORSES PINK PURPLE</t>
    </r>
  </si>
  <si>
    <r>
      <rPr>
        <sz val="8"/>
        <rFont val="Times New Roman"/>
        <charset val="134"/>
      </rPr>
      <t>HD3530</t>
    </r>
  </si>
  <si>
    <r>
      <rPr>
        <sz val="9"/>
        <rFont val="Microsoft Sans Serif"/>
        <charset val="134"/>
      </rPr>
      <t>RAMO DE FLOR 6 ROJA CHINA</t>
    </r>
  </si>
  <si>
    <r>
      <rPr>
        <sz val="8"/>
        <rFont val="Times New Roman"/>
        <charset val="134"/>
      </rPr>
      <t>HD3531</t>
    </r>
  </si>
  <si>
    <r>
      <rPr>
        <sz val="9"/>
        <rFont val="Microsoft Sans Serif"/>
        <charset val="134"/>
      </rPr>
      <t>RAMO DE FLOR 6 ROSADA CHINA</t>
    </r>
  </si>
  <si>
    <r>
      <rPr>
        <sz val="8"/>
        <rFont val="Times New Roman"/>
        <charset val="134"/>
      </rPr>
      <t>HD3529</t>
    </r>
  </si>
  <si>
    <r>
      <rPr>
        <sz val="9"/>
        <rFont val="Microsoft Sans Serif"/>
        <charset val="134"/>
      </rPr>
      <t>RAMO DE FLOR MORADO CHINA</t>
    </r>
  </si>
  <si>
    <r>
      <rPr>
        <sz val="8"/>
        <rFont val="Times New Roman"/>
        <charset val="134"/>
      </rPr>
      <t>HD3516</t>
    </r>
  </si>
  <si>
    <r>
      <rPr>
        <sz val="9"/>
        <rFont val="Microsoft Sans Serif"/>
        <charset val="134"/>
      </rPr>
      <t>RAMO DE ROSA CONEJO AZUL CHINO</t>
    </r>
  </si>
  <si>
    <r>
      <rPr>
        <sz val="8"/>
        <rFont val="Times New Roman"/>
        <charset val="134"/>
      </rPr>
      <t>HD3517</t>
    </r>
  </si>
  <si>
    <r>
      <rPr>
        <sz val="9"/>
        <rFont val="Microsoft Sans Serif"/>
        <charset val="134"/>
      </rPr>
      <t>RAMO DE ROSA CONEJO ROJO CHINO</t>
    </r>
  </si>
  <si>
    <r>
      <rPr>
        <sz val="8"/>
        <rFont val="Times New Roman"/>
        <charset val="134"/>
      </rPr>
      <t>HD3528</t>
    </r>
  </si>
  <si>
    <r>
      <rPr>
        <sz val="9"/>
        <rFont val="Microsoft Sans Serif"/>
        <charset val="134"/>
      </rPr>
      <t>RAMO DE ROSA FLOR6 AZUL CHINA</t>
    </r>
  </si>
  <si>
    <r>
      <rPr>
        <sz val="8"/>
        <rFont val="Times New Roman"/>
        <charset val="134"/>
      </rPr>
      <t>HD3523</t>
    </r>
  </si>
  <si>
    <r>
      <rPr>
        <sz val="9"/>
        <rFont val="Microsoft Sans Serif"/>
        <charset val="134"/>
      </rPr>
      <t>RAMO DE ROSA OSITO AZUL CHINA 5F/</t>
    </r>
  </si>
  <si>
    <r>
      <rPr>
        <sz val="8"/>
        <rFont val="Times New Roman"/>
        <charset val="134"/>
      </rPr>
      <t>HD3526</t>
    </r>
  </si>
  <si>
    <r>
      <rPr>
        <sz val="9"/>
        <rFont val="Microsoft Sans Serif"/>
        <charset val="134"/>
      </rPr>
      <t>RAMO DE ROSA OSITO MORADO CHINA 5F/</t>
    </r>
  </si>
  <si>
    <r>
      <rPr>
        <sz val="8"/>
        <rFont val="Times New Roman"/>
        <charset val="134"/>
      </rPr>
      <t>HD3524</t>
    </r>
  </si>
  <si>
    <r>
      <rPr>
        <sz val="9"/>
        <rFont val="Microsoft Sans Serif"/>
        <charset val="134"/>
      </rPr>
      <t>RAMO DE ROSA OSITO ROJA CHINA 5F/</t>
    </r>
  </si>
  <si>
    <r>
      <rPr>
        <sz val="8"/>
        <rFont val="Times New Roman"/>
        <charset val="134"/>
      </rPr>
      <t>HD3525</t>
    </r>
  </si>
  <si>
    <r>
      <rPr>
        <sz val="9"/>
        <rFont val="Microsoft Sans Serif"/>
        <charset val="134"/>
      </rPr>
      <t>RAMO DE ROSA OSITO ROSADA CHINA 5F/</t>
    </r>
  </si>
  <si>
    <r>
      <rPr>
        <sz val="8"/>
        <rFont val="Times New Roman"/>
        <charset val="134"/>
      </rPr>
      <t>HD3501</t>
    </r>
  </si>
  <si>
    <r>
      <rPr>
        <sz val="9"/>
        <rFont val="Microsoft Sans Serif"/>
        <charset val="134"/>
      </rPr>
      <t>RAMO DE ROSA ROJA CHINO # 33</t>
    </r>
  </si>
  <si>
    <r>
      <rPr>
        <sz val="8"/>
        <rFont val="Times New Roman"/>
        <charset val="134"/>
      </rPr>
      <t>HD3515</t>
    </r>
  </si>
  <si>
    <r>
      <rPr>
        <sz val="9"/>
        <rFont val="Microsoft Sans Serif"/>
        <charset val="134"/>
      </rPr>
      <t>RAMO DE ROSAS CONEJO MORADO CHINO</t>
    </r>
  </si>
  <si>
    <r>
      <rPr>
        <sz val="8"/>
        <rFont val="Times New Roman"/>
        <charset val="134"/>
      </rPr>
      <t>HD3504</t>
    </r>
  </si>
  <si>
    <r>
      <rPr>
        <sz val="9"/>
        <rFont val="Microsoft Sans Serif"/>
        <charset val="134"/>
      </rPr>
      <t>RAMO ROSA 33 AZUL CHINO</t>
    </r>
  </si>
  <si>
    <r>
      <rPr>
        <sz val="8"/>
        <rFont val="Times New Roman"/>
        <charset val="134"/>
      </rPr>
      <t>HD3514</t>
    </r>
  </si>
  <si>
    <r>
      <rPr>
        <sz val="9"/>
        <rFont val="Microsoft Sans Serif"/>
        <charset val="134"/>
      </rPr>
      <t>RAMO ROSA CONEJO ROSADO CHINO</t>
    </r>
  </si>
  <si>
    <r>
      <rPr>
        <sz val="8"/>
        <rFont val="Times New Roman"/>
        <charset val="134"/>
      </rPr>
      <t>HD3503</t>
    </r>
  </si>
  <si>
    <r>
      <rPr>
        <sz val="9"/>
        <rFont val="Microsoft Sans Serif"/>
        <charset val="134"/>
      </rPr>
      <t>RAMO ROSAS MORADO CHINO # 33</t>
    </r>
  </si>
  <si>
    <r>
      <rPr>
        <sz val="8"/>
        <rFont val="Times New Roman"/>
        <charset val="134"/>
      </rPr>
      <t>RFD388033</t>
    </r>
  </si>
  <si>
    <r>
      <rPr>
        <sz val="9"/>
        <rFont val="Microsoft Sans Serif"/>
        <charset val="134"/>
      </rPr>
      <t>RATTLES 13 PCS JUGUETES</t>
    </r>
  </si>
  <si>
    <r>
      <rPr>
        <sz val="8"/>
        <rFont val="Times New Roman"/>
        <charset val="134"/>
      </rPr>
      <t>RFD415247</t>
    </r>
  </si>
  <si>
    <r>
      <rPr>
        <sz val="9"/>
        <rFont val="Microsoft Sans Serif"/>
        <charset val="134"/>
      </rPr>
      <t>RATTLES 4SET JUGUETES</t>
    </r>
  </si>
  <si>
    <r>
      <rPr>
        <sz val="8"/>
        <rFont val="Times New Roman"/>
        <charset val="134"/>
      </rPr>
      <t>RFD388032</t>
    </r>
  </si>
  <si>
    <r>
      <rPr>
        <sz val="9"/>
        <rFont val="Microsoft Sans Serif"/>
        <charset val="134"/>
      </rPr>
      <t>RATTLES 9 PCS JUGUETES</t>
    </r>
  </si>
  <si>
    <r>
      <rPr>
        <sz val="8"/>
        <rFont val="Times New Roman"/>
        <charset val="134"/>
      </rPr>
      <t>HD3594</t>
    </r>
  </si>
  <si>
    <r>
      <rPr>
        <sz val="9"/>
        <rFont val="Microsoft Sans Serif"/>
        <charset val="134"/>
      </rPr>
      <t>RECIPIENTE HD</t>
    </r>
  </si>
  <si>
    <r>
      <rPr>
        <sz val="8"/>
        <rFont val="Times New Roman"/>
        <charset val="134"/>
      </rPr>
      <t>HD4106</t>
    </r>
  </si>
  <si>
    <r>
      <rPr>
        <sz val="9"/>
        <rFont val="Microsoft Sans Serif"/>
        <charset val="134"/>
      </rPr>
      <t>RECORTADOR DE CEJA X3 HD K-565</t>
    </r>
  </si>
  <si>
    <r>
      <rPr>
        <sz val="9"/>
        <rFont val="Microsoft Sans Serif"/>
        <charset val="134"/>
      </rPr>
      <t>RECORTADOR DE CEJAS</t>
    </r>
  </si>
  <si>
    <r>
      <rPr>
        <sz val="9"/>
        <rFont val="Microsoft Sans Serif"/>
        <charset val="134"/>
      </rPr>
      <t>RECORTADOR DE CEJAS.</t>
    </r>
  </si>
  <si>
    <r>
      <rPr>
        <sz val="8"/>
        <rFont val="Times New Roman"/>
        <charset val="134"/>
      </rPr>
      <t>HD4538</t>
    </r>
  </si>
  <si>
    <r>
      <rPr>
        <sz val="9"/>
        <rFont val="Microsoft Sans Serif"/>
        <charset val="134"/>
      </rPr>
      <t>REF1 MONEDERO VARIOS</t>
    </r>
  </si>
  <si>
    <r>
      <rPr>
        <sz val="8"/>
        <rFont val="Times New Roman"/>
        <charset val="134"/>
      </rPr>
      <t>HD4539</t>
    </r>
  </si>
  <si>
    <r>
      <rPr>
        <sz val="9"/>
        <rFont val="Microsoft Sans Serif"/>
        <charset val="134"/>
      </rPr>
      <t>REF2 MONEDERO VARIOS</t>
    </r>
  </si>
  <si>
    <r>
      <rPr>
        <sz val="8"/>
        <rFont val="Times New Roman"/>
        <charset val="134"/>
      </rPr>
      <t>HD4540</t>
    </r>
  </si>
  <si>
    <r>
      <rPr>
        <sz val="9"/>
        <rFont val="Microsoft Sans Serif"/>
        <charset val="134"/>
      </rPr>
      <t>REF3 MONEDERO VARIOS.</t>
    </r>
  </si>
  <si>
    <r>
      <rPr>
        <sz val="8"/>
        <rFont val="Times New Roman"/>
        <charset val="134"/>
      </rPr>
      <t>HD4541</t>
    </r>
  </si>
  <si>
    <r>
      <rPr>
        <sz val="9"/>
        <rFont val="Microsoft Sans Serif"/>
        <charset val="134"/>
      </rPr>
      <t>REF4 MONEDERO VARIOS</t>
    </r>
  </si>
  <si>
    <r>
      <rPr>
        <sz val="8"/>
        <rFont val="Times New Roman"/>
        <charset val="134"/>
      </rPr>
      <t>HD4542</t>
    </r>
  </si>
  <si>
    <r>
      <rPr>
        <sz val="9"/>
        <rFont val="Microsoft Sans Serif"/>
        <charset val="134"/>
      </rPr>
      <t>REF5 MONEDERO VARIOS</t>
    </r>
  </si>
  <si>
    <r>
      <rPr>
        <sz val="9"/>
        <rFont val="Microsoft Sans Serif"/>
        <charset val="134"/>
      </rPr>
      <t>REFLECTOR DE MAQ/UÑAS</t>
    </r>
  </si>
  <si>
    <r>
      <rPr>
        <sz val="8"/>
        <rFont val="Times New Roman"/>
        <charset val="134"/>
      </rPr>
      <t>HD583</t>
    </r>
  </si>
  <si>
    <r>
      <rPr>
        <sz val="9"/>
        <rFont val="Microsoft Sans Serif"/>
        <charset val="134"/>
      </rPr>
      <t>REFLECTOR DE MAQ/UÑAS.</t>
    </r>
  </si>
  <si>
    <r>
      <rPr>
        <sz val="8"/>
        <rFont val="Times New Roman"/>
        <charset val="134"/>
      </rPr>
      <t>HD584</t>
    </r>
  </si>
  <si>
    <r>
      <rPr>
        <sz val="9"/>
        <rFont val="Microsoft Sans Serif"/>
        <charset val="134"/>
      </rPr>
      <t>REFLECTOR DE MAQ/UÑAS..</t>
    </r>
  </si>
  <si>
    <r>
      <rPr>
        <sz val="8"/>
        <rFont val="Times New Roman"/>
        <charset val="134"/>
      </rPr>
      <t>HD587</t>
    </r>
  </si>
  <si>
    <r>
      <rPr>
        <sz val="9"/>
        <rFont val="Microsoft Sans Serif"/>
        <charset val="134"/>
      </rPr>
      <t>REFLECTOR DE MAQ/UÑAS….</t>
    </r>
  </si>
  <si>
    <r>
      <rPr>
        <sz val="8"/>
        <rFont val="Times New Roman"/>
        <charset val="134"/>
      </rPr>
      <t>HD588</t>
    </r>
  </si>
  <si>
    <r>
      <rPr>
        <sz val="9"/>
        <rFont val="Microsoft Sans Serif"/>
        <charset val="134"/>
      </rPr>
      <t>REFLECTOR DE MAQ/UÑAS…..</t>
    </r>
  </si>
  <si>
    <r>
      <rPr>
        <sz val="8"/>
        <rFont val="Times New Roman"/>
        <charset val="134"/>
      </rPr>
      <t>HD589</t>
    </r>
  </si>
  <si>
    <r>
      <rPr>
        <sz val="9"/>
        <rFont val="Microsoft Sans Serif"/>
        <charset val="134"/>
      </rPr>
      <t>REFLECTOR DE MAQ/UÑAS……</t>
    </r>
  </si>
  <si>
    <r>
      <rPr>
        <sz val="8"/>
        <rFont val="Times New Roman"/>
        <charset val="134"/>
      </rPr>
      <t>HD581</t>
    </r>
  </si>
  <si>
    <r>
      <rPr>
        <sz val="9"/>
        <rFont val="Microsoft Sans Serif"/>
        <charset val="134"/>
      </rPr>
      <t>REFLECTOR DE MAQUILLAJE…….</t>
    </r>
  </si>
  <si>
    <r>
      <rPr>
        <sz val="8"/>
        <rFont val="Times New Roman"/>
        <charset val="134"/>
      </rPr>
      <t>HD559</t>
    </r>
  </si>
  <si>
    <r>
      <rPr>
        <sz val="9"/>
        <rFont val="Microsoft Sans Serif"/>
        <charset val="134"/>
      </rPr>
      <t>REFLECTORES</t>
    </r>
  </si>
  <si>
    <r>
      <rPr>
        <sz val="8"/>
        <rFont val="Times New Roman"/>
        <charset val="134"/>
      </rPr>
      <t>HD3615</t>
    </r>
  </si>
  <si>
    <r>
      <rPr>
        <sz val="9"/>
        <rFont val="Microsoft Sans Serif"/>
        <charset val="134"/>
      </rPr>
      <t>REGLETA 164 HD</t>
    </r>
  </si>
  <si>
    <r>
      <rPr>
        <sz val="8"/>
        <rFont val="Times New Roman"/>
        <charset val="134"/>
      </rPr>
      <t>HD3619</t>
    </r>
  </si>
  <si>
    <r>
      <rPr>
        <sz val="9"/>
        <rFont val="Microsoft Sans Serif"/>
        <charset val="134"/>
      </rPr>
      <t>REGLETA 185 HD</t>
    </r>
  </si>
  <si>
    <r>
      <rPr>
        <sz val="8"/>
        <rFont val="Times New Roman"/>
        <charset val="134"/>
      </rPr>
      <t>HD3623</t>
    </r>
  </si>
  <si>
    <r>
      <rPr>
        <sz val="9"/>
        <rFont val="Microsoft Sans Serif"/>
        <charset val="134"/>
      </rPr>
      <t>REGLETA 651 HD</t>
    </r>
  </si>
  <si>
    <r>
      <rPr>
        <sz val="8"/>
        <rFont val="Times New Roman"/>
        <charset val="134"/>
      </rPr>
      <t>HD3622</t>
    </r>
  </si>
  <si>
    <r>
      <rPr>
        <sz val="9"/>
        <rFont val="Microsoft Sans Serif"/>
        <charset val="134"/>
      </rPr>
      <t>REGLETA 653 HD</t>
    </r>
  </si>
  <si>
    <r>
      <rPr>
        <sz val="8"/>
        <rFont val="Times New Roman"/>
        <charset val="134"/>
      </rPr>
      <t>HD3618</t>
    </r>
  </si>
  <si>
    <r>
      <rPr>
        <sz val="9"/>
        <rFont val="Microsoft Sans Serif"/>
        <charset val="134"/>
      </rPr>
      <t>REGLETA 683</t>
    </r>
  </si>
  <si>
    <r>
      <rPr>
        <sz val="8"/>
        <rFont val="Times New Roman"/>
        <charset val="134"/>
      </rPr>
      <t>HD3620</t>
    </r>
  </si>
  <si>
    <r>
      <rPr>
        <sz val="9"/>
        <rFont val="Microsoft Sans Serif"/>
        <charset val="134"/>
      </rPr>
      <t>REGLETA 6914 HD</t>
    </r>
  </si>
  <si>
    <r>
      <rPr>
        <sz val="8"/>
        <rFont val="Times New Roman"/>
        <charset val="134"/>
      </rPr>
      <t>HD3616</t>
    </r>
  </si>
  <si>
    <r>
      <rPr>
        <sz val="9"/>
        <rFont val="Microsoft Sans Serif"/>
        <charset val="134"/>
      </rPr>
      <t>REGLETA A028</t>
    </r>
  </si>
  <si>
    <r>
      <rPr>
        <sz val="8"/>
        <rFont val="Times New Roman"/>
        <charset val="134"/>
      </rPr>
      <t>HD3617-1</t>
    </r>
  </si>
  <si>
    <r>
      <rPr>
        <sz val="9"/>
        <rFont val="Microsoft Sans Serif"/>
        <charset val="134"/>
      </rPr>
      <t>REGLETA A035 HD</t>
    </r>
  </si>
  <si>
    <r>
      <rPr>
        <sz val="8"/>
        <rFont val="Times New Roman"/>
        <charset val="134"/>
      </rPr>
      <t>HD3621</t>
    </r>
  </si>
  <si>
    <r>
      <rPr>
        <sz val="9"/>
        <rFont val="Microsoft Sans Serif"/>
        <charset val="134"/>
      </rPr>
      <t>REGLETA E02 HD</t>
    </r>
  </si>
  <si>
    <r>
      <rPr>
        <sz val="8"/>
        <rFont val="Times New Roman"/>
        <charset val="134"/>
      </rPr>
      <t>HD2351</t>
    </r>
  </si>
  <si>
    <r>
      <rPr>
        <sz val="9"/>
        <rFont val="Microsoft Sans Serif"/>
        <charset val="134"/>
      </rPr>
      <t>RELOJ</t>
    </r>
  </si>
  <si>
    <r>
      <rPr>
        <sz val="8"/>
        <rFont val="Times New Roman"/>
        <charset val="134"/>
      </rPr>
      <t>HD2358</t>
    </r>
  </si>
  <si>
    <r>
      <rPr>
        <sz val="8"/>
        <rFont val="Times New Roman"/>
        <charset val="134"/>
      </rPr>
      <t>HD2359</t>
    </r>
  </si>
  <si>
    <r>
      <rPr>
        <sz val="8"/>
        <rFont val="Times New Roman"/>
        <charset val="134"/>
      </rPr>
      <t>HD2364</t>
    </r>
  </si>
  <si>
    <r>
      <rPr>
        <sz val="8"/>
        <rFont val="Times New Roman"/>
        <charset val="134"/>
      </rPr>
      <t>HD2365</t>
    </r>
  </si>
  <si>
    <r>
      <rPr>
        <sz val="8"/>
        <rFont val="Times New Roman"/>
        <charset val="134"/>
      </rPr>
      <t>HD2368</t>
    </r>
  </si>
  <si>
    <r>
      <rPr>
        <sz val="8"/>
        <rFont val="Times New Roman"/>
        <charset val="134"/>
      </rPr>
      <t>HD471</t>
    </r>
  </si>
  <si>
    <r>
      <rPr>
        <sz val="8"/>
        <rFont val="Times New Roman"/>
        <charset val="134"/>
      </rPr>
      <t>HD830</t>
    </r>
  </si>
  <si>
    <r>
      <rPr>
        <sz val="8"/>
        <rFont val="Times New Roman"/>
        <charset val="134"/>
      </rPr>
      <t>HD4452</t>
    </r>
  </si>
  <si>
    <r>
      <rPr>
        <sz val="9"/>
        <rFont val="Microsoft Sans Serif"/>
        <charset val="134"/>
      </rPr>
      <t>RELOJ 20*20*4CM 520</t>
    </r>
  </si>
  <si>
    <r>
      <rPr>
        <sz val="8"/>
        <rFont val="Times New Roman"/>
        <charset val="134"/>
      </rPr>
      <t>HD4454</t>
    </r>
  </si>
  <si>
    <r>
      <rPr>
        <sz val="8"/>
        <rFont val="Times New Roman"/>
        <charset val="134"/>
      </rPr>
      <t>HD4451</t>
    </r>
  </si>
  <si>
    <r>
      <rPr>
        <sz val="9"/>
        <rFont val="Microsoft Sans Serif"/>
        <charset val="134"/>
      </rPr>
      <t>RELOJ 29*29*4CM 528</t>
    </r>
  </si>
  <si>
    <r>
      <rPr>
        <sz val="8"/>
        <rFont val="Times New Roman"/>
        <charset val="134"/>
      </rPr>
      <t>HD4450</t>
    </r>
  </si>
  <si>
    <r>
      <rPr>
        <sz val="9"/>
        <rFont val="Microsoft Sans Serif"/>
        <charset val="134"/>
      </rPr>
      <t>RELOJ 30*30*4CM 235-1</t>
    </r>
  </si>
  <si>
    <r>
      <rPr>
        <sz val="8"/>
        <rFont val="Times New Roman"/>
        <charset val="134"/>
      </rPr>
      <t>HD4449</t>
    </r>
  </si>
  <si>
    <r>
      <rPr>
        <sz val="9"/>
        <rFont val="Microsoft Sans Serif"/>
        <charset val="134"/>
      </rPr>
      <t>RELOJ 30*30*4CM 235H</t>
    </r>
  </si>
  <si>
    <r>
      <rPr>
        <sz val="8"/>
        <rFont val="Times New Roman"/>
        <charset val="134"/>
      </rPr>
      <t>HD4463</t>
    </r>
  </si>
  <si>
    <r>
      <rPr>
        <sz val="9"/>
        <rFont val="Microsoft Sans Serif"/>
        <charset val="134"/>
      </rPr>
      <t>RELOJ 310J3</t>
    </r>
  </si>
  <si>
    <r>
      <rPr>
        <sz val="8"/>
        <rFont val="Times New Roman"/>
        <charset val="134"/>
      </rPr>
      <t>HD4465</t>
    </r>
  </si>
  <si>
    <r>
      <rPr>
        <sz val="9"/>
        <rFont val="Microsoft Sans Serif"/>
        <charset val="134"/>
      </rPr>
      <t>RELOJ 310MA1</t>
    </r>
  </si>
  <si>
    <r>
      <rPr>
        <sz val="8"/>
        <rFont val="Times New Roman"/>
        <charset val="134"/>
      </rPr>
      <t>HD4458</t>
    </r>
  </si>
  <si>
    <r>
      <rPr>
        <sz val="9"/>
        <rFont val="Microsoft Sans Serif"/>
        <charset val="134"/>
      </rPr>
      <t>RELOJ 316-145</t>
    </r>
  </si>
  <si>
    <r>
      <rPr>
        <sz val="8"/>
        <rFont val="Times New Roman"/>
        <charset val="134"/>
      </rPr>
      <t>HD4459</t>
    </r>
  </si>
  <si>
    <r>
      <rPr>
        <sz val="9"/>
        <rFont val="Microsoft Sans Serif"/>
        <charset val="134"/>
      </rPr>
      <t>RELOJ 316-146</t>
    </r>
  </si>
  <si>
    <r>
      <rPr>
        <sz val="8"/>
        <rFont val="Times New Roman"/>
        <charset val="134"/>
      </rPr>
      <t>HD4464</t>
    </r>
  </si>
  <si>
    <r>
      <rPr>
        <sz val="9"/>
        <rFont val="Microsoft Sans Serif"/>
        <charset val="134"/>
      </rPr>
      <t>RELOJ 320J3</t>
    </r>
  </si>
  <si>
    <r>
      <rPr>
        <sz val="8"/>
        <rFont val="Times New Roman"/>
        <charset val="134"/>
      </rPr>
      <t>HD4258</t>
    </r>
  </si>
  <si>
    <r>
      <rPr>
        <sz val="9"/>
        <rFont val="Microsoft Sans Serif"/>
        <charset val="134"/>
      </rPr>
      <t>RELOJ CRONOMETRO HD</t>
    </r>
  </si>
  <si>
    <r>
      <rPr>
        <sz val="8"/>
        <rFont val="Times New Roman"/>
        <charset val="134"/>
      </rPr>
      <t>HD4259</t>
    </r>
  </si>
  <si>
    <r>
      <rPr>
        <sz val="9"/>
        <rFont val="Microsoft Sans Serif"/>
        <charset val="134"/>
      </rPr>
      <t>RELOJ CRONOMETRO HD.</t>
    </r>
  </si>
  <si>
    <r>
      <rPr>
        <sz val="8"/>
        <rFont val="Times New Roman"/>
        <charset val="134"/>
      </rPr>
      <t>HD3166</t>
    </r>
  </si>
  <si>
    <r>
      <rPr>
        <sz val="9"/>
        <rFont val="Microsoft Sans Serif"/>
        <charset val="134"/>
      </rPr>
      <t>RELOJ DIGITAL INTELIGENTE 05/2021</t>
    </r>
  </si>
  <si>
    <r>
      <rPr>
        <sz val="8"/>
        <rFont val="Times New Roman"/>
        <charset val="134"/>
      </rPr>
      <t>HD3445</t>
    </r>
  </si>
  <si>
    <r>
      <rPr>
        <sz val="9"/>
        <rFont val="Microsoft Sans Serif"/>
        <charset val="134"/>
      </rPr>
      <t>RELOJ HD + PULSERA + CADENA</t>
    </r>
  </si>
  <si>
    <r>
      <rPr>
        <sz val="8"/>
        <rFont val="Times New Roman"/>
        <charset val="134"/>
      </rPr>
      <t>HD3446</t>
    </r>
  </si>
  <si>
    <r>
      <rPr>
        <sz val="9"/>
        <rFont val="Microsoft Sans Serif"/>
        <charset val="134"/>
      </rPr>
      <t>RELOJ HD +PULSERA CABALLERO</t>
    </r>
  </si>
  <si>
    <r>
      <rPr>
        <sz val="8"/>
        <rFont val="Times New Roman"/>
        <charset val="134"/>
      </rPr>
      <t>HD4214</t>
    </r>
  </si>
  <si>
    <r>
      <rPr>
        <sz val="9"/>
        <rFont val="Microsoft Sans Serif"/>
        <charset val="134"/>
      </rPr>
      <t>RELOJ SQUID GAME HD</t>
    </r>
  </si>
  <si>
    <r>
      <rPr>
        <sz val="8"/>
        <rFont val="Times New Roman"/>
        <charset val="134"/>
      </rPr>
      <t>HD4215</t>
    </r>
  </si>
  <si>
    <r>
      <rPr>
        <sz val="9"/>
        <rFont val="Microsoft Sans Serif"/>
        <charset val="134"/>
      </rPr>
      <t>RELOJ SQUID GAME HD.</t>
    </r>
  </si>
  <si>
    <r>
      <rPr>
        <sz val="8"/>
        <rFont val="Times New Roman"/>
        <charset val="134"/>
      </rPr>
      <t>HD3034</t>
    </r>
  </si>
  <si>
    <r>
      <rPr>
        <sz val="9"/>
        <rFont val="Microsoft Sans Serif"/>
        <charset val="134"/>
      </rPr>
      <t>RELOJ VARIOS CHINA</t>
    </r>
  </si>
  <si>
    <r>
      <rPr>
        <sz val="8"/>
        <rFont val="Times New Roman"/>
        <charset val="134"/>
      </rPr>
      <t>HD832</t>
    </r>
  </si>
  <si>
    <r>
      <rPr>
        <sz val="9"/>
        <rFont val="Microsoft Sans Serif"/>
        <charset val="134"/>
      </rPr>
      <t>RELOJ XA/8017A CHINA</t>
    </r>
  </si>
  <si>
    <r>
      <rPr>
        <sz val="8"/>
        <rFont val="Times New Roman"/>
        <charset val="134"/>
      </rPr>
      <t>HD833</t>
    </r>
  </si>
  <si>
    <r>
      <rPr>
        <sz val="9"/>
        <rFont val="Microsoft Sans Serif"/>
        <charset val="134"/>
      </rPr>
      <t>RELOJ XA/8020A CHINA</t>
    </r>
  </si>
  <si>
    <r>
      <rPr>
        <sz val="8"/>
        <rFont val="Times New Roman"/>
        <charset val="134"/>
      </rPr>
      <t>HD2556</t>
    </r>
  </si>
  <si>
    <r>
      <rPr>
        <sz val="9"/>
        <rFont val="Microsoft Sans Serif"/>
        <charset val="134"/>
      </rPr>
      <t>RENO 35CM NAVIDAD</t>
    </r>
  </si>
  <si>
    <r>
      <rPr>
        <sz val="8"/>
        <rFont val="Times New Roman"/>
        <charset val="134"/>
      </rPr>
      <t>HD2557</t>
    </r>
  </si>
  <si>
    <r>
      <rPr>
        <sz val="9"/>
        <rFont val="Microsoft Sans Serif"/>
        <charset val="134"/>
      </rPr>
      <t>RENO 55CM NAVIDAD</t>
    </r>
  </si>
  <si>
    <r>
      <rPr>
        <sz val="8"/>
        <rFont val="Times New Roman"/>
        <charset val="134"/>
      </rPr>
      <t>HD2558</t>
    </r>
  </si>
  <si>
    <r>
      <rPr>
        <sz val="9"/>
        <rFont val="Microsoft Sans Serif"/>
        <charset val="134"/>
      </rPr>
      <t>RENO 70CM NAVIDAD</t>
    </r>
  </si>
  <si>
    <r>
      <rPr>
        <sz val="8"/>
        <rFont val="Times New Roman"/>
        <charset val="134"/>
      </rPr>
      <t>HD30460</t>
    </r>
  </si>
  <si>
    <r>
      <rPr>
        <sz val="9"/>
        <rFont val="Microsoft Sans Serif"/>
        <charset val="134"/>
      </rPr>
      <t>RESALTADOR</t>
    </r>
  </si>
  <si>
    <r>
      <rPr>
        <sz val="8"/>
        <rFont val="Times New Roman"/>
        <charset val="134"/>
      </rPr>
      <t>RFD323653</t>
    </r>
  </si>
  <si>
    <r>
      <rPr>
        <sz val="9"/>
        <rFont val="Microsoft Sans Serif"/>
        <charset val="134"/>
      </rPr>
      <t>RHINO BIBI SOUNG</t>
    </r>
  </si>
  <si>
    <r>
      <rPr>
        <sz val="8"/>
        <rFont val="Times New Roman"/>
        <charset val="134"/>
      </rPr>
      <t>RFD323658</t>
    </r>
  </si>
  <si>
    <r>
      <rPr>
        <sz val="9"/>
        <rFont val="Microsoft Sans Serif"/>
        <charset val="134"/>
      </rPr>
      <t>RHINOCEROS BELL SOOTHE</t>
    </r>
  </si>
  <si>
    <r>
      <rPr>
        <sz val="8"/>
        <rFont val="Times New Roman"/>
        <charset val="134"/>
      </rPr>
      <t>RFD323660</t>
    </r>
  </si>
  <si>
    <r>
      <rPr>
        <sz val="9"/>
        <rFont val="Microsoft Sans Serif"/>
        <charset val="134"/>
      </rPr>
      <t>RING RING SOOTHE</t>
    </r>
  </si>
  <si>
    <r>
      <rPr>
        <sz val="8"/>
        <rFont val="Times New Roman"/>
        <charset val="134"/>
      </rPr>
      <t>RFD270573</t>
    </r>
  </si>
  <si>
    <r>
      <rPr>
        <sz val="9"/>
        <rFont val="Microsoft Sans Serif"/>
        <charset val="134"/>
      </rPr>
      <t>ROBOTS 3 EN 1 SOLAR</t>
    </r>
  </si>
  <si>
    <r>
      <rPr>
        <sz val="8"/>
        <rFont val="Times New Roman"/>
        <charset val="134"/>
      </rPr>
      <t>HD3519</t>
    </r>
  </si>
  <si>
    <r>
      <rPr>
        <sz val="9"/>
        <rFont val="Microsoft Sans Serif"/>
        <charset val="134"/>
      </rPr>
      <t>ROJO FLOR CHINA</t>
    </r>
  </si>
  <si>
    <r>
      <rPr>
        <sz val="8"/>
        <rFont val="Times New Roman"/>
        <charset val="134"/>
      </rPr>
      <t>HD3301</t>
    </r>
  </si>
  <si>
    <r>
      <rPr>
        <sz val="9"/>
        <rFont val="Microsoft Sans Serif"/>
        <charset val="134"/>
      </rPr>
      <t>ROJO MASAJEADOR CHINA</t>
    </r>
  </si>
  <si>
    <r>
      <rPr>
        <sz val="8"/>
        <rFont val="Times New Roman"/>
        <charset val="134"/>
      </rPr>
      <t>HD3655</t>
    </r>
  </si>
  <si>
    <r>
      <rPr>
        <sz val="9"/>
        <rFont val="Microsoft Sans Serif"/>
        <charset val="134"/>
      </rPr>
      <t>ROLLITO DE YOGA YX-33 HD</t>
    </r>
  </si>
  <si>
    <r>
      <rPr>
        <sz val="8"/>
        <rFont val="Times New Roman"/>
        <charset val="134"/>
      </rPr>
      <t>HD3855</t>
    </r>
  </si>
  <si>
    <r>
      <rPr>
        <sz val="9"/>
        <rFont val="Microsoft Sans Serif"/>
        <charset val="134"/>
      </rPr>
      <t>ROPA DE CALABAZA HD L</t>
    </r>
  </si>
  <si>
    <r>
      <rPr>
        <sz val="8"/>
        <rFont val="Times New Roman"/>
        <charset val="134"/>
      </rPr>
      <t>HD3854</t>
    </r>
  </si>
  <si>
    <r>
      <rPr>
        <sz val="9"/>
        <rFont val="Microsoft Sans Serif"/>
        <charset val="134"/>
      </rPr>
      <t>ROPA DE CALABAZA HD X</t>
    </r>
  </si>
  <si>
    <r>
      <rPr>
        <sz val="8"/>
        <rFont val="Times New Roman"/>
        <charset val="134"/>
      </rPr>
      <t>HD3853</t>
    </r>
  </si>
  <si>
    <r>
      <rPr>
        <sz val="9"/>
        <rFont val="Microsoft Sans Serif"/>
        <charset val="134"/>
      </rPr>
      <t>ROPA DE CALABAZA HD XL</t>
    </r>
  </si>
  <si>
    <r>
      <rPr>
        <sz val="8"/>
        <rFont val="Times New Roman"/>
        <charset val="134"/>
      </rPr>
      <t>HD3502</t>
    </r>
  </si>
  <si>
    <r>
      <rPr>
        <sz val="9"/>
        <rFont val="Microsoft Sans Serif"/>
        <charset val="134"/>
      </rPr>
      <t>ROSADO CHINO # 33</t>
    </r>
  </si>
  <si>
    <r>
      <rPr>
        <sz val="8"/>
        <rFont val="Times New Roman"/>
        <charset val="134"/>
      </rPr>
      <t>HD3664-1</t>
    </r>
  </si>
  <si>
    <r>
      <rPr>
        <sz val="9"/>
        <rFont val="Microsoft Sans Serif"/>
        <charset val="134"/>
      </rPr>
      <t>RUEDA ABDOMINAL</t>
    </r>
  </si>
  <si>
    <r>
      <rPr>
        <sz val="8"/>
        <rFont val="Times New Roman"/>
        <charset val="134"/>
      </rPr>
      <t>HD3666-1</t>
    </r>
  </si>
  <si>
    <r>
      <rPr>
        <sz val="9"/>
        <rFont val="Microsoft Sans Serif"/>
        <charset val="134"/>
      </rPr>
      <t>RUEDA ABDOMINAL YX-JFX HD</t>
    </r>
  </si>
  <si>
    <r>
      <rPr>
        <sz val="8"/>
        <rFont val="Times New Roman"/>
        <charset val="134"/>
      </rPr>
      <t>HD02039</t>
    </r>
  </si>
  <si>
    <r>
      <rPr>
        <sz val="9"/>
        <rFont val="Microsoft Sans Serif"/>
        <charset val="134"/>
      </rPr>
      <t>S Z M 8325 350ML CHINA</t>
    </r>
  </si>
  <si>
    <r>
      <rPr>
        <sz val="8"/>
        <rFont val="Times New Roman"/>
        <charset val="134"/>
      </rPr>
      <t>HD2013</t>
    </r>
  </si>
  <si>
    <r>
      <rPr>
        <sz val="9"/>
        <rFont val="Microsoft Sans Serif"/>
        <charset val="134"/>
      </rPr>
      <t>S518 PARLANTE BETTER</t>
    </r>
  </si>
  <si>
    <r>
      <rPr>
        <sz val="8"/>
        <rFont val="Times New Roman"/>
        <charset val="134"/>
      </rPr>
      <t>HD2041</t>
    </r>
  </si>
  <si>
    <r>
      <rPr>
        <sz val="9"/>
        <rFont val="Microsoft Sans Serif"/>
        <charset val="134"/>
      </rPr>
      <t>S66 T28 SPEAKER</t>
    </r>
  </si>
  <si>
    <r>
      <rPr>
        <sz val="8"/>
        <rFont val="Times New Roman"/>
        <charset val="134"/>
      </rPr>
      <t>HD3114</t>
    </r>
  </si>
  <si>
    <r>
      <rPr>
        <sz val="9"/>
        <rFont val="Microsoft Sans Serif"/>
        <charset val="134"/>
      </rPr>
      <t>S918 CAMINADOR BABY GIRASOL</t>
    </r>
  </si>
  <si>
    <r>
      <rPr>
        <sz val="8"/>
        <rFont val="Times New Roman"/>
        <charset val="134"/>
      </rPr>
      <t>HD3684</t>
    </r>
  </si>
  <si>
    <r>
      <rPr>
        <sz val="9"/>
        <rFont val="Microsoft Sans Serif"/>
        <charset val="134"/>
      </rPr>
      <t>SACA CORCHO 601801D HD</t>
    </r>
  </si>
  <si>
    <r>
      <rPr>
        <sz val="8"/>
        <rFont val="Times New Roman"/>
        <charset val="134"/>
      </rPr>
      <t>HD3683</t>
    </r>
  </si>
  <si>
    <r>
      <rPr>
        <sz val="9"/>
        <rFont val="Microsoft Sans Serif"/>
        <charset val="134"/>
      </rPr>
      <t>SACA ESPINILLA 4 HD</t>
    </r>
  </si>
  <si>
    <r>
      <rPr>
        <sz val="8"/>
        <rFont val="Times New Roman"/>
        <charset val="134"/>
      </rPr>
      <t>HD3681</t>
    </r>
  </si>
  <si>
    <r>
      <rPr>
        <sz val="9"/>
        <rFont val="Microsoft Sans Serif"/>
        <charset val="134"/>
      </rPr>
      <t>SACA ESPINILLA VACUM HD 3</t>
    </r>
  </si>
  <si>
    <r>
      <rPr>
        <sz val="8"/>
        <rFont val="Times New Roman"/>
        <charset val="134"/>
      </rPr>
      <t>HD3682</t>
    </r>
  </si>
  <si>
    <r>
      <rPr>
        <sz val="9"/>
        <rFont val="Microsoft Sans Serif"/>
        <charset val="134"/>
      </rPr>
      <t>SACAPUNTA PLASTICOS</t>
    </r>
  </si>
  <si>
    <r>
      <rPr>
        <sz val="9"/>
        <rFont val="Microsoft Sans Serif"/>
        <charset val="134"/>
      </rPr>
      <t>SACAPUNTAS ESCOLARES</t>
    </r>
  </si>
  <si>
    <r>
      <rPr>
        <sz val="8"/>
        <rFont val="Times New Roman"/>
        <charset val="134"/>
      </rPr>
      <t>HD483</t>
    </r>
  </si>
  <si>
    <r>
      <rPr>
        <sz val="9"/>
        <rFont val="Microsoft Sans Serif"/>
        <charset val="134"/>
      </rPr>
      <t>SAN VALENTIN 5801</t>
    </r>
  </si>
  <si>
    <r>
      <rPr>
        <sz val="8"/>
        <rFont val="Times New Roman"/>
        <charset val="134"/>
      </rPr>
      <t>HD939</t>
    </r>
  </si>
  <si>
    <r>
      <rPr>
        <sz val="9"/>
        <rFont val="Microsoft Sans Serif"/>
        <charset val="134"/>
      </rPr>
      <t>SAN VALENTIN PS05X CHINA</t>
    </r>
  </si>
  <si>
    <r>
      <rPr>
        <sz val="8"/>
        <rFont val="Times New Roman"/>
        <charset val="134"/>
      </rPr>
      <t>RFD435796</t>
    </r>
  </si>
  <si>
    <r>
      <rPr>
        <sz val="9"/>
        <rFont val="Microsoft Sans Serif"/>
        <charset val="134"/>
      </rPr>
      <t>SANDBAG DOLE WORLD</t>
    </r>
  </si>
  <si>
    <r>
      <rPr>
        <sz val="8"/>
        <rFont val="Times New Roman"/>
        <charset val="134"/>
      </rPr>
      <t>HD2070</t>
    </r>
  </si>
  <si>
    <r>
      <rPr>
        <sz val="9"/>
        <rFont val="Microsoft Sans Serif"/>
        <charset val="134"/>
      </rPr>
      <t>Santa Clous</t>
    </r>
  </si>
  <si>
    <r>
      <rPr>
        <sz val="8"/>
        <rFont val="Times New Roman"/>
        <charset val="134"/>
      </rPr>
      <t>HD974</t>
    </r>
  </si>
  <si>
    <r>
      <rPr>
        <sz val="9"/>
        <rFont val="Microsoft Sans Serif"/>
        <charset val="134"/>
      </rPr>
      <t>SARCILLOS CH/2019/224 CHINA-ARETE</t>
    </r>
  </si>
  <si>
    <r>
      <rPr>
        <sz val="8"/>
        <rFont val="Times New Roman"/>
        <charset val="134"/>
      </rPr>
      <t>HD1926</t>
    </r>
  </si>
  <si>
    <r>
      <rPr>
        <sz val="9"/>
        <rFont val="Microsoft Sans Serif"/>
        <charset val="134"/>
      </rPr>
      <t>SELFIE BINBO</t>
    </r>
  </si>
  <si>
    <r>
      <rPr>
        <sz val="8"/>
        <rFont val="Times New Roman"/>
        <charset val="134"/>
      </rPr>
      <t>HD3864</t>
    </r>
  </si>
  <si>
    <r>
      <rPr>
        <sz val="9"/>
        <rFont val="Microsoft Sans Serif"/>
        <charset val="134"/>
      </rPr>
      <t>SERPENTINA HD</t>
    </r>
  </si>
  <si>
    <r>
      <rPr>
        <sz val="8"/>
        <rFont val="Times New Roman"/>
        <charset val="134"/>
      </rPr>
      <t>HD2076</t>
    </r>
  </si>
  <si>
    <r>
      <rPr>
        <sz val="9"/>
        <rFont val="Microsoft Sans Serif"/>
        <charset val="134"/>
      </rPr>
      <t>SET 4PZ CUCHARAS DORADO</t>
    </r>
  </si>
  <si>
    <r>
      <rPr>
        <sz val="8"/>
        <rFont val="Times New Roman"/>
        <charset val="134"/>
      </rPr>
      <t>HD2077</t>
    </r>
  </si>
  <si>
    <r>
      <rPr>
        <sz val="9"/>
        <rFont val="Microsoft Sans Serif"/>
        <charset val="134"/>
      </rPr>
      <t>SET 5PZ CUCHARAS DORADO</t>
    </r>
  </si>
  <si>
    <r>
      <rPr>
        <sz val="8"/>
        <rFont val="Times New Roman"/>
        <charset val="134"/>
      </rPr>
      <t>HD647</t>
    </r>
  </si>
  <si>
    <r>
      <rPr>
        <sz val="9"/>
        <rFont val="Microsoft Sans Serif"/>
        <charset val="134"/>
      </rPr>
      <t>SET AGUJA</t>
    </r>
  </si>
  <si>
    <r>
      <rPr>
        <sz val="8"/>
        <rFont val="Times New Roman"/>
        <charset val="134"/>
      </rPr>
      <t>HD7206</t>
    </r>
  </si>
  <si>
    <r>
      <rPr>
        <sz val="9"/>
        <rFont val="Microsoft Sans Serif"/>
        <charset val="134"/>
      </rPr>
      <t>SET BAÑO 4PZ</t>
    </r>
  </si>
  <si>
    <r>
      <rPr>
        <sz val="8"/>
        <rFont val="Times New Roman"/>
        <charset val="134"/>
      </rPr>
      <t>RFD64102542177</t>
    </r>
  </si>
  <si>
    <r>
      <rPr>
        <sz val="9"/>
        <rFont val="Microsoft Sans Serif"/>
        <charset val="134"/>
      </rPr>
      <t>SET BROCHA AM</t>
    </r>
  </si>
  <si>
    <r>
      <rPr>
        <sz val="9"/>
        <rFont val="Microsoft Sans Serif"/>
        <charset val="134"/>
      </rPr>
      <t>SET BROCHA MAQUILLAJE</t>
    </r>
  </si>
  <si>
    <r>
      <rPr>
        <sz val="8"/>
        <rFont val="Times New Roman"/>
        <charset val="134"/>
      </rPr>
      <t>HD635</t>
    </r>
  </si>
  <si>
    <r>
      <rPr>
        <sz val="9"/>
        <rFont val="Microsoft Sans Serif"/>
        <charset val="134"/>
      </rPr>
      <t>SET DE BROCHA MAQUILLAJE</t>
    </r>
  </si>
  <si>
    <r>
      <rPr>
        <sz val="9"/>
        <rFont val="Microsoft Sans Serif"/>
        <charset val="134"/>
      </rPr>
      <t>SET DE BROCHAS 8PS</t>
    </r>
  </si>
  <si>
    <r>
      <rPr>
        <sz val="8"/>
        <rFont val="Times New Roman"/>
        <charset val="134"/>
      </rPr>
      <t>HD3048</t>
    </r>
  </si>
  <si>
    <r>
      <rPr>
        <sz val="9"/>
        <rFont val="Microsoft Sans Serif"/>
        <charset val="134"/>
      </rPr>
      <t>SET DE DESARMADOR</t>
    </r>
  </si>
  <si>
    <r>
      <rPr>
        <sz val="9"/>
        <rFont val="Microsoft Sans Serif"/>
        <charset val="134"/>
      </rPr>
      <t>SET DE UÑAS</t>
    </r>
  </si>
  <si>
    <r>
      <rPr>
        <sz val="9"/>
        <rFont val="Microsoft Sans Serif"/>
        <charset val="134"/>
      </rPr>
      <t>SET HERRAMIENTA . AC AM</t>
    </r>
  </si>
  <si>
    <r>
      <rPr>
        <sz val="9"/>
        <rFont val="Microsoft Sans Serif"/>
        <charset val="134"/>
      </rPr>
      <t>SET HERRAMIENTO DE MAQUILLAJE</t>
    </r>
  </si>
  <si>
    <r>
      <rPr>
        <sz val="9"/>
        <rFont val="Microsoft Sans Serif"/>
        <charset val="134"/>
      </rPr>
      <t>SET REGLA LX/2181</t>
    </r>
  </si>
  <si>
    <r>
      <rPr>
        <sz val="8"/>
        <rFont val="Times New Roman"/>
        <charset val="134"/>
      </rPr>
      <t>HD3161</t>
    </r>
  </si>
  <si>
    <r>
      <rPr>
        <sz val="9"/>
        <rFont val="Microsoft Sans Serif"/>
        <charset val="134"/>
      </rPr>
      <t>SHARP R MAQUINA DE AFECTAR 05/2021</t>
    </r>
  </si>
  <si>
    <r>
      <rPr>
        <sz val="8"/>
        <rFont val="Times New Roman"/>
        <charset val="134"/>
      </rPr>
      <t>HD3162</t>
    </r>
  </si>
  <si>
    <r>
      <rPr>
        <sz val="9"/>
        <rFont val="Microsoft Sans Serif"/>
        <charset val="134"/>
      </rPr>
      <t>SHARP X MAQUINA DE AFECTAR 05/2021</t>
    </r>
  </si>
  <si>
    <r>
      <rPr>
        <sz val="8"/>
        <rFont val="Times New Roman"/>
        <charset val="134"/>
      </rPr>
      <t>HD195</t>
    </r>
  </si>
  <si>
    <r>
      <rPr>
        <sz val="9"/>
        <rFont val="Microsoft Sans Serif"/>
        <charset val="134"/>
      </rPr>
      <t>SILBATO DE CUMPLEAÑOS 6PCS</t>
    </r>
  </si>
  <si>
    <r>
      <rPr>
        <sz val="8"/>
        <rFont val="Times New Roman"/>
        <charset val="134"/>
      </rPr>
      <t>HD3452</t>
    </r>
  </si>
  <si>
    <r>
      <rPr>
        <sz val="9"/>
        <rFont val="Microsoft Sans Serif"/>
        <charset val="134"/>
      </rPr>
      <t>SILLA BAÑADOR 68136 HD</t>
    </r>
  </si>
  <si>
    <r>
      <rPr>
        <sz val="8"/>
        <rFont val="Times New Roman"/>
        <charset val="134"/>
      </rPr>
      <t>HD3776</t>
    </r>
  </si>
  <si>
    <r>
      <rPr>
        <sz val="9"/>
        <rFont val="Microsoft Sans Serif"/>
        <charset val="134"/>
      </rPr>
      <t>SIMULACION DE CAIDA FALSAS HD</t>
    </r>
  </si>
  <si>
    <r>
      <rPr>
        <sz val="8"/>
        <rFont val="Times New Roman"/>
        <charset val="134"/>
      </rPr>
      <t>HD3777</t>
    </r>
  </si>
  <si>
    <r>
      <rPr>
        <sz val="9"/>
        <rFont val="Microsoft Sans Serif"/>
        <charset val="134"/>
      </rPr>
      <t>SIMULACION DE CAIDA SUAVE HD.POBLADA</t>
    </r>
  </si>
  <si>
    <r>
      <rPr>
        <sz val="8"/>
        <rFont val="Times New Roman"/>
        <charset val="134"/>
      </rPr>
      <t>HD3774</t>
    </r>
  </si>
  <si>
    <r>
      <rPr>
        <sz val="9"/>
        <rFont val="Microsoft Sans Serif"/>
        <charset val="134"/>
      </rPr>
      <t>SIMULACION DE CAIDA SUAVE HD….</t>
    </r>
  </si>
  <si>
    <r>
      <rPr>
        <sz val="8"/>
        <rFont val="Times New Roman"/>
        <charset val="134"/>
      </rPr>
      <t>HD1651</t>
    </r>
  </si>
  <si>
    <r>
      <rPr>
        <sz val="9"/>
        <rFont val="Microsoft Sans Serif"/>
        <charset val="134"/>
      </rPr>
      <t>SIN LUZ ORGANIZADOR CHINA</t>
    </r>
  </si>
  <si>
    <r>
      <rPr>
        <sz val="8"/>
        <rFont val="Times New Roman"/>
        <charset val="134"/>
      </rPr>
      <t>HD2024</t>
    </r>
  </si>
  <si>
    <r>
      <rPr>
        <sz val="9"/>
        <rFont val="Microsoft Sans Serif"/>
        <charset val="134"/>
      </rPr>
      <t>SLC073 WIRELESS SPEAKER</t>
    </r>
  </si>
  <si>
    <r>
      <rPr>
        <sz val="8"/>
        <rFont val="Times New Roman"/>
        <charset val="134"/>
      </rPr>
      <t>HD2028</t>
    </r>
  </si>
  <si>
    <r>
      <rPr>
        <sz val="9"/>
        <rFont val="Microsoft Sans Serif"/>
        <charset val="134"/>
      </rPr>
      <t>SLC110 WIRELESS SPEAKER</t>
    </r>
  </si>
  <si>
    <r>
      <rPr>
        <sz val="8"/>
        <rFont val="Times New Roman"/>
        <charset val="134"/>
      </rPr>
      <t>HD2027</t>
    </r>
  </si>
  <si>
    <r>
      <rPr>
        <sz val="9"/>
        <rFont val="Microsoft Sans Serif"/>
        <charset val="134"/>
      </rPr>
      <t>SLC130 WIRELESS SPEAKER</t>
    </r>
  </si>
  <si>
    <r>
      <rPr>
        <sz val="8"/>
        <rFont val="Times New Roman"/>
        <charset val="134"/>
      </rPr>
      <t>HD3642-1</t>
    </r>
  </si>
  <si>
    <r>
      <rPr>
        <sz val="9"/>
        <rFont val="Microsoft Sans Serif"/>
        <charset val="134"/>
      </rPr>
      <t>SLIME 7817 HD SURTIDO</t>
    </r>
  </si>
  <si>
    <r>
      <rPr>
        <sz val="8"/>
        <rFont val="Times New Roman"/>
        <charset val="134"/>
      </rPr>
      <t>HD3643</t>
    </r>
  </si>
  <si>
    <r>
      <rPr>
        <sz val="9"/>
        <rFont val="Microsoft Sans Serif"/>
        <charset val="134"/>
      </rPr>
      <t>SLIME 7830 HD</t>
    </r>
  </si>
  <si>
    <r>
      <rPr>
        <sz val="8"/>
        <rFont val="Times New Roman"/>
        <charset val="134"/>
      </rPr>
      <t>HD3645-1</t>
    </r>
  </si>
  <si>
    <r>
      <rPr>
        <sz val="9"/>
        <rFont val="Microsoft Sans Serif"/>
        <charset val="134"/>
      </rPr>
      <t>SLIME 7871 HD SURTIDO</t>
    </r>
  </si>
  <si>
    <r>
      <rPr>
        <sz val="8"/>
        <rFont val="Times New Roman"/>
        <charset val="134"/>
      </rPr>
      <t>HD3636</t>
    </r>
  </si>
  <si>
    <r>
      <rPr>
        <sz val="9"/>
        <rFont val="Microsoft Sans Serif"/>
        <charset val="134"/>
      </rPr>
      <t>SLIME HD 0579 /7742</t>
    </r>
  </si>
  <si>
    <r>
      <rPr>
        <sz val="8"/>
        <rFont val="Times New Roman"/>
        <charset val="134"/>
      </rPr>
      <t>HD3638</t>
    </r>
  </si>
  <si>
    <r>
      <rPr>
        <sz val="9"/>
        <rFont val="Microsoft Sans Serif"/>
        <charset val="134"/>
      </rPr>
      <t>SLIME HD 7778</t>
    </r>
  </si>
  <si>
    <r>
      <rPr>
        <sz val="8"/>
        <rFont val="Times New Roman"/>
        <charset val="134"/>
      </rPr>
      <t>HD3639</t>
    </r>
  </si>
  <si>
    <r>
      <rPr>
        <sz val="8"/>
        <rFont val="Times New Roman"/>
        <charset val="134"/>
      </rPr>
      <t>HD4529</t>
    </r>
  </si>
  <si>
    <r>
      <rPr>
        <sz val="9"/>
        <rFont val="Microsoft Sans Serif"/>
        <charset val="134"/>
      </rPr>
      <t>S-N BILLETERA 19X9CM</t>
    </r>
  </si>
  <si>
    <r>
      <rPr>
        <sz val="8"/>
        <rFont val="Times New Roman"/>
        <charset val="134"/>
      </rPr>
      <t>RFD314967</t>
    </r>
  </si>
  <si>
    <r>
      <rPr>
        <sz val="9"/>
        <rFont val="Microsoft Sans Serif"/>
        <charset val="134"/>
      </rPr>
      <t>SNAIL TOY</t>
    </r>
  </si>
  <si>
    <r>
      <rPr>
        <sz val="8"/>
        <rFont val="Times New Roman"/>
        <charset val="134"/>
      </rPr>
      <t>RFD432624</t>
    </r>
  </si>
  <si>
    <r>
      <rPr>
        <sz val="9"/>
        <rFont val="Microsoft Sans Serif"/>
        <charset val="134"/>
      </rPr>
      <t>SNAIL UNIVERSAL JUGUETES</t>
    </r>
  </si>
  <si>
    <r>
      <rPr>
        <sz val="8"/>
        <rFont val="Times New Roman"/>
        <charset val="134"/>
      </rPr>
      <t>RFD430713</t>
    </r>
  </si>
  <si>
    <r>
      <rPr>
        <sz val="9"/>
        <rFont val="Microsoft Sans Serif"/>
        <charset val="134"/>
      </rPr>
      <t>SOFT BALL MANHATTAN</t>
    </r>
  </si>
  <si>
    <r>
      <rPr>
        <sz val="8"/>
        <rFont val="Times New Roman"/>
        <charset val="134"/>
      </rPr>
      <t>HD3658</t>
    </r>
  </si>
  <si>
    <r>
      <rPr>
        <sz val="9"/>
        <rFont val="Microsoft Sans Serif"/>
        <charset val="134"/>
      </rPr>
      <t>SOPORTE ABDOMINAL HD XY-YW-X</t>
    </r>
  </si>
  <si>
    <r>
      <rPr>
        <sz val="8"/>
        <rFont val="Times New Roman"/>
        <charset val="134"/>
      </rPr>
      <t>HD3751</t>
    </r>
  </si>
  <si>
    <r>
      <rPr>
        <sz val="9"/>
        <rFont val="Microsoft Sans Serif"/>
        <charset val="134"/>
      </rPr>
      <t>SOPORTE INFLABLE 57250 HD</t>
    </r>
  </si>
  <si>
    <r>
      <rPr>
        <sz val="8"/>
        <rFont val="Times New Roman"/>
        <charset val="134"/>
      </rPr>
      <t>HD3654-1</t>
    </r>
  </si>
  <si>
    <r>
      <rPr>
        <sz val="9"/>
        <rFont val="Microsoft Sans Serif"/>
        <charset val="134"/>
      </rPr>
      <t>SOPORTE PARA FLEXION YX-FW-L HD</t>
    </r>
  </si>
  <si>
    <r>
      <rPr>
        <sz val="8"/>
        <rFont val="Times New Roman"/>
        <charset val="134"/>
      </rPr>
      <t>HD3709</t>
    </r>
  </si>
  <si>
    <r>
      <rPr>
        <sz val="9"/>
        <rFont val="Microsoft Sans Serif"/>
        <charset val="134"/>
      </rPr>
      <t>SPOPORTE PARA TABLET HD</t>
    </r>
  </si>
  <si>
    <r>
      <rPr>
        <sz val="8"/>
        <rFont val="Times New Roman"/>
        <charset val="134"/>
      </rPr>
      <t>HD3128</t>
    </r>
  </si>
  <si>
    <r>
      <rPr>
        <sz val="9"/>
        <rFont val="Microsoft Sans Serif"/>
        <charset val="134"/>
      </rPr>
      <t>SPORTS FAN PORTATIL VENTILADOR 05/2021</t>
    </r>
  </si>
  <si>
    <r>
      <rPr>
        <sz val="8"/>
        <rFont val="Times New Roman"/>
        <charset val="134"/>
      </rPr>
      <t>RFD432514</t>
    </r>
  </si>
  <si>
    <r>
      <rPr>
        <sz val="9"/>
        <rFont val="Microsoft Sans Serif"/>
        <charset val="134"/>
      </rPr>
      <t>SPRAY FROG ELECTRIC JUGUETES</t>
    </r>
  </si>
  <si>
    <r>
      <rPr>
        <sz val="8"/>
        <rFont val="Times New Roman"/>
        <charset val="134"/>
      </rPr>
      <t>HD2043</t>
    </r>
  </si>
  <si>
    <r>
      <rPr>
        <sz val="9"/>
        <rFont val="Microsoft Sans Serif"/>
        <charset val="134"/>
      </rPr>
      <t>STAR MASTER LAMPARA</t>
    </r>
  </si>
  <si>
    <r>
      <rPr>
        <sz val="8"/>
        <rFont val="Times New Roman"/>
        <charset val="134"/>
      </rPr>
      <t>HD4444</t>
    </r>
  </si>
  <si>
    <r>
      <rPr>
        <sz val="9"/>
        <rFont val="Microsoft Sans Serif"/>
        <charset val="134"/>
      </rPr>
      <t>ST-HA STICKERS PARED</t>
    </r>
  </si>
  <si>
    <r>
      <rPr>
        <sz val="8"/>
        <rFont val="Times New Roman"/>
        <charset val="134"/>
      </rPr>
      <t>HD4445</t>
    </r>
  </si>
  <si>
    <r>
      <rPr>
        <sz val="9"/>
        <rFont val="Microsoft Sans Serif"/>
        <charset val="134"/>
      </rPr>
      <t>ST-HA2 STICKERS PARED</t>
    </r>
  </si>
  <si>
    <r>
      <rPr>
        <sz val="8"/>
        <rFont val="Times New Roman"/>
        <charset val="134"/>
      </rPr>
      <t>HD4446</t>
    </r>
  </si>
  <si>
    <r>
      <rPr>
        <sz val="9"/>
        <rFont val="Microsoft Sans Serif"/>
        <charset val="134"/>
      </rPr>
      <t>ST-HA3 STICKERS PARED</t>
    </r>
  </si>
  <si>
    <r>
      <rPr>
        <sz val="8"/>
        <rFont val="Times New Roman"/>
        <charset val="134"/>
      </rPr>
      <t>HD2114</t>
    </r>
  </si>
  <si>
    <r>
      <rPr>
        <sz val="9"/>
        <rFont val="Microsoft Sans Serif"/>
        <charset val="134"/>
      </rPr>
      <t>STICKERS</t>
    </r>
  </si>
  <si>
    <r>
      <rPr>
        <sz val="8"/>
        <rFont val="Times New Roman"/>
        <charset val="134"/>
      </rPr>
      <t>HD216</t>
    </r>
  </si>
  <si>
    <r>
      <rPr>
        <sz val="9"/>
        <rFont val="Microsoft Sans Serif"/>
        <charset val="134"/>
      </rPr>
      <t>STICKERS DE CORONAS STAY</t>
    </r>
  </si>
  <si>
    <r>
      <rPr>
        <sz val="8"/>
        <rFont val="Times New Roman"/>
        <charset val="134"/>
      </rPr>
      <t>HD214</t>
    </r>
  </si>
  <si>
    <r>
      <rPr>
        <sz val="9"/>
        <rFont val="Microsoft Sans Serif"/>
        <charset val="134"/>
      </rPr>
      <t>STICKERS PARED AA/XM</t>
    </r>
  </si>
  <si>
    <r>
      <rPr>
        <sz val="8"/>
        <rFont val="Times New Roman"/>
        <charset val="134"/>
      </rPr>
      <t>HD4616</t>
    </r>
  </si>
  <si>
    <r>
      <rPr>
        <sz val="9"/>
        <rFont val="Microsoft Sans Serif"/>
        <charset val="134"/>
      </rPr>
      <t>STS STICKERS PARED</t>
    </r>
  </si>
  <si>
    <r>
      <rPr>
        <sz val="8"/>
        <rFont val="Times New Roman"/>
        <charset val="134"/>
      </rPr>
      <t>RFD430714</t>
    </r>
  </si>
  <si>
    <r>
      <rPr>
        <sz val="9"/>
        <rFont val="Microsoft Sans Serif"/>
        <charset val="134"/>
      </rPr>
      <t>SUCKER DINOSAUR TABLE</t>
    </r>
  </si>
  <si>
    <r>
      <rPr>
        <sz val="8"/>
        <rFont val="Times New Roman"/>
        <charset val="134"/>
      </rPr>
      <t>RFD356327</t>
    </r>
  </si>
  <si>
    <r>
      <rPr>
        <sz val="9"/>
        <rFont val="Microsoft Sans Serif"/>
        <charset val="134"/>
      </rPr>
      <t>SWMART POCKET</t>
    </r>
  </si>
  <si>
    <r>
      <rPr>
        <sz val="8"/>
        <rFont val="Times New Roman"/>
        <charset val="134"/>
      </rPr>
      <t>HD3130</t>
    </r>
  </si>
  <si>
    <r>
      <rPr>
        <sz val="9"/>
        <rFont val="Microsoft Sans Serif"/>
        <charset val="134"/>
      </rPr>
      <t>T500 RELOJ 05/2021</t>
    </r>
  </si>
  <si>
    <r>
      <rPr>
        <sz val="8"/>
        <rFont val="Times New Roman"/>
        <charset val="134"/>
      </rPr>
      <t>HD1748</t>
    </r>
  </si>
  <si>
    <r>
      <rPr>
        <sz val="9"/>
        <rFont val="Microsoft Sans Serif"/>
        <charset val="134"/>
      </rPr>
      <t>T9 HUMIFICADOR CHINA</t>
    </r>
  </si>
  <si>
    <r>
      <rPr>
        <sz val="8"/>
        <rFont val="Times New Roman"/>
        <charset val="134"/>
      </rPr>
      <t>HD4412</t>
    </r>
  </si>
  <si>
    <r>
      <rPr>
        <sz val="9"/>
        <rFont val="Microsoft Sans Serif"/>
        <charset val="134"/>
      </rPr>
      <t>TABLA 24*27 CM CHINA</t>
    </r>
  </si>
  <si>
    <r>
      <rPr>
        <sz val="8"/>
        <rFont val="Times New Roman"/>
        <charset val="134"/>
      </rPr>
      <t>HD4411</t>
    </r>
  </si>
  <si>
    <r>
      <rPr>
        <sz val="9"/>
        <rFont val="Microsoft Sans Serif"/>
        <charset val="134"/>
      </rPr>
      <t>TABLA 29*29 CM CHINA</t>
    </r>
  </si>
  <si>
    <r>
      <rPr>
        <sz val="8"/>
        <rFont val="Times New Roman"/>
        <charset val="134"/>
      </rPr>
      <t>HD4075</t>
    </r>
  </si>
  <si>
    <r>
      <rPr>
        <sz val="9"/>
        <rFont val="Microsoft Sans Serif"/>
        <charset val="134"/>
      </rPr>
      <t>TABLA DE PICAR HD 30X40CM</t>
    </r>
  </si>
  <si>
    <r>
      <rPr>
        <sz val="8"/>
        <rFont val="Times New Roman"/>
        <charset val="134"/>
      </rPr>
      <t>HD3408</t>
    </r>
  </si>
  <si>
    <r>
      <rPr>
        <sz val="9"/>
        <rFont val="Microsoft Sans Serif"/>
        <charset val="134"/>
      </rPr>
      <t>TABLERO DE DIBUJO 1501C HD LCD</t>
    </r>
  </si>
  <si>
    <r>
      <rPr>
        <sz val="8"/>
        <rFont val="Times New Roman"/>
        <charset val="134"/>
      </rPr>
      <t>HD3410</t>
    </r>
  </si>
  <si>
    <r>
      <rPr>
        <sz val="9"/>
        <rFont val="Microsoft Sans Serif"/>
        <charset val="134"/>
      </rPr>
      <t>TABLERO DE DIBUJO 8504-1 HD</t>
    </r>
  </si>
  <si>
    <r>
      <rPr>
        <sz val="8"/>
        <rFont val="Times New Roman"/>
        <charset val="134"/>
      </rPr>
      <t>HD3411</t>
    </r>
  </si>
  <si>
    <r>
      <rPr>
        <sz val="9"/>
        <rFont val="Microsoft Sans Serif"/>
        <charset val="134"/>
      </rPr>
      <t>TABLERO DE DIBUJO 8504-2 HD LCD</t>
    </r>
  </si>
  <si>
    <r>
      <rPr>
        <sz val="8"/>
        <rFont val="Times New Roman"/>
        <charset val="134"/>
      </rPr>
      <t>HD3412</t>
    </r>
  </si>
  <si>
    <r>
      <rPr>
        <sz val="9"/>
        <rFont val="Microsoft Sans Serif"/>
        <charset val="134"/>
      </rPr>
      <t>TABLERO DE DIBUJO 8504-3 HD LCD</t>
    </r>
  </si>
  <si>
    <r>
      <rPr>
        <sz val="8"/>
        <rFont val="Times New Roman"/>
        <charset val="134"/>
      </rPr>
      <t>HD3413</t>
    </r>
  </si>
  <si>
    <r>
      <rPr>
        <sz val="9"/>
        <rFont val="Microsoft Sans Serif"/>
        <charset val="134"/>
      </rPr>
      <t>TABLERO DE DIBUJO 8504-4 HD LCD</t>
    </r>
  </si>
  <si>
    <r>
      <rPr>
        <sz val="8"/>
        <rFont val="Times New Roman"/>
        <charset val="134"/>
      </rPr>
      <t>HD3409</t>
    </r>
  </si>
  <si>
    <r>
      <rPr>
        <sz val="9"/>
        <rFont val="Microsoft Sans Serif"/>
        <charset val="134"/>
      </rPr>
      <t>TABLERO DIBUJO 1201C HD</t>
    </r>
  </si>
  <si>
    <r>
      <rPr>
        <sz val="8"/>
        <rFont val="Times New Roman"/>
        <charset val="134"/>
      </rPr>
      <t>HD4014</t>
    </r>
  </si>
  <si>
    <r>
      <rPr>
        <sz val="9"/>
        <rFont val="Microsoft Sans Serif"/>
        <charset val="134"/>
      </rPr>
      <t>TACHO HD BASURA</t>
    </r>
  </si>
  <si>
    <r>
      <rPr>
        <sz val="8"/>
        <rFont val="Times New Roman"/>
        <charset val="134"/>
      </rPr>
      <t>HD3958</t>
    </r>
  </si>
  <si>
    <r>
      <rPr>
        <sz val="9"/>
        <rFont val="Microsoft Sans Serif"/>
        <charset val="134"/>
      </rPr>
      <t>TARJETA DE MEMORIA 128G HD</t>
    </r>
  </si>
  <si>
    <r>
      <rPr>
        <sz val="8"/>
        <rFont val="Times New Roman"/>
        <charset val="134"/>
      </rPr>
      <t>HD3955</t>
    </r>
  </si>
  <si>
    <r>
      <rPr>
        <sz val="9"/>
        <rFont val="Microsoft Sans Serif"/>
        <charset val="134"/>
      </rPr>
      <t>TARJETA DE MEMORIA 16G HD</t>
    </r>
  </si>
  <si>
    <r>
      <rPr>
        <sz val="8"/>
        <rFont val="Times New Roman"/>
        <charset val="134"/>
      </rPr>
      <t>HD3956</t>
    </r>
  </si>
  <si>
    <r>
      <rPr>
        <sz val="9"/>
        <rFont val="Microsoft Sans Serif"/>
        <charset val="134"/>
      </rPr>
      <t>TARJETA DE MEMORIA 32G HD</t>
    </r>
  </si>
  <si>
    <r>
      <rPr>
        <sz val="8"/>
        <rFont val="Times New Roman"/>
        <charset val="134"/>
      </rPr>
      <t>HD3957</t>
    </r>
  </si>
  <si>
    <r>
      <rPr>
        <sz val="9"/>
        <rFont val="Microsoft Sans Serif"/>
        <charset val="134"/>
      </rPr>
      <t>TARJETA DE MEMORIA 64G HD</t>
    </r>
  </si>
  <si>
    <r>
      <rPr>
        <sz val="8"/>
        <rFont val="Times New Roman"/>
        <charset val="134"/>
      </rPr>
      <t>RFD285531</t>
    </r>
  </si>
  <si>
    <r>
      <rPr>
        <sz val="9"/>
        <rFont val="Microsoft Sans Serif"/>
        <charset val="134"/>
      </rPr>
      <t>TECLA DE MUSICA</t>
    </r>
  </si>
  <si>
    <r>
      <rPr>
        <sz val="8"/>
        <rFont val="Times New Roman"/>
        <charset val="134"/>
      </rPr>
      <t>RFD323623</t>
    </r>
  </si>
  <si>
    <r>
      <rPr>
        <sz val="9"/>
        <rFont val="Microsoft Sans Serif"/>
        <charset val="134"/>
      </rPr>
      <t>TEDDY BEAR PLUSH</t>
    </r>
  </si>
  <si>
    <r>
      <rPr>
        <sz val="8"/>
        <rFont val="Times New Roman"/>
        <charset val="134"/>
      </rPr>
      <t>HD4200</t>
    </r>
  </si>
  <si>
    <r>
      <rPr>
        <sz val="9"/>
        <rFont val="Microsoft Sans Serif"/>
        <charset val="134"/>
      </rPr>
      <t>TENAZA DE CABELLO HD GW-7640</t>
    </r>
  </si>
  <si>
    <r>
      <rPr>
        <sz val="8"/>
        <rFont val="Times New Roman"/>
        <charset val="134"/>
      </rPr>
      <t>HD3714</t>
    </r>
  </si>
  <si>
    <r>
      <rPr>
        <sz val="9"/>
        <rFont val="Microsoft Sans Serif"/>
        <charset val="134"/>
      </rPr>
      <t>TENDEDERO DE ACERO TM0035-1 HD INOXIDABLE</t>
    </r>
  </si>
  <si>
    <r>
      <rPr>
        <sz val="8"/>
        <rFont val="Times New Roman"/>
        <charset val="134"/>
      </rPr>
      <t>EX0015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</si>
  <si>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</si>
  <si>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HD9798</t>
    </r>
  </si>
  <si>
    <r>
      <rPr>
        <sz val="8"/>
        <rFont val="Times New Roman"/>
        <charset val="134"/>
      </rPr>
      <t>HD2029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</si>
  <si>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</si>
  <si>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HD2422</t>
    </r>
  </si>
  <si>
    <r>
      <rPr>
        <sz val="8"/>
        <rFont val="Times New Roman"/>
        <charset val="134"/>
      </rPr>
      <t>HD468</t>
    </r>
  </si>
  <si>
    <r>
      <rPr>
        <sz val="8"/>
        <rFont val="Times New Roman"/>
        <charset val="134"/>
      </rPr>
      <t>HD2120</t>
    </r>
  </si>
  <si>
    <r>
      <rPr>
        <sz val="9"/>
        <rFont val="Microsoft Sans Serif"/>
        <charset val="134"/>
      </rPr>
      <t>TERMO 270ML DIAMOND BEAR J2206</t>
    </r>
  </si>
  <si>
    <r>
      <rPr>
        <sz val="8"/>
        <rFont val="Times New Roman"/>
        <charset val="134"/>
      </rPr>
      <t>HD2128</t>
    </r>
  </si>
  <si>
    <r>
      <rPr>
        <sz val="9"/>
        <rFont val="Microsoft Sans Serif"/>
        <charset val="134"/>
      </rPr>
      <t>TERMO 350ML HELLO FRIEND F-2619</t>
    </r>
  </si>
  <si>
    <r>
      <rPr>
        <sz val="8"/>
        <rFont val="Times New Roman"/>
        <charset val="134"/>
      </rPr>
      <t>HD2158</t>
    </r>
  </si>
  <si>
    <r>
      <rPr>
        <sz val="9"/>
        <rFont val="Microsoft Sans Serif"/>
        <charset val="134"/>
      </rPr>
      <t>TERMO 350ML VACUUM FQ-4911</t>
    </r>
  </si>
  <si>
    <r>
      <rPr>
        <sz val="8"/>
        <rFont val="Times New Roman"/>
        <charset val="134"/>
      </rPr>
      <t>HD2152</t>
    </r>
  </si>
  <si>
    <r>
      <rPr>
        <sz val="9"/>
        <rFont val="Microsoft Sans Serif"/>
        <charset val="134"/>
      </rPr>
      <t>TERMO 400ML COLORES PASTELES</t>
    </r>
  </si>
  <si>
    <r>
      <rPr>
        <sz val="8"/>
        <rFont val="Times New Roman"/>
        <charset val="134"/>
      </rPr>
      <t>HD8325</t>
    </r>
  </si>
  <si>
    <r>
      <rPr>
        <sz val="9"/>
        <rFont val="Microsoft Sans Serif"/>
        <charset val="134"/>
      </rPr>
      <t>TERMO ACC .HOGAR</t>
    </r>
  </si>
  <si>
    <r>
      <rPr>
        <sz val="8"/>
        <rFont val="Times New Roman"/>
        <charset val="134"/>
      </rPr>
      <t>HD2142</t>
    </r>
  </si>
  <si>
    <r>
      <rPr>
        <sz val="9"/>
        <rFont val="Microsoft Sans Serif"/>
        <charset val="134"/>
      </rPr>
      <t>TERMO BROCHE 450ML VACUUM</t>
    </r>
  </si>
  <si>
    <r>
      <rPr>
        <sz val="9"/>
        <rFont val="Microsoft Sans Serif"/>
        <charset val="134"/>
      </rPr>
      <t>TERMO DE VIDRIO U-CUP 350ML</t>
    </r>
  </si>
  <si>
    <r>
      <rPr>
        <sz val="8"/>
        <rFont val="Times New Roman"/>
        <charset val="134"/>
      </rPr>
      <t>HD2168</t>
    </r>
  </si>
  <si>
    <r>
      <rPr>
        <sz val="9"/>
        <rFont val="Microsoft Sans Serif"/>
        <charset val="134"/>
      </rPr>
      <t>TERMO HONOORE 400ML VACUUM</t>
    </r>
  </si>
  <si>
    <r>
      <rPr>
        <sz val="8"/>
        <rFont val="Times New Roman"/>
        <charset val="134"/>
      </rPr>
      <t>HD2145</t>
    </r>
  </si>
  <si>
    <r>
      <rPr>
        <sz val="9"/>
        <rFont val="Microsoft Sans Serif"/>
        <charset val="134"/>
      </rPr>
      <t>TERMO HOT &amp; COOL 750ML</t>
    </r>
  </si>
  <si>
    <r>
      <rPr>
        <sz val="8"/>
        <rFont val="Times New Roman"/>
        <charset val="134"/>
      </rPr>
      <t>HD4060</t>
    </r>
  </si>
  <si>
    <r>
      <rPr>
        <sz val="9"/>
        <rFont val="Microsoft Sans Serif"/>
        <charset val="134"/>
      </rPr>
      <t>TERMO NICE HD 400ML</t>
    </r>
  </si>
  <si>
    <r>
      <rPr>
        <sz val="8"/>
        <rFont val="Times New Roman"/>
        <charset val="134"/>
      </rPr>
      <t>HD2146</t>
    </r>
  </si>
  <si>
    <r>
      <rPr>
        <sz val="9"/>
        <rFont val="Microsoft Sans Serif"/>
        <charset val="134"/>
      </rPr>
      <t>TERMO NOCHE OSCURA VACUUM 450ML</t>
    </r>
  </si>
  <si>
    <r>
      <rPr>
        <sz val="8"/>
        <rFont val="Times New Roman"/>
        <charset val="134"/>
      </rPr>
      <t>HD2164</t>
    </r>
  </si>
  <si>
    <r>
      <rPr>
        <sz val="9"/>
        <rFont val="Microsoft Sans Serif"/>
        <charset val="134"/>
      </rPr>
      <t>TERMO PERRITO VIDRIO</t>
    </r>
  </si>
  <si>
    <r>
      <rPr>
        <sz val="9"/>
        <rFont val="Microsoft Sans Serif"/>
        <charset val="134"/>
      </rPr>
      <t>TERMO RIPPLE RING</t>
    </r>
  </si>
  <si>
    <r>
      <rPr>
        <sz val="8"/>
        <rFont val="Times New Roman"/>
        <charset val="134"/>
      </rPr>
      <t>HD4065</t>
    </r>
  </si>
  <si>
    <r>
      <rPr>
        <sz val="9"/>
        <rFont val="Microsoft Sans Serif"/>
        <charset val="134"/>
      </rPr>
      <t>TERMO TEMPER. HD 320ML</t>
    </r>
  </si>
  <si>
    <r>
      <rPr>
        <sz val="8"/>
        <rFont val="Times New Roman"/>
        <charset val="134"/>
      </rPr>
      <t>HD2170</t>
    </r>
  </si>
  <si>
    <r>
      <rPr>
        <sz val="9"/>
        <rFont val="Microsoft Sans Serif"/>
        <charset val="134"/>
      </rPr>
      <t>TERMO TOTORO 430ML VACUUM</t>
    </r>
  </si>
  <si>
    <r>
      <rPr>
        <sz val="8"/>
        <rFont val="Times New Roman"/>
        <charset val="134"/>
      </rPr>
      <t>HD1600</t>
    </r>
  </si>
  <si>
    <r>
      <rPr>
        <sz val="9"/>
        <rFont val="Microsoft Sans Serif"/>
        <charset val="134"/>
      </rPr>
      <t>TERMOMETRO DM2001 E+KM</t>
    </r>
  </si>
  <si>
    <r>
      <rPr>
        <sz val="8"/>
        <rFont val="Times New Roman"/>
        <charset val="134"/>
      </rPr>
      <t>EX0009</t>
    </r>
  </si>
  <si>
    <r>
      <rPr>
        <sz val="9"/>
        <rFont val="Microsoft Sans Serif"/>
        <charset val="134"/>
      </rPr>
      <t>TERMOS AM VACUUM CUP</t>
    </r>
  </si>
  <si>
    <r>
      <rPr>
        <sz val="8"/>
        <rFont val="Times New Roman"/>
        <charset val="134"/>
      </rPr>
      <t>HD2022</t>
    </r>
  </si>
  <si>
    <r>
      <rPr>
        <sz val="9"/>
        <rFont val="Microsoft Sans Serif"/>
        <charset val="134"/>
      </rPr>
      <t>TG117 PORTABLE SPEAKER</t>
    </r>
  </si>
  <si>
    <r>
      <rPr>
        <sz val="8"/>
        <rFont val="Times New Roman"/>
        <charset val="134"/>
      </rPr>
      <t>HD02067</t>
    </r>
  </si>
  <si>
    <r>
      <rPr>
        <sz val="9"/>
        <rFont val="Microsoft Sans Serif"/>
        <charset val="134"/>
      </rPr>
      <t>TG-157 ROJO/NEGRO</t>
    </r>
  </si>
  <si>
    <r>
      <rPr>
        <sz val="8"/>
        <rFont val="Times New Roman"/>
        <charset val="134"/>
      </rPr>
      <t>HD2025</t>
    </r>
  </si>
  <si>
    <r>
      <rPr>
        <sz val="9"/>
        <rFont val="Microsoft Sans Serif"/>
        <charset val="134"/>
      </rPr>
      <t>TG528 PORTABLE SPEAKER</t>
    </r>
  </si>
  <si>
    <r>
      <rPr>
        <sz val="8"/>
        <rFont val="Times New Roman"/>
        <charset val="134"/>
      </rPr>
      <t>RFD356330</t>
    </r>
  </si>
  <si>
    <r>
      <rPr>
        <sz val="9"/>
        <rFont val="Microsoft Sans Serif"/>
        <charset val="134"/>
      </rPr>
      <t>THROWING MUSIC FUN BALL</t>
    </r>
  </si>
  <si>
    <r>
      <rPr>
        <sz val="8"/>
        <rFont val="Times New Roman"/>
        <charset val="134"/>
      </rPr>
      <t>RFD432609</t>
    </r>
  </si>
  <si>
    <r>
      <rPr>
        <sz val="9"/>
        <rFont val="Microsoft Sans Serif"/>
        <charset val="134"/>
      </rPr>
      <t>TIGER PIANO</t>
    </r>
  </si>
  <si>
    <r>
      <rPr>
        <sz val="9"/>
        <rFont val="Microsoft Sans Serif"/>
        <charset val="134"/>
      </rPr>
      <t>TIJERAS DE PLASTICO</t>
    </r>
  </si>
  <si>
    <r>
      <rPr>
        <sz val="8"/>
        <rFont val="Times New Roman"/>
        <charset val="134"/>
      </rPr>
      <t>HD3428</t>
    </r>
  </si>
  <si>
    <r>
      <rPr>
        <sz val="9"/>
        <rFont val="Microsoft Sans Serif"/>
        <charset val="134"/>
      </rPr>
      <t>TIMBRE 7105DC HD</t>
    </r>
  </si>
  <si>
    <r>
      <rPr>
        <sz val="8"/>
        <rFont val="Times New Roman"/>
        <charset val="134"/>
      </rPr>
      <t>HD3426</t>
    </r>
  </si>
  <si>
    <r>
      <rPr>
        <sz val="9"/>
        <rFont val="Microsoft Sans Serif"/>
        <charset val="134"/>
      </rPr>
      <t>TIMBRE AK-01 HD</t>
    </r>
  </si>
  <si>
    <r>
      <rPr>
        <sz val="8"/>
        <rFont val="Times New Roman"/>
        <charset val="134"/>
      </rPr>
      <t>HD3425</t>
    </r>
  </si>
  <si>
    <r>
      <rPr>
        <sz val="9"/>
        <rFont val="Microsoft Sans Serif"/>
        <charset val="134"/>
      </rPr>
      <t>TIMBRE INALAMBRICO V04DC HD</t>
    </r>
  </si>
  <si>
    <r>
      <rPr>
        <sz val="8"/>
        <rFont val="Times New Roman"/>
        <charset val="134"/>
      </rPr>
      <t>HD3427</t>
    </r>
  </si>
  <si>
    <r>
      <rPr>
        <sz val="9"/>
        <rFont val="Microsoft Sans Serif"/>
        <charset val="134"/>
      </rPr>
      <t>TIMBRE JK02-AC HD</t>
    </r>
  </si>
  <si>
    <r>
      <rPr>
        <sz val="8"/>
        <rFont val="Times New Roman"/>
        <charset val="134"/>
      </rPr>
      <t>HD4265</t>
    </r>
  </si>
  <si>
    <r>
      <rPr>
        <sz val="9"/>
        <rFont val="Microsoft Sans Serif"/>
        <charset val="134"/>
      </rPr>
      <t>TIRA ANTICOLISION HD FORMA DE L</t>
    </r>
  </si>
  <si>
    <r>
      <rPr>
        <sz val="8"/>
        <rFont val="Times New Roman"/>
        <charset val="134"/>
      </rPr>
      <t>HD2561</t>
    </r>
  </si>
  <si>
    <r>
      <rPr>
        <sz val="9"/>
        <rFont val="Microsoft Sans Serif"/>
        <charset val="134"/>
      </rPr>
      <t>TIRA DORADA MOD2 NAVIDAD</t>
    </r>
  </si>
  <si>
    <r>
      <rPr>
        <sz val="8"/>
        <rFont val="Times New Roman"/>
        <charset val="134"/>
      </rPr>
      <t>HD2562</t>
    </r>
  </si>
  <si>
    <r>
      <rPr>
        <sz val="9"/>
        <rFont val="Microsoft Sans Serif"/>
        <charset val="134"/>
      </rPr>
      <t>TIRA ROJA MOD3 NAVIDAD</t>
    </r>
  </si>
  <si>
    <r>
      <rPr>
        <sz val="8"/>
        <rFont val="Times New Roman"/>
        <charset val="134"/>
      </rPr>
      <t>HD2563</t>
    </r>
  </si>
  <si>
    <r>
      <rPr>
        <sz val="9"/>
        <rFont val="Microsoft Sans Serif"/>
        <charset val="134"/>
      </rPr>
      <t>TIRA ROJA MOD4 NAVIDAD.</t>
    </r>
  </si>
  <si>
    <r>
      <rPr>
        <sz val="8"/>
        <rFont val="Times New Roman"/>
        <charset val="134"/>
      </rPr>
      <t>HD2560</t>
    </r>
  </si>
  <si>
    <r>
      <rPr>
        <sz val="9"/>
        <rFont val="Microsoft Sans Serif"/>
        <charset val="134"/>
      </rPr>
      <t>TIRA VAR MOD1 NAVIDAD</t>
    </r>
  </si>
  <si>
    <r>
      <rPr>
        <sz val="8"/>
        <rFont val="Times New Roman"/>
        <charset val="134"/>
      </rPr>
      <t>HD3089</t>
    </r>
  </si>
  <si>
    <r>
      <rPr>
        <sz val="9"/>
        <rFont val="Microsoft Sans Serif"/>
        <charset val="134"/>
      </rPr>
      <t>TOALLA 25X25CM 05/2021</t>
    </r>
  </si>
  <si>
    <r>
      <rPr>
        <sz val="8"/>
        <rFont val="Times New Roman"/>
        <charset val="134"/>
      </rPr>
      <t>EX0021</t>
    </r>
  </si>
  <si>
    <r>
      <rPr>
        <sz val="9"/>
        <rFont val="Microsoft Sans Serif"/>
        <charset val="134"/>
      </rPr>
      <t>TOAlla con alcohol</t>
    </r>
  </si>
  <si>
    <r>
      <rPr>
        <sz val="8"/>
        <rFont val="Times New Roman"/>
        <charset val="134"/>
      </rPr>
      <t>HD3650-1</t>
    </r>
  </si>
  <si>
    <r>
      <rPr>
        <sz val="9"/>
        <rFont val="Microsoft Sans Serif"/>
        <charset val="134"/>
      </rPr>
      <t>TOALLA DE MANO HD</t>
    </r>
  </si>
  <si>
    <r>
      <rPr>
        <sz val="8"/>
        <rFont val="Times New Roman"/>
        <charset val="134"/>
      </rPr>
      <t>HD30080</t>
    </r>
  </si>
  <si>
    <r>
      <rPr>
        <sz val="9"/>
        <rFont val="Microsoft Sans Serif"/>
        <charset val="134"/>
      </rPr>
      <t>TOALLA MES + BORDE 05/2021</t>
    </r>
  </si>
  <si>
    <r>
      <rPr>
        <sz val="8"/>
        <rFont val="Times New Roman"/>
        <charset val="134"/>
      </rPr>
      <t>HD3011</t>
    </r>
  </si>
  <si>
    <r>
      <rPr>
        <sz val="9"/>
        <rFont val="Microsoft Sans Serif"/>
        <charset val="134"/>
      </rPr>
      <t>TOALLA PARA EL CABEL 5R HD</t>
    </r>
  </si>
  <si>
    <r>
      <rPr>
        <sz val="8"/>
        <rFont val="Times New Roman"/>
        <charset val="134"/>
      </rPr>
      <t>HD3014</t>
    </r>
  </si>
  <si>
    <r>
      <rPr>
        <sz val="9"/>
        <rFont val="Microsoft Sans Serif"/>
        <charset val="134"/>
      </rPr>
      <t>TOALLAS VERTICAL 05/2021</t>
    </r>
  </si>
  <si>
    <r>
      <rPr>
        <sz val="8"/>
        <rFont val="Times New Roman"/>
        <charset val="134"/>
      </rPr>
      <t>HD3383</t>
    </r>
  </si>
  <si>
    <r>
      <rPr>
        <sz val="9"/>
        <rFont val="Microsoft Sans Serif"/>
        <charset val="134"/>
      </rPr>
      <t>TOALLITAS COMPRIMIDA X100PZ HD</t>
    </r>
  </si>
  <si>
    <r>
      <rPr>
        <sz val="8"/>
        <rFont val="Times New Roman"/>
        <charset val="134"/>
      </rPr>
      <t>HD3438</t>
    </r>
  </si>
  <si>
    <r>
      <rPr>
        <sz val="9"/>
        <rFont val="Microsoft Sans Serif"/>
        <charset val="134"/>
      </rPr>
      <t>TOALLITAS COMPRIMIDA X20 PZ HD</t>
    </r>
  </si>
  <si>
    <r>
      <rPr>
        <sz val="8"/>
        <rFont val="Times New Roman"/>
        <charset val="134"/>
      </rPr>
      <t>HD3441</t>
    </r>
  </si>
  <si>
    <r>
      <rPr>
        <sz val="9"/>
        <rFont val="Microsoft Sans Serif"/>
        <charset val="134"/>
      </rPr>
      <t>TOALLITAS DE ALGODON X200PZ HD</t>
    </r>
  </si>
  <si>
    <r>
      <rPr>
        <sz val="8"/>
        <rFont val="Times New Roman"/>
        <charset val="134"/>
      </rPr>
      <t>HD2466</t>
    </r>
  </si>
  <si>
    <r>
      <rPr>
        <sz val="9"/>
        <rFont val="Microsoft Sans Serif"/>
        <charset val="134"/>
      </rPr>
      <t>TRANSPARENTE_CARCASA</t>
    </r>
  </si>
  <si>
    <r>
      <rPr>
        <sz val="8"/>
        <rFont val="Times New Roman"/>
        <charset val="134"/>
      </rPr>
      <t>HD3164</t>
    </r>
  </si>
  <si>
    <r>
      <rPr>
        <sz val="9"/>
        <rFont val="Microsoft Sans Serif"/>
        <charset val="134"/>
      </rPr>
      <t>TRAVELLERR MAQUINA DE AFECTAR 05/2021</t>
    </r>
  </si>
  <si>
    <r>
      <rPr>
        <sz val="8"/>
        <rFont val="Times New Roman"/>
        <charset val="134"/>
      </rPr>
      <t>RFD415596</t>
    </r>
  </si>
  <si>
    <r>
      <rPr>
        <sz val="9"/>
        <rFont val="Microsoft Sans Serif"/>
        <charset val="134"/>
      </rPr>
      <t>TRICERATOPS DINOSAUR JUGUETES</t>
    </r>
  </si>
  <si>
    <r>
      <rPr>
        <sz val="8"/>
        <rFont val="Times New Roman"/>
        <charset val="134"/>
      </rPr>
      <t>HD3707</t>
    </r>
  </si>
  <si>
    <r>
      <rPr>
        <sz val="9"/>
        <rFont val="Microsoft Sans Serif"/>
        <charset val="134"/>
      </rPr>
      <t>TRIPODE HD P20D</t>
    </r>
  </si>
  <si>
    <r>
      <rPr>
        <sz val="8"/>
        <rFont val="Times New Roman"/>
        <charset val="134"/>
      </rPr>
      <t>RFD314969</t>
    </r>
  </si>
  <si>
    <r>
      <rPr>
        <sz val="9"/>
        <rFont val="Microsoft Sans Serif"/>
        <charset val="134"/>
      </rPr>
      <t>TUMBLER JENGLE</t>
    </r>
  </si>
  <si>
    <r>
      <rPr>
        <sz val="8"/>
        <rFont val="Times New Roman"/>
        <charset val="134"/>
      </rPr>
      <t>HD4436</t>
    </r>
  </si>
  <si>
    <r>
      <rPr>
        <sz val="9"/>
        <rFont val="Microsoft Sans Serif"/>
        <charset val="134"/>
      </rPr>
      <t>TY601 MOLDES PASTEL 3PZS</t>
    </r>
  </si>
  <si>
    <r>
      <rPr>
        <sz val="8"/>
        <rFont val="Times New Roman"/>
        <charset val="134"/>
      </rPr>
      <t>HD4437</t>
    </r>
  </si>
  <si>
    <r>
      <rPr>
        <sz val="9"/>
        <rFont val="Microsoft Sans Serif"/>
        <charset val="134"/>
      </rPr>
      <t>TY607 MOLDES KETTY PASTEL 3PZS</t>
    </r>
  </si>
  <si>
    <r>
      <rPr>
        <sz val="8"/>
        <rFont val="Times New Roman"/>
        <charset val="134"/>
      </rPr>
      <t>HD4438</t>
    </r>
  </si>
  <si>
    <r>
      <rPr>
        <sz val="9"/>
        <rFont val="Microsoft Sans Serif"/>
        <charset val="134"/>
      </rPr>
      <t>TY610 MOLDES PASTEL 3PZS</t>
    </r>
  </si>
  <si>
    <r>
      <rPr>
        <sz val="8"/>
        <rFont val="Times New Roman"/>
        <charset val="134"/>
      </rPr>
      <t>HD4439</t>
    </r>
  </si>
  <si>
    <r>
      <rPr>
        <sz val="9"/>
        <rFont val="Microsoft Sans Serif"/>
        <charset val="134"/>
      </rPr>
      <t>TY611 MOLDES PASTEL 3PZS</t>
    </r>
  </si>
  <si>
    <r>
      <rPr>
        <sz val="8"/>
        <rFont val="Times New Roman"/>
        <charset val="134"/>
      </rPr>
      <t>RFD415594</t>
    </r>
  </si>
  <si>
    <r>
      <rPr>
        <sz val="9"/>
        <rFont val="Microsoft Sans Serif"/>
        <charset val="134"/>
      </rPr>
      <t>TYRANNOSAURUS VARIOS JUGUETES</t>
    </r>
  </si>
  <si>
    <r>
      <rPr>
        <sz val="8"/>
        <rFont val="Times New Roman"/>
        <charset val="134"/>
      </rPr>
      <t>HD1827</t>
    </r>
  </si>
  <si>
    <r>
      <rPr>
        <sz val="9"/>
        <rFont val="Microsoft Sans Serif"/>
        <charset val="134"/>
      </rPr>
      <t>U5 ROUTER CHINA</t>
    </r>
  </si>
  <si>
    <r>
      <rPr>
        <sz val="8"/>
        <rFont val="Times New Roman"/>
        <charset val="134"/>
      </rPr>
      <t>RFD424688</t>
    </r>
  </si>
  <si>
    <r>
      <rPr>
        <sz val="9"/>
        <rFont val="Microsoft Sans Serif"/>
        <charset val="134"/>
      </rPr>
      <t>UNICORN VARIOS JUGUETES</t>
    </r>
  </si>
  <si>
    <r>
      <rPr>
        <sz val="9"/>
        <rFont val="Microsoft Sans Serif"/>
        <charset val="134"/>
      </rPr>
      <t>UÑAS 976 XUCABEAUTY</t>
    </r>
  </si>
  <si>
    <r>
      <rPr>
        <sz val="9"/>
        <rFont val="Microsoft Sans Serif"/>
        <charset val="134"/>
      </rPr>
      <t>UÑAS POS 1803</t>
    </r>
  </si>
  <si>
    <r>
      <rPr>
        <sz val="9"/>
        <rFont val="Microsoft Sans Serif"/>
        <charset val="134"/>
      </rPr>
      <t>UÑAS POS 912</t>
    </r>
  </si>
  <si>
    <r>
      <rPr>
        <sz val="9"/>
        <rFont val="Microsoft Sans Serif"/>
        <charset val="134"/>
      </rPr>
      <t>UÑAS POS 952</t>
    </r>
  </si>
  <si>
    <r>
      <rPr>
        <sz val="9"/>
        <rFont val="Microsoft Sans Serif"/>
        <charset val="134"/>
      </rPr>
      <t>UÑAS POS S608</t>
    </r>
  </si>
  <si>
    <r>
      <rPr>
        <sz val="8"/>
        <rFont val="Times New Roman"/>
        <charset val="134"/>
      </rPr>
      <t>HD579</t>
    </r>
  </si>
  <si>
    <r>
      <rPr>
        <sz val="9"/>
        <rFont val="Microsoft Sans Serif"/>
        <charset val="134"/>
      </rPr>
      <t>UÑAS POSTIZA MJE1005</t>
    </r>
  </si>
  <si>
    <r>
      <rPr>
        <sz val="8"/>
        <rFont val="Times New Roman"/>
        <charset val="134"/>
      </rPr>
      <t>RFD431796</t>
    </r>
  </si>
  <si>
    <r>
      <rPr>
        <sz val="9"/>
        <rFont val="Microsoft Sans Serif"/>
        <charset val="134"/>
      </rPr>
      <t>UPGRADED MAGNETIC 36 PCS JUGUETE</t>
    </r>
  </si>
  <si>
    <t>HD4298</t>
  </si>
  <si>
    <t>UTENSILIOS XB8506 KITS</t>
  </si>
  <si>
    <r>
      <rPr>
        <sz val="8"/>
        <rFont val="Times New Roman"/>
        <charset val="134"/>
      </rPr>
      <t>HD3336</t>
    </r>
  </si>
  <si>
    <r>
      <rPr>
        <sz val="9"/>
        <rFont val="Microsoft Sans Serif"/>
        <charset val="134"/>
      </rPr>
      <t>V06 MOUSE 05/2021</t>
    </r>
  </si>
  <si>
    <r>
      <rPr>
        <sz val="8"/>
        <rFont val="Times New Roman"/>
        <charset val="134"/>
      </rPr>
      <t>HD223</t>
    </r>
  </si>
  <si>
    <r>
      <rPr>
        <sz val="9"/>
        <rFont val="Microsoft Sans Serif"/>
        <charset val="134"/>
      </rPr>
      <t>VASITO MYCUD</t>
    </r>
  </si>
  <si>
    <r>
      <rPr>
        <sz val="8"/>
        <rFont val="Times New Roman"/>
        <charset val="134"/>
      </rPr>
      <t>HD4001</t>
    </r>
  </si>
  <si>
    <r>
      <rPr>
        <sz val="9"/>
        <rFont val="Microsoft Sans Serif"/>
        <charset val="134"/>
      </rPr>
      <t>VASO HD</t>
    </r>
  </si>
  <si>
    <r>
      <rPr>
        <sz val="8"/>
        <rFont val="Times New Roman"/>
        <charset val="134"/>
      </rPr>
      <t>HD06117</t>
    </r>
  </si>
  <si>
    <r>
      <rPr>
        <sz val="9"/>
        <rFont val="Microsoft Sans Serif"/>
        <charset val="134"/>
      </rPr>
      <t>VASO TRANSP METKA</t>
    </r>
  </si>
  <si>
    <r>
      <rPr>
        <sz val="8"/>
        <rFont val="Times New Roman"/>
        <charset val="134"/>
      </rPr>
      <t>HD276</t>
    </r>
  </si>
  <si>
    <r>
      <rPr>
        <sz val="9"/>
        <rFont val="Microsoft Sans Serif"/>
        <charset val="134"/>
      </rPr>
      <t>VASOS PLASTICO DE LUCES</t>
    </r>
  </si>
  <si>
    <r>
      <rPr>
        <sz val="8"/>
        <rFont val="Times New Roman"/>
        <charset val="134"/>
      </rPr>
      <t>HD3156</t>
    </r>
  </si>
  <si>
    <r>
      <rPr>
        <sz val="9"/>
        <rFont val="Microsoft Sans Serif"/>
        <charset val="134"/>
      </rPr>
      <t>VELA 05/2021 17DC-4M23</t>
    </r>
  </si>
  <si>
    <r>
      <rPr>
        <sz val="8"/>
        <rFont val="Times New Roman"/>
        <charset val="134"/>
      </rPr>
      <t>HD2089</t>
    </r>
  </si>
  <si>
    <r>
      <rPr>
        <sz val="9"/>
        <rFont val="Microsoft Sans Serif"/>
        <charset val="134"/>
      </rPr>
      <t>VELA AROMATICA CHINA-EN VASO DE CRISTAL</t>
    </r>
  </si>
  <si>
    <r>
      <rPr>
        <sz val="8"/>
        <rFont val="Times New Roman"/>
        <charset val="134"/>
      </rPr>
      <t>HD3158</t>
    </r>
  </si>
  <si>
    <r>
      <rPr>
        <sz val="9"/>
        <rFont val="Microsoft Sans Serif"/>
        <charset val="134"/>
      </rPr>
      <t>VELA CACTUS VERDE 05/2021</t>
    </r>
  </si>
  <si>
    <r>
      <rPr>
        <sz val="8"/>
        <rFont val="Times New Roman"/>
        <charset val="134"/>
      </rPr>
      <t>HD4154</t>
    </r>
  </si>
  <si>
    <r>
      <rPr>
        <sz val="9"/>
        <rFont val="Microsoft Sans Serif"/>
        <charset val="134"/>
      </rPr>
      <t>VELA CUMPLEAÑOS HD</t>
    </r>
  </si>
  <si>
    <r>
      <rPr>
        <sz val="8"/>
        <rFont val="Times New Roman"/>
        <charset val="134"/>
      </rPr>
      <t>HD4177</t>
    </r>
  </si>
  <si>
    <r>
      <rPr>
        <sz val="8"/>
        <rFont val="Times New Roman"/>
        <charset val="134"/>
      </rPr>
      <t>HD4171</t>
    </r>
  </si>
  <si>
    <r>
      <rPr>
        <sz val="9"/>
        <rFont val="Microsoft Sans Serif"/>
        <charset val="134"/>
      </rPr>
      <t>VELA CUMPLEAÑOS HD NUMERO</t>
    </r>
  </si>
  <si>
    <r>
      <rPr>
        <sz val="8"/>
        <rFont val="Times New Roman"/>
        <charset val="134"/>
      </rPr>
      <t>HD4172</t>
    </r>
  </si>
  <si>
    <r>
      <rPr>
        <sz val="9"/>
        <rFont val="Microsoft Sans Serif"/>
        <charset val="134"/>
      </rPr>
      <t>VELA CUMPLEAÑOS HD NUMERO.</t>
    </r>
  </si>
  <si>
    <r>
      <rPr>
        <sz val="8"/>
        <rFont val="Times New Roman"/>
        <charset val="134"/>
      </rPr>
      <t>HD4175</t>
    </r>
  </si>
  <si>
    <r>
      <rPr>
        <sz val="9"/>
        <rFont val="Microsoft Sans Serif"/>
        <charset val="134"/>
      </rPr>
      <t>VELA CUMPLEAÑOS HD NUMERO..</t>
    </r>
  </si>
  <si>
    <r>
      <rPr>
        <sz val="8"/>
        <rFont val="Times New Roman"/>
        <charset val="134"/>
      </rPr>
      <t>HD4176</t>
    </r>
  </si>
  <si>
    <r>
      <rPr>
        <sz val="9"/>
        <rFont val="Microsoft Sans Serif"/>
        <charset val="134"/>
      </rPr>
      <t>VELA CUMPLEAÑOS HD NUMERO…</t>
    </r>
  </si>
  <si>
    <r>
      <rPr>
        <sz val="8"/>
        <rFont val="Times New Roman"/>
        <charset val="134"/>
      </rPr>
      <t>HD2492</t>
    </r>
  </si>
  <si>
    <r>
      <rPr>
        <sz val="9"/>
        <rFont val="Microsoft Sans Serif"/>
        <charset val="134"/>
      </rPr>
      <t>VELA DECORATICA STAR 05/2021</t>
    </r>
  </si>
  <si>
    <r>
      <rPr>
        <sz val="8"/>
        <rFont val="Times New Roman"/>
        <charset val="134"/>
      </rPr>
      <t>HD4551</t>
    </r>
  </si>
  <si>
    <r>
      <rPr>
        <sz val="9"/>
        <rFont val="Microsoft Sans Serif"/>
        <charset val="134"/>
      </rPr>
      <t>VELA DECORATIVA</t>
    </r>
  </si>
  <si>
    <r>
      <rPr>
        <sz val="8"/>
        <rFont val="Times New Roman"/>
        <charset val="134"/>
      </rPr>
      <t>HD4161</t>
    </r>
  </si>
  <si>
    <r>
      <rPr>
        <sz val="9"/>
        <rFont val="Microsoft Sans Serif"/>
        <charset val="134"/>
      </rPr>
      <t>VELA DECORATIVA HB REY</t>
    </r>
  </si>
  <si>
    <r>
      <rPr>
        <sz val="8"/>
        <rFont val="Times New Roman"/>
        <charset val="134"/>
      </rPr>
      <t>HD4152</t>
    </r>
  </si>
  <si>
    <r>
      <rPr>
        <sz val="9"/>
        <rFont val="Microsoft Sans Serif"/>
        <charset val="134"/>
      </rPr>
      <t>VELA DECORATIVA HD</t>
    </r>
  </si>
  <si>
    <r>
      <rPr>
        <sz val="8"/>
        <rFont val="Times New Roman"/>
        <charset val="134"/>
      </rPr>
      <t>HD4156</t>
    </r>
  </si>
  <si>
    <r>
      <rPr>
        <sz val="9"/>
        <rFont val="Microsoft Sans Serif"/>
        <charset val="134"/>
      </rPr>
      <t>VELA DECORATIVA HD LABIO</t>
    </r>
  </si>
  <si>
    <r>
      <rPr>
        <sz val="8"/>
        <rFont val="Times New Roman"/>
        <charset val="134"/>
      </rPr>
      <t>HD4163</t>
    </r>
  </si>
  <si>
    <r>
      <rPr>
        <sz val="9"/>
        <rFont val="Microsoft Sans Serif"/>
        <charset val="134"/>
      </rPr>
      <t>VELA DECORATIVA HD LETRA</t>
    </r>
  </si>
  <si>
    <r>
      <rPr>
        <sz val="8"/>
        <rFont val="Times New Roman"/>
        <charset val="134"/>
      </rPr>
      <t>HD4153</t>
    </r>
  </si>
  <si>
    <r>
      <rPr>
        <sz val="9"/>
        <rFont val="Microsoft Sans Serif"/>
        <charset val="134"/>
      </rPr>
      <t>VELA DECORATIVA HD.</t>
    </r>
  </si>
  <si>
    <r>
      <rPr>
        <sz val="8"/>
        <rFont val="Times New Roman"/>
        <charset val="134"/>
      </rPr>
      <t>HD4155</t>
    </r>
  </si>
  <si>
    <r>
      <rPr>
        <sz val="9"/>
        <rFont val="Microsoft Sans Serif"/>
        <charset val="134"/>
      </rPr>
      <t>VELA DECORATIVA HD..</t>
    </r>
  </si>
  <si>
    <r>
      <rPr>
        <sz val="8"/>
        <rFont val="Times New Roman"/>
        <charset val="134"/>
      </rPr>
      <t>HD4162</t>
    </r>
  </si>
  <si>
    <r>
      <rPr>
        <sz val="9"/>
        <rFont val="Microsoft Sans Serif"/>
        <charset val="134"/>
      </rPr>
      <t>VELA DECORATIVA HD/.</t>
    </r>
  </si>
  <si>
    <r>
      <rPr>
        <sz val="8"/>
        <rFont val="Times New Roman"/>
        <charset val="134"/>
      </rPr>
      <t>HD4165</t>
    </r>
  </si>
  <si>
    <r>
      <rPr>
        <sz val="9"/>
        <rFont val="Microsoft Sans Serif"/>
        <charset val="134"/>
      </rPr>
      <t>VELA DECORATIVA HD/..</t>
    </r>
  </si>
  <si>
    <r>
      <rPr>
        <sz val="8"/>
        <rFont val="Times New Roman"/>
        <charset val="134"/>
      </rPr>
      <t>HD4168</t>
    </r>
  </si>
  <si>
    <r>
      <rPr>
        <sz val="9"/>
        <rFont val="Microsoft Sans Serif"/>
        <charset val="134"/>
      </rPr>
      <t>VELA DECORATIVA HD/…</t>
    </r>
  </si>
  <si>
    <r>
      <rPr>
        <sz val="8"/>
        <rFont val="Times New Roman"/>
        <charset val="134"/>
      </rPr>
      <t>HD4170</t>
    </r>
  </si>
  <si>
    <r>
      <rPr>
        <sz val="9"/>
        <rFont val="Microsoft Sans Serif"/>
        <charset val="134"/>
      </rPr>
      <t>VELA DECORATIVA HD/….</t>
    </r>
  </si>
  <si>
    <r>
      <rPr>
        <sz val="8"/>
        <rFont val="Times New Roman"/>
        <charset val="134"/>
      </rPr>
      <t>HD4173</t>
    </r>
  </si>
  <si>
    <r>
      <rPr>
        <sz val="9"/>
        <rFont val="Microsoft Sans Serif"/>
        <charset val="134"/>
      </rPr>
      <t>VELA DECORATIVA HD/…..</t>
    </r>
  </si>
  <si>
    <r>
      <rPr>
        <sz val="8"/>
        <rFont val="Times New Roman"/>
        <charset val="134"/>
      </rPr>
      <t>HD4174</t>
    </r>
  </si>
  <si>
    <r>
      <rPr>
        <sz val="9"/>
        <rFont val="Microsoft Sans Serif"/>
        <charset val="134"/>
      </rPr>
      <t>VELA DECORATIVA HD/……</t>
    </r>
  </si>
  <si>
    <r>
      <rPr>
        <sz val="8"/>
        <rFont val="Times New Roman"/>
        <charset val="134"/>
      </rPr>
      <t>HD4157</t>
    </r>
  </si>
  <si>
    <r>
      <rPr>
        <sz val="9"/>
        <rFont val="Microsoft Sans Serif"/>
        <charset val="134"/>
      </rPr>
      <t>VELA DECORATIVA HD…</t>
    </r>
  </si>
  <si>
    <r>
      <rPr>
        <sz val="8"/>
        <rFont val="Times New Roman"/>
        <charset val="134"/>
      </rPr>
      <t>HD4158</t>
    </r>
  </si>
  <si>
    <r>
      <rPr>
        <sz val="9"/>
        <rFont val="Microsoft Sans Serif"/>
        <charset val="134"/>
      </rPr>
      <t>VELA DECORATIVA HD….</t>
    </r>
  </si>
  <si>
    <r>
      <rPr>
        <sz val="8"/>
        <rFont val="Times New Roman"/>
        <charset val="134"/>
      </rPr>
      <t>HD4159</t>
    </r>
  </si>
  <si>
    <r>
      <rPr>
        <sz val="9"/>
        <rFont val="Microsoft Sans Serif"/>
        <charset val="134"/>
      </rPr>
      <t>VELA DECORATIVA HD…..</t>
    </r>
  </si>
  <si>
    <r>
      <rPr>
        <sz val="8"/>
        <rFont val="Times New Roman"/>
        <charset val="134"/>
      </rPr>
      <t>HD4160</t>
    </r>
  </si>
  <si>
    <r>
      <rPr>
        <sz val="9"/>
        <rFont val="Microsoft Sans Serif"/>
        <charset val="134"/>
      </rPr>
      <t>VELA DECORATIVA HD……</t>
    </r>
  </si>
  <si>
    <r>
      <rPr>
        <sz val="8"/>
        <rFont val="Times New Roman"/>
        <charset val="134"/>
      </rPr>
      <t>HD4148</t>
    </r>
  </si>
  <si>
    <r>
      <rPr>
        <sz val="9"/>
        <rFont val="Microsoft Sans Serif"/>
        <charset val="134"/>
      </rPr>
      <t>VELA DECORATIVAS HD</t>
    </r>
  </si>
  <si>
    <r>
      <rPr>
        <sz val="8"/>
        <rFont val="Times New Roman"/>
        <charset val="134"/>
      </rPr>
      <t>HD4149</t>
    </r>
  </si>
  <si>
    <r>
      <rPr>
        <sz val="9"/>
        <rFont val="Microsoft Sans Serif"/>
        <charset val="134"/>
      </rPr>
      <t>VELA DECORATIVAS HD.</t>
    </r>
  </si>
  <si>
    <r>
      <rPr>
        <sz val="8"/>
        <rFont val="Times New Roman"/>
        <charset val="134"/>
      </rPr>
      <t>HD4179</t>
    </r>
  </si>
  <si>
    <r>
      <rPr>
        <sz val="9"/>
        <rFont val="Microsoft Sans Serif"/>
        <charset val="134"/>
      </rPr>
      <t>VELA DECORATIVAS HD..</t>
    </r>
  </si>
  <si>
    <r>
      <rPr>
        <sz val="8"/>
        <rFont val="Times New Roman"/>
        <charset val="134"/>
      </rPr>
      <t>HD4151</t>
    </r>
  </si>
  <si>
    <r>
      <rPr>
        <sz val="9"/>
        <rFont val="Microsoft Sans Serif"/>
        <charset val="134"/>
      </rPr>
      <t>VELA DECORATIVAS HD…</t>
    </r>
  </si>
  <si>
    <r>
      <rPr>
        <sz val="8"/>
        <rFont val="Times New Roman"/>
        <charset val="134"/>
      </rPr>
      <t>HD4166</t>
    </r>
  </si>
  <si>
    <r>
      <rPr>
        <sz val="9"/>
        <rFont val="Microsoft Sans Serif"/>
        <charset val="134"/>
      </rPr>
      <t>VELA HD Numero</t>
    </r>
  </si>
  <si>
    <r>
      <rPr>
        <sz val="8"/>
        <rFont val="Times New Roman"/>
        <charset val="134"/>
      </rPr>
      <t>HD4167</t>
    </r>
  </si>
  <si>
    <r>
      <rPr>
        <sz val="9"/>
        <rFont val="Microsoft Sans Serif"/>
        <charset val="134"/>
      </rPr>
      <t>VELA HD NUMERO corona</t>
    </r>
  </si>
  <si>
    <r>
      <rPr>
        <sz val="8"/>
        <rFont val="Times New Roman"/>
        <charset val="134"/>
      </rPr>
      <t>HD4150</t>
    </r>
  </si>
  <si>
    <r>
      <rPr>
        <sz val="9"/>
        <rFont val="Microsoft Sans Serif"/>
        <charset val="134"/>
      </rPr>
      <t>VELA LOVE HD</t>
    </r>
  </si>
  <si>
    <r>
      <rPr>
        <sz val="8"/>
        <rFont val="Times New Roman"/>
        <charset val="134"/>
      </rPr>
      <t>HD4164</t>
    </r>
  </si>
  <si>
    <r>
      <rPr>
        <sz val="9"/>
        <rFont val="Microsoft Sans Serif"/>
        <charset val="134"/>
      </rPr>
      <t>VELA NUMERO HD</t>
    </r>
  </si>
  <si>
    <r>
      <rPr>
        <sz val="8"/>
        <rFont val="Times New Roman"/>
        <charset val="134"/>
      </rPr>
      <t>HD2090</t>
    </r>
  </si>
  <si>
    <r>
      <rPr>
        <sz val="9"/>
        <rFont val="Microsoft Sans Serif"/>
        <charset val="134"/>
      </rPr>
      <t>VELA PEQ X25 CHINA</t>
    </r>
  </si>
  <si>
    <r>
      <rPr>
        <sz val="8"/>
        <rFont val="Times New Roman"/>
        <charset val="134"/>
      </rPr>
      <t>HD3159</t>
    </r>
  </si>
  <si>
    <r>
      <rPr>
        <sz val="9"/>
        <rFont val="Microsoft Sans Serif"/>
        <charset val="134"/>
      </rPr>
      <t>VELA UNICORNIO 05/2021</t>
    </r>
  </si>
  <si>
    <r>
      <rPr>
        <sz val="8"/>
        <rFont val="Times New Roman"/>
        <charset val="134"/>
      </rPr>
      <t>HD2091</t>
    </r>
  </si>
  <si>
    <r>
      <rPr>
        <sz val="9"/>
        <rFont val="Microsoft Sans Serif"/>
        <charset val="134"/>
      </rPr>
      <t>VELA X9 CORAZONES</t>
    </r>
  </si>
  <si>
    <r>
      <rPr>
        <sz val="8"/>
        <rFont val="Times New Roman"/>
        <charset val="134"/>
      </rPr>
      <t>HD4178</t>
    </r>
  </si>
  <si>
    <r>
      <rPr>
        <sz val="9"/>
        <rFont val="Microsoft Sans Serif"/>
        <charset val="134"/>
      </rPr>
      <t>VELAS DECORATIVA HD</t>
    </r>
  </si>
  <si>
    <r>
      <rPr>
        <sz val="8"/>
        <rFont val="Times New Roman"/>
        <charset val="134"/>
      </rPr>
      <t>HD3830</t>
    </r>
  </si>
  <si>
    <r>
      <rPr>
        <sz val="9"/>
        <rFont val="Microsoft Sans Serif"/>
        <charset val="134"/>
      </rPr>
      <t>VENDA HD</t>
    </r>
  </si>
  <si>
    <r>
      <rPr>
        <sz val="8"/>
        <rFont val="Times New Roman"/>
        <charset val="134"/>
      </rPr>
      <t>HD451</t>
    </r>
  </si>
  <si>
    <r>
      <rPr>
        <sz val="9"/>
        <rFont val="Microsoft Sans Serif"/>
        <charset val="134"/>
      </rPr>
      <t>VENTILADOR</t>
    </r>
  </si>
  <si>
    <r>
      <rPr>
        <sz val="8"/>
        <rFont val="Times New Roman"/>
        <charset val="134"/>
      </rPr>
      <t>HD3723</t>
    </r>
  </si>
  <si>
    <r>
      <rPr>
        <sz val="9"/>
        <rFont val="Microsoft Sans Serif"/>
        <charset val="134"/>
      </rPr>
      <t>VENTILADOR 72194 HD</t>
    </r>
  </si>
  <si>
    <r>
      <rPr>
        <sz val="8"/>
        <rFont val="Times New Roman"/>
        <charset val="134"/>
      </rPr>
      <t>HD459</t>
    </r>
  </si>
  <si>
    <r>
      <rPr>
        <sz val="9"/>
        <rFont val="Microsoft Sans Serif"/>
        <charset val="134"/>
      </rPr>
      <t>VENTILADOR CH/144</t>
    </r>
  </si>
  <si>
    <r>
      <rPr>
        <sz val="8"/>
        <rFont val="Times New Roman"/>
        <charset val="134"/>
      </rPr>
      <t>HD467</t>
    </r>
  </si>
  <si>
    <r>
      <rPr>
        <sz val="9"/>
        <rFont val="Microsoft Sans Serif"/>
        <charset val="134"/>
      </rPr>
      <t>VENTILADOR CH/176</t>
    </r>
  </si>
  <si>
    <r>
      <rPr>
        <sz val="8"/>
        <rFont val="Times New Roman"/>
        <charset val="134"/>
      </rPr>
      <t>HD1739</t>
    </r>
  </si>
  <si>
    <r>
      <rPr>
        <sz val="9"/>
        <rFont val="Microsoft Sans Serif"/>
        <charset val="134"/>
      </rPr>
      <t>VENTILADOR CHINA 1802/03</t>
    </r>
  </si>
  <si>
    <r>
      <rPr>
        <sz val="8"/>
        <rFont val="Times New Roman"/>
        <charset val="134"/>
      </rPr>
      <t>HD1743</t>
    </r>
  </si>
  <si>
    <r>
      <rPr>
        <sz val="9"/>
        <rFont val="Microsoft Sans Serif"/>
        <charset val="134"/>
      </rPr>
      <t>VENTILADOR CHINA YS1901</t>
    </r>
  </si>
  <si>
    <r>
      <rPr>
        <sz val="8"/>
        <rFont val="Times New Roman"/>
        <charset val="134"/>
      </rPr>
      <t>HD1744</t>
    </r>
  </si>
  <si>
    <r>
      <rPr>
        <sz val="9"/>
        <rFont val="Microsoft Sans Serif"/>
        <charset val="134"/>
      </rPr>
      <t>VENTILADOR CHINA YS1902</t>
    </r>
  </si>
  <si>
    <r>
      <rPr>
        <sz val="8"/>
        <rFont val="Times New Roman"/>
        <charset val="134"/>
      </rPr>
      <t>HD3726</t>
    </r>
  </si>
  <si>
    <r>
      <rPr>
        <sz val="9"/>
        <rFont val="Microsoft Sans Serif"/>
        <charset val="134"/>
      </rPr>
      <t>VENTILADOR FX-032 HD</t>
    </r>
  </si>
  <si>
    <r>
      <rPr>
        <sz val="8"/>
        <rFont val="Times New Roman"/>
        <charset val="134"/>
      </rPr>
      <t>HD3725</t>
    </r>
  </si>
  <si>
    <r>
      <rPr>
        <sz val="9"/>
        <rFont val="Microsoft Sans Serif"/>
        <charset val="134"/>
      </rPr>
      <t>VENTILADOR P9 HD</t>
    </r>
  </si>
  <si>
    <r>
      <rPr>
        <sz val="8"/>
        <rFont val="Times New Roman"/>
        <charset val="134"/>
      </rPr>
      <t>HD3724</t>
    </r>
  </si>
  <si>
    <r>
      <rPr>
        <sz val="9"/>
        <rFont val="Microsoft Sans Serif"/>
        <charset val="134"/>
      </rPr>
      <t>VENTILADOR S18 HD</t>
    </r>
  </si>
  <si>
    <r>
      <rPr>
        <sz val="8"/>
        <rFont val="Times New Roman"/>
        <charset val="134"/>
      </rPr>
      <t>HD3509</t>
    </r>
  </si>
  <si>
    <r>
      <rPr>
        <sz val="9"/>
        <rFont val="Microsoft Sans Serif"/>
        <charset val="134"/>
      </rPr>
      <t>VI AZUL CHINO</t>
    </r>
  </si>
  <si>
    <r>
      <rPr>
        <sz val="8"/>
        <rFont val="Times New Roman"/>
        <charset val="134"/>
      </rPr>
      <t>HD3507</t>
    </r>
  </si>
  <si>
    <r>
      <rPr>
        <sz val="9"/>
        <rFont val="Microsoft Sans Serif"/>
        <charset val="134"/>
      </rPr>
      <t>VI MORADO CHINO</t>
    </r>
  </si>
  <si>
    <r>
      <rPr>
        <sz val="8"/>
        <rFont val="Times New Roman"/>
        <charset val="134"/>
      </rPr>
      <t>HD3506</t>
    </r>
  </si>
  <si>
    <r>
      <rPr>
        <sz val="9"/>
        <rFont val="Microsoft Sans Serif"/>
        <charset val="134"/>
      </rPr>
      <t>VI ROJO CHINO</t>
    </r>
  </si>
  <si>
    <r>
      <rPr>
        <sz val="8"/>
        <rFont val="Times New Roman"/>
        <charset val="134"/>
      </rPr>
      <t>HD3508</t>
    </r>
  </si>
  <si>
    <r>
      <rPr>
        <sz val="9"/>
        <rFont val="Microsoft Sans Serif"/>
        <charset val="134"/>
      </rPr>
      <t>VI VARIOS CHINO</t>
    </r>
  </si>
  <si>
    <r>
      <rPr>
        <sz val="8"/>
        <rFont val="Times New Roman"/>
        <charset val="134"/>
      </rPr>
      <t>RFD252041</t>
    </r>
  </si>
  <si>
    <r>
      <rPr>
        <sz val="9"/>
        <rFont val="Microsoft Sans Serif"/>
        <charset val="134"/>
      </rPr>
      <t>VIA NOCTURNA :COCHE B/O</t>
    </r>
  </si>
  <si>
    <r>
      <rPr>
        <sz val="8"/>
        <rFont val="Times New Roman"/>
        <charset val="134"/>
      </rPr>
      <t>HD3821</t>
    </r>
  </si>
  <si>
    <r>
      <rPr>
        <sz val="9"/>
        <rFont val="Microsoft Sans Serif"/>
        <charset val="134"/>
      </rPr>
      <t>VIANDA TERMICA 7059 HD INOXIDABLE</t>
    </r>
  </si>
  <si>
    <r>
      <rPr>
        <sz val="8"/>
        <rFont val="Times New Roman"/>
        <charset val="134"/>
      </rPr>
      <t>HD3669</t>
    </r>
  </si>
  <si>
    <r>
      <rPr>
        <sz val="9"/>
        <rFont val="Microsoft Sans Serif"/>
        <charset val="134"/>
      </rPr>
      <t>VIANDA TERMICA HD 110V</t>
    </r>
  </si>
  <si>
    <r>
      <rPr>
        <sz val="8"/>
        <rFont val="Times New Roman"/>
        <charset val="134"/>
      </rPr>
      <t>HD3814</t>
    </r>
  </si>
  <si>
    <r>
      <rPr>
        <sz val="9"/>
        <rFont val="Microsoft Sans Serif"/>
        <charset val="134"/>
      </rPr>
      <t>VIANDA TERMICA HD 1523</t>
    </r>
  </si>
  <si>
    <r>
      <rPr>
        <sz val="8"/>
        <rFont val="Times New Roman"/>
        <charset val="134"/>
      </rPr>
      <t>HD3469</t>
    </r>
  </si>
  <si>
    <r>
      <rPr>
        <sz val="9"/>
        <rFont val="Microsoft Sans Serif"/>
        <charset val="134"/>
      </rPr>
      <t>VIANDA TERMICA HD 244</t>
    </r>
  </si>
  <si>
    <r>
      <rPr>
        <sz val="8"/>
        <rFont val="Times New Roman"/>
        <charset val="134"/>
      </rPr>
      <t>HD490</t>
    </r>
  </si>
  <si>
    <r>
      <rPr>
        <sz val="9"/>
        <rFont val="Microsoft Sans Serif"/>
        <charset val="134"/>
      </rPr>
      <t>VINCHA 102///105</t>
    </r>
  </si>
  <si>
    <r>
      <rPr>
        <sz val="8"/>
        <rFont val="Times New Roman"/>
        <charset val="134"/>
      </rPr>
      <t>HD487</t>
    </r>
  </si>
  <si>
    <r>
      <rPr>
        <sz val="9"/>
        <rFont val="Microsoft Sans Serif"/>
        <charset val="134"/>
      </rPr>
      <t>VINCHA 51/////67</t>
    </r>
  </si>
  <si>
    <r>
      <rPr>
        <sz val="8"/>
        <rFont val="Times New Roman"/>
        <charset val="134"/>
      </rPr>
      <t>HD488</t>
    </r>
  </si>
  <si>
    <r>
      <rPr>
        <sz val="9"/>
        <rFont val="Microsoft Sans Serif"/>
        <charset val="134"/>
      </rPr>
      <t>VINCHA 69////72</t>
    </r>
  </si>
  <si>
    <r>
      <rPr>
        <sz val="8"/>
        <rFont val="Times New Roman"/>
        <charset val="134"/>
      </rPr>
      <t>HD4101</t>
    </r>
  </si>
  <si>
    <r>
      <rPr>
        <sz val="9"/>
        <rFont val="Microsoft Sans Serif"/>
        <charset val="134"/>
      </rPr>
      <t>VINCHA DIENTES NIÑAS HD</t>
    </r>
  </si>
  <si>
    <r>
      <rPr>
        <sz val="8"/>
        <rFont val="Times New Roman"/>
        <charset val="134"/>
      </rPr>
      <t>HD4099</t>
    </r>
  </si>
  <si>
    <r>
      <rPr>
        <sz val="9"/>
        <rFont val="Microsoft Sans Serif"/>
        <charset val="134"/>
      </rPr>
      <t>VINCHA PINZA NIÑAS HD</t>
    </r>
  </si>
  <si>
    <r>
      <rPr>
        <sz val="8"/>
        <rFont val="Times New Roman"/>
        <charset val="134"/>
      </rPr>
      <t>HD3080</t>
    </r>
  </si>
  <si>
    <r>
      <rPr>
        <sz val="9"/>
        <rFont val="Microsoft Sans Serif"/>
        <charset val="134"/>
      </rPr>
      <t>VINCHA PRINCESS 05/2021</t>
    </r>
  </si>
  <si>
    <r>
      <rPr>
        <sz val="8"/>
        <rFont val="Times New Roman"/>
        <charset val="134"/>
      </rPr>
      <t>HD3081</t>
    </r>
  </si>
  <si>
    <r>
      <rPr>
        <sz val="9"/>
        <rFont val="Microsoft Sans Serif"/>
        <charset val="134"/>
      </rPr>
      <t>VINCHA X3 05/2021</t>
    </r>
  </si>
  <si>
    <r>
      <rPr>
        <sz val="8"/>
        <rFont val="Times New Roman"/>
        <charset val="134"/>
      </rPr>
      <t>RFD314919</t>
    </r>
  </si>
  <si>
    <r>
      <rPr>
        <sz val="9"/>
        <rFont val="Microsoft Sans Serif"/>
        <charset val="134"/>
      </rPr>
      <t>VINYL CAR JUGUETES</t>
    </r>
  </si>
  <si>
    <r>
      <rPr>
        <sz val="8"/>
        <rFont val="Times New Roman"/>
        <charset val="134"/>
      </rPr>
      <t>RFD338566</t>
    </r>
  </si>
  <si>
    <r>
      <rPr>
        <sz val="9"/>
        <rFont val="Microsoft Sans Serif"/>
        <charset val="134"/>
      </rPr>
      <t>VINYL ICE . CREAM</t>
    </r>
  </si>
  <si>
    <r>
      <rPr>
        <sz val="8"/>
        <rFont val="Times New Roman"/>
        <charset val="134"/>
      </rPr>
      <t>HD3325</t>
    </r>
  </si>
  <si>
    <r>
      <rPr>
        <sz val="9"/>
        <rFont val="Microsoft Sans Serif"/>
        <charset val="134"/>
      </rPr>
      <t>VZV B39 AURICULARES BLUETOOTH 05/2021</t>
    </r>
  </si>
  <si>
    <r>
      <rPr>
        <sz val="8"/>
        <rFont val="Times New Roman"/>
        <charset val="134"/>
      </rPr>
      <t>HD3738</t>
    </r>
  </si>
  <si>
    <r>
      <rPr>
        <sz val="9"/>
        <rFont val="Microsoft Sans Serif"/>
        <charset val="134"/>
      </rPr>
      <t>WALKIE TALKIE 316 HD</t>
    </r>
  </si>
  <si>
    <r>
      <rPr>
        <sz val="8"/>
        <rFont val="Times New Roman"/>
        <charset val="134"/>
      </rPr>
      <t>HD3740</t>
    </r>
  </si>
  <si>
    <r>
      <rPr>
        <sz val="9"/>
        <rFont val="Microsoft Sans Serif"/>
        <charset val="134"/>
      </rPr>
      <t>WALKIE TALKIE 5R HD</t>
    </r>
  </si>
  <si>
    <r>
      <rPr>
        <sz val="8"/>
        <rFont val="Times New Roman"/>
        <charset val="134"/>
      </rPr>
      <t>HD3739</t>
    </r>
  </si>
  <si>
    <r>
      <rPr>
        <sz val="9"/>
        <rFont val="Microsoft Sans Serif"/>
        <charset val="134"/>
      </rPr>
      <t>WALKIE TALKIE 888 HD</t>
    </r>
  </si>
  <si>
    <r>
      <rPr>
        <sz val="8"/>
        <rFont val="Times New Roman"/>
        <charset val="134"/>
      </rPr>
      <t>HD3340</t>
    </r>
  </si>
  <si>
    <r>
      <rPr>
        <sz val="9"/>
        <rFont val="Microsoft Sans Serif"/>
        <charset val="134"/>
      </rPr>
      <t>WB-8010 TECLADO+MOUSE 05/2021</t>
    </r>
  </si>
  <si>
    <r>
      <rPr>
        <sz val="8"/>
        <rFont val="Times New Roman"/>
        <charset val="134"/>
      </rPr>
      <t>RFD398301</t>
    </r>
  </si>
  <si>
    <r>
      <rPr>
        <sz val="9"/>
        <rFont val="Microsoft Sans Serif"/>
        <charset val="134"/>
      </rPr>
      <t>WITH LIGHT MUSIC 2,4G</t>
    </r>
  </si>
  <si>
    <r>
      <rPr>
        <sz val="8"/>
        <rFont val="Times New Roman"/>
        <charset val="134"/>
      </rPr>
      <t>HD1458</t>
    </r>
  </si>
  <si>
    <r>
      <rPr>
        <sz val="9"/>
        <rFont val="Microsoft Sans Serif"/>
        <charset val="134"/>
      </rPr>
      <t>X AMOR_CARCASA</t>
    </r>
  </si>
  <si>
    <r>
      <rPr>
        <sz val="8"/>
        <rFont val="Times New Roman"/>
        <charset val="134"/>
      </rPr>
      <t>HD1307</t>
    </r>
  </si>
  <si>
    <r>
      <rPr>
        <sz val="9"/>
        <rFont val="Microsoft Sans Serif"/>
        <charset val="134"/>
      </rPr>
      <t>X ANILLO_CARCASA</t>
    </r>
  </si>
  <si>
    <r>
      <rPr>
        <sz val="8"/>
        <rFont val="Times New Roman"/>
        <charset val="134"/>
      </rPr>
      <t>HD1189</t>
    </r>
  </si>
  <si>
    <r>
      <rPr>
        <sz val="9"/>
        <rFont val="Microsoft Sans Serif"/>
        <charset val="134"/>
      </rPr>
      <t>X ARCOIRIS CH_CARCASA</t>
    </r>
  </si>
  <si>
    <r>
      <rPr>
        <sz val="8"/>
        <rFont val="Times New Roman"/>
        <charset val="134"/>
      </rPr>
      <t>HD1527</t>
    </r>
  </si>
  <si>
    <r>
      <rPr>
        <sz val="9"/>
        <rFont val="Microsoft Sans Serif"/>
        <charset val="134"/>
      </rPr>
      <t>X BORDE DE COLOR CH_CARCASA</t>
    </r>
  </si>
  <si>
    <r>
      <rPr>
        <sz val="8"/>
        <rFont val="Times New Roman"/>
        <charset val="134"/>
      </rPr>
      <t>HD1481</t>
    </r>
  </si>
  <si>
    <r>
      <rPr>
        <sz val="9"/>
        <rFont val="Microsoft Sans Serif"/>
        <charset val="134"/>
      </rPr>
      <t>X BROCHE UNICOLOR CH_CARCASA</t>
    </r>
  </si>
  <si>
    <r>
      <rPr>
        <sz val="8"/>
        <rFont val="Times New Roman"/>
        <charset val="134"/>
      </rPr>
      <t>HD1163</t>
    </r>
  </si>
  <si>
    <r>
      <rPr>
        <sz val="9"/>
        <rFont val="Microsoft Sans Serif"/>
        <charset val="134"/>
      </rPr>
      <t>X CADENA CORAZONES CH_CARCASA</t>
    </r>
  </si>
  <si>
    <r>
      <rPr>
        <sz val="8"/>
        <rFont val="Times New Roman"/>
        <charset val="134"/>
      </rPr>
      <t>HD1140</t>
    </r>
  </si>
  <si>
    <r>
      <rPr>
        <sz val="9"/>
        <rFont val="Microsoft Sans Serif"/>
        <charset val="134"/>
      </rPr>
      <t>X CORAZON_CARCASA</t>
    </r>
  </si>
  <si>
    <r>
      <rPr>
        <sz val="8"/>
        <rFont val="Times New Roman"/>
        <charset val="134"/>
      </rPr>
      <t>HD1412</t>
    </r>
  </si>
  <si>
    <r>
      <rPr>
        <sz val="9"/>
        <rFont val="Microsoft Sans Serif"/>
        <charset val="134"/>
      </rPr>
      <t>X ESCARCHADO CON BROCHE CH_ CARCASA</t>
    </r>
  </si>
  <si>
    <r>
      <rPr>
        <sz val="8"/>
        <rFont val="Times New Roman"/>
        <charset val="134"/>
      </rPr>
      <t>HD1504</t>
    </r>
  </si>
  <si>
    <r>
      <rPr>
        <sz val="9"/>
        <rFont val="Microsoft Sans Serif"/>
        <charset val="134"/>
      </rPr>
      <t>X FLOWERS CADENA CH_CARCASA</t>
    </r>
  </si>
  <si>
    <r>
      <rPr>
        <sz val="8"/>
        <rFont val="Times New Roman"/>
        <charset val="134"/>
      </rPr>
      <t>HD1271</t>
    </r>
  </si>
  <si>
    <r>
      <rPr>
        <sz val="9"/>
        <rFont val="Microsoft Sans Serif"/>
        <charset val="134"/>
      </rPr>
      <t>X IPHONE UNICOLOR CH_CARCASA</t>
    </r>
  </si>
  <si>
    <r>
      <rPr>
        <sz val="8"/>
        <rFont val="Times New Roman"/>
        <charset val="134"/>
      </rPr>
      <t>HD1176</t>
    </r>
  </si>
  <si>
    <r>
      <rPr>
        <sz val="9"/>
        <rFont val="Microsoft Sans Serif"/>
        <charset val="134"/>
      </rPr>
      <t>X LADYS SENCILLO CH_CARCASA</t>
    </r>
  </si>
  <si>
    <r>
      <rPr>
        <sz val="8"/>
        <rFont val="Times New Roman"/>
        <charset val="134"/>
      </rPr>
      <t>HD1376</t>
    </r>
  </si>
  <si>
    <r>
      <rPr>
        <sz val="9"/>
        <rFont val="Microsoft Sans Serif"/>
        <charset val="134"/>
      </rPr>
      <t>X LAZO_CARCASA</t>
    </r>
  </si>
  <si>
    <r>
      <rPr>
        <sz val="8"/>
        <rFont val="Times New Roman"/>
        <charset val="134"/>
      </rPr>
      <t>HD1435</t>
    </r>
  </si>
  <si>
    <r>
      <rPr>
        <sz val="9"/>
        <rFont val="Microsoft Sans Serif"/>
        <charset val="134"/>
      </rPr>
      <t>X LOVE CORAZON CH_CARCASA</t>
    </r>
  </si>
  <si>
    <r>
      <rPr>
        <sz val="8"/>
        <rFont val="Times New Roman"/>
        <charset val="134"/>
      </rPr>
      <t>HD1212</t>
    </r>
  </si>
  <si>
    <r>
      <rPr>
        <sz val="9"/>
        <rFont val="Microsoft Sans Serif"/>
        <charset val="134"/>
      </rPr>
      <t>X MATIZADO CON DORADO CH_CARCASA</t>
    </r>
  </si>
  <si>
    <r>
      <rPr>
        <sz val="8"/>
        <rFont val="Times New Roman"/>
        <charset val="134"/>
      </rPr>
      <t>HD1352</t>
    </r>
  </si>
  <si>
    <r>
      <rPr>
        <sz val="9"/>
        <rFont val="Microsoft Sans Serif"/>
        <charset val="134"/>
      </rPr>
      <t>X PERLAS_CARCASA</t>
    </r>
  </si>
  <si>
    <r>
      <rPr>
        <sz val="8"/>
        <rFont val="Times New Roman"/>
        <charset val="134"/>
      </rPr>
      <t>HD1124</t>
    </r>
  </si>
  <si>
    <r>
      <rPr>
        <sz val="9"/>
        <rFont val="Microsoft Sans Serif"/>
        <charset val="134"/>
      </rPr>
      <t>X PROTECTOR_CARCASA</t>
    </r>
  </si>
  <si>
    <r>
      <rPr>
        <sz val="8"/>
        <rFont val="Times New Roman"/>
        <charset val="134"/>
      </rPr>
      <t>HD1235</t>
    </r>
  </si>
  <si>
    <r>
      <rPr>
        <sz val="9"/>
        <rFont val="Microsoft Sans Serif"/>
        <charset val="134"/>
      </rPr>
      <t>X RELIEVE FIGURAS CH_CARCASA</t>
    </r>
  </si>
  <si>
    <r>
      <rPr>
        <sz val="8"/>
        <rFont val="Times New Roman"/>
        <charset val="134"/>
      </rPr>
      <t>HD1399</t>
    </r>
  </si>
  <si>
    <r>
      <rPr>
        <sz val="9"/>
        <rFont val="Microsoft Sans Serif"/>
        <charset val="134"/>
      </rPr>
      <t>X STAR_CARCASA</t>
    </r>
  </si>
  <si>
    <r>
      <rPr>
        <sz val="8"/>
        <rFont val="Times New Roman"/>
        <charset val="134"/>
      </rPr>
      <t>HD1258</t>
    </r>
  </si>
  <si>
    <r>
      <rPr>
        <sz val="9"/>
        <rFont val="Microsoft Sans Serif"/>
        <charset val="134"/>
      </rPr>
      <t>X SUPREME_CARCASA</t>
    </r>
  </si>
  <si>
    <r>
      <rPr>
        <sz val="8"/>
        <rFont val="Times New Roman"/>
        <charset val="134"/>
      </rPr>
      <t>HD1330</t>
    </r>
  </si>
  <si>
    <r>
      <rPr>
        <sz val="8"/>
        <rFont val="Times New Roman"/>
        <charset val="134"/>
      </rPr>
      <t>HD1294</t>
    </r>
  </si>
  <si>
    <r>
      <rPr>
        <sz val="9"/>
        <rFont val="Microsoft Sans Serif"/>
        <charset val="134"/>
      </rPr>
      <t>X TACOS PROTECTOR CH_CARCASA</t>
    </r>
  </si>
  <si>
    <r>
      <rPr>
        <sz val="8"/>
        <rFont val="Times New Roman"/>
        <charset val="134"/>
      </rPr>
      <t>HD1460</t>
    </r>
  </si>
  <si>
    <r>
      <rPr>
        <sz val="9"/>
        <rFont val="Microsoft Sans Serif"/>
        <charset val="134"/>
      </rPr>
      <t>X5 MAX AMOR_CARCASA</t>
    </r>
  </si>
  <si>
    <r>
      <rPr>
        <sz val="8"/>
        <rFont val="Times New Roman"/>
        <charset val="134"/>
      </rPr>
      <t>HD1126</t>
    </r>
  </si>
  <si>
    <r>
      <rPr>
        <sz val="9"/>
        <rFont val="Microsoft Sans Serif"/>
        <charset val="134"/>
      </rPr>
      <t>X5 MAX PROTECTOR_CARCASA</t>
    </r>
  </si>
  <si>
    <r>
      <rPr>
        <sz val="8"/>
        <rFont val="Times New Roman"/>
        <charset val="134"/>
      </rPr>
      <t>HD1214</t>
    </r>
  </si>
  <si>
    <r>
      <rPr>
        <sz val="9"/>
        <rFont val="Microsoft Sans Serif"/>
        <charset val="134"/>
      </rPr>
      <t>X5 MAXMATIZADO_CARCASA</t>
    </r>
  </si>
  <si>
    <r>
      <rPr>
        <sz val="8"/>
        <rFont val="Times New Roman"/>
        <charset val="134"/>
      </rPr>
      <t>HD4305</t>
    </r>
  </si>
  <si>
    <r>
      <rPr>
        <sz val="9"/>
        <rFont val="Microsoft Sans Serif"/>
        <charset val="134"/>
      </rPr>
      <t>XB0508 KITS CUBIERTO</t>
    </r>
  </si>
  <si>
    <r>
      <rPr>
        <sz val="8"/>
        <rFont val="Times New Roman"/>
        <charset val="134"/>
      </rPr>
      <t>HD4309</t>
    </r>
  </si>
  <si>
    <r>
      <rPr>
        <sz val="9"/>
        <rFont val="Microsoft Sans Serif"/>
        <charset val="134"/>
      </rPr>
      <t>XB0522 KITS CUBIERTOS</t>
    </r>
  </si>
  <si>
    <r>
      <rPr>
        <sz val="8"/>
        <rFont val="Times New Roman"/>
        <charset val="134"/>
      </rPr>
      <t>HD4306</t>
    </r>
  </si>
  <si>
    <r>
      <rPr>
        <sz val="9"/>
        <rFont val="Microsoft Sans Serif"/>
        <charset val="134"/>
      </rPr>
      <t>XB0775 KITS CUBIERTO</t>
    </r>
  </si>
  <si>
    <r>
      <rPr>
        <sz val="8"/>
        <rFont val="Times New Roman"/>
        <charset val="134"/>
      </rPr>
      <t>HD4330</t>
    </r>
  </si>
  <si>
    <r>
      <rPr>
        <sz val="9"/>
        <rFont val="Microsoft Sans Serif"/>
        <charset val="134"/>
      </rPr>
      <t>XB0936 KITS UTENSILIOS</t>
    </r>
  </si>
  <si>
    <r>
      <rPr>
        <sz val="8"/>
        <rFont val="Times New Roman"/>
        <charset val="134"/>
      </rPr>
      <t>HD4312</t>
    </r>
  </si>
  <si>
    <r>
      <rPr>
        <sz val="9"/>
        <rFont val="Microsoft Sans Serif"/>
        <charset val="134"/>
      </rPr>
      <t>XB1012 KITS CUBIERTOS</t>
    </r>
  </si>
  <si>
    <r>
      <rPr>
        <sz val="8"/>
        <rFont val="Times New Roman"/>
        <charset val="134"/>
      </rPr>
      <t>HD4304</t>
    </r>
  </si>
  <si>
    <r>
      <rPr>
        <sz val="9"/>
        <rFont val="Microsoft Sans Serif"/>
        <charset val="134"/>
      </rPr>
      <t>XB1036 KITS CUBIERTO</t>
    </r>
  </si>
  <si>
    <r>
      <rPr>
        <sz val="8"/>
        <rFont val="Times New Roman"/>
        <charset val="134"/>
      </rPr>
      <t>HD4307</t>
    </r>
  </si>
  <si>
    <r>
      <rPr>
        <sz val="9"/>
        <rFont val="Microsoft Sans Serif"/>
        <charset val="134"/>
      </rPr>
      <t>XB1041 KITS CUBIERTOS</t>
    </r>
  </si>
  <si>
    <r>
      <rPr>
        <sz val="8"/>
        <rFont val="Times New Roman"/>
        <charset val="134"/>
      </rPr>
      <t>HD4301</t>
    </r>
  </si>
  <si>
    <r>
      <rPr>
        <sz val="9"/>
        <rFont val="Microsoft Sans Serif"/>
        <charset val="134"/>
      </rPr>
      <t>XB181117 KITS UTENSILIOS</t>
    </r>
  </si>
  <si>
    <r>
      <rPr>
        <sz val="8"/>
        <rFont val="Times New Roman"/>
        <charset val="134"/>
      </rPr>
      <t>HD4313</t>
    </r>
  </si>
  <si>
    <r>
      <rPr>
        <sz val="9"/>
        <rFont val="Microsoft Sans Serif"/>
        <charset val="134"/>
      </rPr>
      <t>XB20016 KITS CUBIERTOS</t>
    </r>
  </si>
  <si>
    <r>
      <rPr>
        <sz val="8"/>
        <rFont val="Times New Roman"/>
        <charset val="134"/>
      </rPr>
      <t>HD4311</t>
    </r>
  </si>
  <si>
    <r>
      <rPr>
        <sz val="9"/>
        <rFont val="Microsoft Sans Serif"/>
        <charset val="134"/>
      </rPr>
      <t>XB31868 KITS CUBIERTOS</t>
    </r>
  </si>
  <si>
    <r>
      <rPr>
        <sz val="8"/>
        <rFont val="Times New Roman"/>
        <charset val="134"/>
      </rPr>
      <t>HD4310</t>
    </r>
  </si>
  <si>
    <r>
      <rPr>
        <sz val="9"/>
        <rFont val="Microsoft Sans Serif"/>
        <charset val="134"/>
      </rPr>
      <t>XB3993 KITS CUBIERTOS</t>
    </r>
  </si>
  <si>
    <r>
      <rPr>
        <sz val="8"/>
        <rFont val="Times New Roman"/>
        <charset val="134"/>
      </rPr>
      <t>HD4308</t>
    </r>
  </si>
  <si>
    <r>
      <rPr>
        <sz val="9"/>
        <rFont val="Microsoft Sans Serif"/>
        <charset val="134"/>
      </rPr>
      <t>XB399A KITS CUBIERTOS</t>
    </r>
  </si>
  <si>
    <r>
      <rPr>
        <sz val="8"/>
        <rFont val="Times New Roman"/>
        <charset val="134"/>
      </rPr>
      <t>HD4333</t>
    </r>
  </si>
  <si>
    <r>
      <rPr>
        <sz val="9"/>
        <rFont val="Microsoft Sans Serif"/>
        <charset val="134"/>
      </rPr>
      <t>XB5999 KITS UTENSILIOS</t>
    </r>
  </si>
  <si>
    <r>
      <rPr>
        <sz val="8"/>
        <rFont val="Times New Roman"/>
        <charset val="134"/>
      </rPr>
      <t>HD4299</t>
    </r>
  </si>
  <si>
    <r>
      <rPr>
        <sz val="9"/>
        <rFont val="Microsoft Sans Serif"/>
        <charset val="134"/>
      </rPr>
      <t>XB8504 KITS UTENSILIOS</t>
    </r>
  </si>
  <si>
    <r>
      <rPr>
        <sz val="8"/>
        <rFont val="Times New Roman"/>
        <charset val="134"/>
      </rPr>
      <t>HD4607</t>
    </r>
  </si>
  <si>
    <r>
      <rPr>
        <sz val="9"/>
        <rFont val="Microsoft Sans Serif"/>
        <charset val="134"/>
      </rPr>
      <t>XMA STICKERS PARED</t>
    </r>
  </si>
  <si>
    <r>
      <rPr>
        <sz val="8"/>
        <rFont val="Times New Roman"/>
        <charset val="134"/>
      </rPr>
      <t>HD4618</t>
    </r>
  </si>
  <si>
    <r>
      <rPr>
        <sz val="9"/>
        <rFont val="Microsoft Sans Serif"/>
        <charset val="134"/>
      </rPr>
      <t>XMD STICKERS PARED</t>
    </r>
  </si>
  <si>
    <r>
      <rPr>
        <sz val="8"/>
        <rFont val="Times New Roman"/>
        <charset val="134"/>
      </rPr>
      <t>HD4606</t>
    </r>
  </si>
  <si>
    <r>
      <rPr>
        <sz val="9"/>
        <rFont val="Microsoft Sans Serif"/>
        <charset val="134"/>
      </rPr>
      <t>XMD2 STICKERS PARED</t>
    </r>
  </si>
  <si>
    <r>
      <rPr>
        <sz val="8"/>
        <rFont val="Times New Roman"/>
        <charset val="134"/>
      </rPr>
      <t>HD1459</t>
    </r>
  </si>
  <si>
    <r>
      <rPr>
        <sz val="9"/>
        <rFont val="Microsoft Sans Serif"/>
        <charset val="134"/>
      </rPr>
      <t>XR AMOR_CARCASA</t>
    </r>
  </si>
  <si>
    <r>
      <rPr>
        <sz val="8"/>
        <rFont val="Times New Roman"/>
        <charset val="134"/>
      </rPr>
      <t>HD1308</t>
    </r>
  </si>
  <si>
    <r>
      <rPr>
        <sz val="9"/>
        <rFont val="Microsoft Sans Serif"/>
        <charset val="134"/>
      </rPr>
      <t>XR ANILLO_CARCASA</t>
    </r>
  </si>
  <si>
    <r>
      <rPr>
        <sz val="8"/>
        <rFont val="Times New Roman"/>
        <charset val="134"/>
      </rPr>
      <t>HD1190</t>
    </r>
  </si>
  <si>
    <r>
      <rPr>
        <sz val="9"/>
        <rFont val="Microsoft Sans Serif"/>
        <charset val="134"/>
      </rPr>
      <t>XR ARCOIRIS CH_CARCASA</t>
    </r>
  </si>
  <si>
    <r>
      <rPr>
        <sz val="8"/>
        <rFont val="Times New Roman"/>
        <charset val="134"/>
      </rPr>
      <t>HD1528</t>
    </r>
  </si>
  <si>
    <r>
      <rPr>
        <sz val="9"/>
        <rFont val="Microsoft Sans Serif"/>
        <charset val="134"/>
      </rPr>
      <t>XR BORDE DE COLOR CH_CARCASA</t>
    </r>
  </si>
  <si>
    <r>
      <rPr>
        <sz val="8"/>
        <rFont val="Times New Roman"/>
        <charset val="134"/>
      </rPr>
      <t>HD1482</t>
    </r>
  </si>
  <si>
    <r>
      <rPr>
        <sz val="9"/>
        <rFont val="Microsoft Sans Serif"/>
        <charset val="134"/>
      </rPr>
      <t>XR BROCHE UNICOLOR CH_CARCASA</t>
    </r>
  </si>
  <si>
    <r>
      <rPr>
        <sz val="8"/>
        <rFont val="Times New Roman"/>
        <charset val="134"/>
      </rPr>
      <t>HD1164</t>
    </r>
  </si>
  <si>
    <r>
      <rPr>
        <sz val="9"/>
        <rFont val="Microsoft Sans Serif"/>
        <charset val="134"/>
      </rPr>
      <t>XR CADENA CORAZONES CH_CARCASA</t>
    </r>
  </si>
  <si>
    <r>
      <rPr>
        <sz val="8"/>
        <rFont val="Times New Roman"/>
        <charset val="134"/>
      </rPr>
      <t>HD1141</t>
    </r>
  </si>
  <si>
    <r>
      <rPr>
        <sz val="9"/>
        <rFont val="Microsoft Sans Serif"/>
        <charset val="134"/>
      </rPr>
      <t>XR CORAZON_CARCASA</t>
    </r>
  </si>
  <si>
    <r>
      <rPr>
        <sz val="8"/>
        <rFont val="Times New Roman"/>
        <charset val="134"/>
      </rPr>
      <t>HD1413</t>
    </r>
  </si>
  <si>
    <r>
      <rPr>
        <sz val="9"/>
        <rFont val="Microsoft Sans Serif"/>
        <charset val="134"/>
      </rPr>
      <t>XR ESCARCHADO CON BROCHE CH_CARCASA</t>
    </r>
  </si>
  <si>
    <r>
      <rPr>
        <sz val="8"/>
        <rFont val="Times New Roman"/>
        <charset val="134"/>
      </rPr>
      <t>HD1505</t>
    </r>
  </si>
  <si>
    <r>
      <rPr>
        <sz val="9"/>
        <rFont val="Microsoft Sans Serif"/>
        <charset val="134"/>
      </rPr>
      <t>XR FLOWERS CADENA CH_CARCASA</t>
    </r>
  </si>
  <si>
    <r>
      <rPr>
        <sz val="8"/>
        <rFont val="Times New Roman"/>
        <charset val="134"/>
      </rPr>
      <t>HD1272</t>
    </r>
  </si>
  <si>
    <r>
      <rPr>
        <sz val="9"/>
        <rFont val="Microsoft Sans Serif"/>
        <charset val="134"/>
      </rPr>
      <t>XR IPHONE UNICOLOR CH_CARCASA</t>
    </r>
  </si>
  <si>
    <r>
      <rPr>
        <sz val="8"/>
        <rFont val="Times New Roman"/>
        <charset val="134"/>
      </rPr>
      <t>HD1177</t>
    </r>
  </si>
  <si>
    <r>
      <rPr>
        <sz val="9"/>
        <rFont val="Microsoft Sans Serif"/>
        <charset val="134"/>
      </rPr>
      <t>XR LADYS SENCILLO CH_CARCASA</t>
    </r>
  </si>
  <si>
    <r>
      <rPr>
        <sz val="8"/>
        <rFont val="Times New Roman"/>
        <charset val="134"/>
      </rPr>
      <t>HD1377</t>
    </r>
  </si>
  <si>
    <r>
      <rPr>
        <sz val="9"/>
        <rFont val="Microsoft Sans Serif"/>
        <charset val="134"/>
      </rPr>
      <t>XR LAZO_CARCASA</t>
    </r>
  </si>
  <si>
    <r>
      <rPr>
        <sz val="8"/>
        <rFont val="Times New Roman"/>
        <charset val="134"/>
      </rPr>
      <t>HD1436</t>
    </r>
  </si>
  <si>
    <r>
      <rPr>
        <sz val="9"/>
        <rFont val="Microsoft Sans Serif"/>
        <charset val="134"/>
      </rPr>
      <t>XR LOVE CORAZON CH_CARCASA</t>
    </r>
  </si>
  <si>
    <r>
      <rPr>
        <sz val="8"/>
        <rFont val="Times New Roman"/>
        <charset val="134"/>
      </rPr>
      <t>HD1125</t>
    </r>
  </si>
  <si>
    <r>
      <rPr>
        <sz val="9"/>
        <rFont val="Microsoft Sans Serif"/>
        <charset val="134"/>
      </rPr>
      <t>XR PROTECTOR_CARCASA</t>
    </r>
  </si>
  <si>
    <r>
      <rPr>
        <sz val="8"/>
        <rFont val="Times New Roman"/>
        <charset val="134"/>
      </rPr>
      <t>HD1236</t>
    </r>
  </si>
  <si>
    <r>
      <rPr>
        <sz val="9"/>
        <rFont val="Microsoft Sans Serif"/>
        <charset val="134"/>
      </rPr>
      <t>XR RELIEVE FIGURAS CH_CARCASA</t>
    </r>
  </si>
  <si>
    <r>
      <rPr>
        <sz val="8"/>
        <rFont val="Times New Roman"/>
        <charset val="134"/>
      </rPr>
      <t>HD1400</t>
    </r>
  </si>
  <si>
    <r>
      <rPr>
        <sz val="9"/>
        <rFont val="Microsoft Sans Serif"/>
        <charset val="134"/>
      </rPr>
      <t>XR STAR_CARCASA</t>
    </r>
  </si>
  <si>
    <r>
      <rPr>
        <sz val="8"/>
        <rFont val="Times New Roman"/>
        <charset val="134"/>
      </rPr>
      <t>HD1259</t>
    </r>
  </si>
  <si>
    <r>
      <rPr>
        <sz val="9"/>
        <rFont val="Microsoft Sans Serif"/>
        <charset val="134"/>
      </rPr>
      <t>XR SUPREME_CARCASA</t>
    </r>
  </si>
  <si>
    <r>
      <rPr>
        <sz val="8"/>
        <rFont val="Times New Roman"/>
        <charset val="134"/>
      </rPr>
      <t>HD1331</t>
    </r>
  </si>
  <si>
    <r>
      <rPr>
        <sz val="8"/>
        <rFont val="Times New Roman"/>
        <charset val="134"/>
      </rPr>
      <t>HD1295</t>
    </r>
  </si>
  <si>
    <r>
      <rPr>
        <sz val="9"/>
        <rFont val="Microsoft Sans Serif"/>
        <charset val="134"/>
      </rPr>
      <t>XR TACOS PROTECTOR CH_CARCASA</t>
    </r>
  </si>
  <si>
    <r>
      <rPr>
        <sz val="8"/>
        <rFont val="Times New Roman"/>
        <charset val="134"/>
      </rPr>
      <t>HD1353</t>
    </r>
  </si>
  <si>
    <r>
      <rPr>
        <sz val="9"/>
        <rFont val="Microsoft Sans Serif"/>
        <charset val="134"/>
      </rPr>
      <t>XRPERLAS_CARCASA</t>
    </r>
  </si>
  <si>
    <r>
      <rPr>
        <sz val="8"/>
        <rFont val="Times New Roman"/>
        <charset val="134"/>
      </rPr>
      <t>HD1378</t>
    </r>
  </si>
  <si>
    <r>
      <rPr>
        <sz val="9"/>
        <rFont val="Microsoft Sans Serif"/>
        <charset val="134"/>
      </rPr>
      <t>XS LASO_CARCASA</t>
    </r>
  </si>
  <si>
    <r>
      <rPr>
        <sz val="8"/>
        <rFont val="Times New Roman"/>
        <charset val="134"/>
      </rPr>
      <t>HD1309</t>
    </r>
  </si>
  <si>
    <r>
      <rPr>
        <sz val="9"/>
        <rFont val="Microsoft Sans Serif"/>
        <charset val="134"/>
      </rPr>
      <t>XS MAX ANILLO_CARCASA</t>
    </r>
  </si>
  <si>
    <r>
      <rPr>
        <sz val="8"/>
        <rFont val="Times New Roman"/>
        <charset val="134"/>
      </rPr>
      <t>HD1191</t>
    </r>
  </si>
  <si>
    <r>
      <rPr>
        <sz val="9"/>
        <rFont val="Microsoft Sans Serif"/>
        <charset val="134"/>
      </rPr>
      <t>XS MAX ARCOIRIS CH_CARCASA</t>
    </r>
  </si>
  <si>
    <r>
      <rPr>
        <sz val="8"/>
        <rFont val="Times New Roman"/>
        <charset val="134"/>
      </rPr>
      <t>HD1529</t>
    </r>
  </si>
  <si>
    <r>
      <rPr>
        <sz val="9"/>
        <rFont val="Microsoft Sans Serif"/>
        <charset val="134"/>
      </rPr>
      <t>XS MAX BORDE DE COLOR CH_CARCASA</t>
    </r>
  </si>
  <si>
    <r>
      <rPr>
        <sz val="8"/>
        <rFont val="Times New Roman"/>
        <charset val="134"/>
      </rPr>
      <t>HD1483</t>
    </r>
  </si>
  <si>
    <r>
      <rPr>
        <sz val="9"/>
        <rFont val="Microsoft Sans Serif"/>
        <charset val="134"/>
      </rPr>
      <t>XS MAX BROCHE UNICOLOR CH_CARCASA</t>
    </r>
  </si>
  <si>
    <r>
      <rPr>
        <sz val="8"/>
        <rFont val="Times New Roman"/>
        <charset val="134"/>
      </rPr>
      <t>HD1165</t>
    </r>
  </si>
  <si>
    <r>
      <rPr>
        <sz val="9"/>
        <rFont val="Microsoft Sans Serif"/>
        <charset val="134"/>
      </rPr>
      <t>XS MAX CADENA CORAZONES CH_CARCASA</t>
    </r>
  </si>
  <si>
    <r>
      <rPr>
        <sz val="8"/>
        <rFont val="Times New Roman"/>
        <charset val="134"/>
      </rPr>
      <t>HD1142</t>
    </r>
  </si>
  <si>
    <r>
      <rPr>
        <sz val="9"/>
        <rFont val="Microsoft Sans Serif"/>
        <charset val="134"/>
      </rPr>
      <t>XS MAX CORAZON_CARCASA</t>
    </r>
  </si>
  <si>
    <r>
      <rPr>
        <sz val="8"/>
        <rFont val="Times New Roman"/>
        <charset val="134"/>
      </rPr>
      <t>HD1414</t>
    </r>
  </si>
  <si>
    <r>
      <rPr>
        <sz val="9"/>
        <rFont val="Microsoft Sans Serif"/>
        <charset val="134"/>
      </rPr>
      <t>XS MAX ESCARCHADO CON BROCHE CH_CARCASA</t>
    </r>
  </si>
  <si>
    <r>
      <rPr>
        <sz val="8"/>
        <rFont val="Times New Roman"/>
        <charset val="134"/>
      </rPr>
      <t>HD1506</t>
    </r>
  </si>
  <si>
    <r>
      <rPr>
        <sz val="9"/>
        <rFont val="Microsoft Sans Serif"/>
        <charset val="134"/>
      </rPr>
      <t>XS MAX FLOWERS CADENA CH_CARCASA</t>
    </r>
  </si>
  <si>
    <r>
      <rPr>
        <sz val="8"/>
        <rFont val="Times New Roman"/>
        <charset val="134"/>
      </rPr>
      <t>HD1273</t>
    </r>
  </si>
  <si>
    <r>
      <rPr>
        <sz val="9"/>
        <rFont val="Microsoft Sans Serif"/>
        <charset val="134"/>
      </rPr>
      <t>XS MAX IPHONE UNICOLOR CH_CARCASA</t>
    </r>
  </si>
  <si>
    <r>
      <rPr>
        <sz val="8"/>
        <rFont val="Times New Roman"/>
        <charset val="134"/>
      </rPr>
      <t>HD1178</t>
    </r>
  </si>
  <si>
    <r>
      <rPr>
        <sz val="9"/>
        <rFont val="Microsoft Sans Serif"/>
        <charset val="134"/>
      </rPr>
      <t>XS MAX LADYS SENCILLO CH_CARCASA</t>
    </r>
  </si>
  <si>
    <r>
      <rPr>
        <sz val="8"/>
        <rFont val="Times New Roman"/>
        <charset val="134"/>
      </rPr>
      <t>HD1354</t>
    </r>
  </si>
  <si>
    <r>
      <rPr>
        <sz val="9"/>
        <rFont val="Microsoft Sans Serif"/>
        <charset val="134"/>
      </rPr>
      <t>XS MAX PERLAS_CARCASA</t>
    </r>
  </si>
  <si>
    <r>
      <rPr>
        <sz val="8"/>
        <rFont val="Times New Roman"/>
        <charset val="134"/>
      </rPr>
      <t>HD1237</t>
    </r>
  </si>
  <si>
    <r>
      <rPr>
        <sz val="9"/>
        <rFont val="Microsoft Sans Serif"/>
        <charset val="134"/>
      </rPr>
      <t>XS MAX RELIEVE FIGURAS CH_CARCASA</t>
    </r>
  </si>
  <si>
    <r>
      <rPr>
        <sz val="8"/>
        <rFont val="Times New Roman"/>
        <charset val="134"/>
      </rPr>
      <t>HD1332</t>
    </r>
  </si>
  <si>
    <r>
      <rPr>
        <sz val="9"/>
        <rFont val="Microsoft Sans Serif"/>
        <charset val="134"/>
      </rPr>
      <t>XS MAX SUPREME_CARCASA</t>
    </r>
  </si>
  <si>
    <r>
      <rPr>
        <sz val="8"/>
        <rFont val="Times New Roman"/>
        <charset val="134"/>
      </rPr>
      <t>HD1260</t>
    </r>
  </si>
  <si>
    <r>
      <rPr>
        <sz val="9"/>
        <rFont val="Microsoft Sans Serif"/>
        <charset val="134"/>
      </rPr>
      <t>XS MAX SUPREME1 CH_CARCASA</t>
    </r>
  </si>
  <si>
    <r>
      <rPr>
        <sz val="8"/>
        <rFont val="Times New Roman"/>
        <charset val="134"/>
      </rPr>
      <t>HD1296</t>
    </r>
  </si>
  <si>
    <r>
      <rPr>
        <sz val="9"/>
        <rFont val="Microsoft Sans Serif"/>
        <charset val="134"/>
      </rPr>
      <t>XS MAX TACOS PROTECTOR CH_CARCASA</t>
    </r>
  </si>
  <si>
    <r>
      <rPr>
        <sz val="8"/>
        <rFont val="Times New Roman"/>
        <charset val="134"/>
      </rPr>
      <t>HD1401</t>
    </r>
  </si>
  <si>
    <r>
      <rPr>
        <sz val="9"/>
        <rFont val="Microsoft Sans Serif"/>
        <charset val="134"/>
      </rPr>
      <t>XSMAX STAR - CARCASA</t>
    </r>
  </si>
  <si>
    <r>
      <rPr>
        <sz val="8"/>
        <rFont val="Times New Roman"/>
        <charset val="134"/>
      </rPr>
      <t>HD2129</t>
    </r>
  </si>
  <si>
    <r>
      <rPr>
        <sz val="9"/>
        <rFont val="Microsoft Sans Serif"/>
        <charset val="134"/>
      </rPr>
      <t>XY-9509 TERMO BROCHE 300ML VACUUM</t>
    </r>
  </si>
  <si>
    <r>
      <rPr>
        <sz val="8"/>
        <rFont val="Times New Roman"/>
        <charset val="134"/>
      </rPr>
      <t>HD1470</t>
    </r>
  </si>
  <si>
    <r>
      <rPr>
        <sz val="9"/>
        <rFont val="Microsoft Sans Serif"/>
        <charset val="134"/>
      </rPr>
      <t>Y62019 AMOR CH_CARCASA</t>
    </r>
  </si>
  <si>
    <r>
      <rPr>
        <sz val="8"/>
        <rFont val="Times New Roman"/>
        <charset val="134"/>
      </rPr>
      <t>HD1319</t>
    </r>
  </si>
  <si>
    <r>
      <rPr>
        <sz val="9"/>
        <rFont val="Microsoft Sans Serif"/>
        <charset val="134"/>
      </rPr>
      <t>Y62019 ANILLO ROSA CH_CARCASA</t>
    </r>
  </si>
  <si>
    <r>
      <rPr>
        <sz val="8"/>
        <rFont val="Times New Roman"/>
        <charset val="134"/>
      </rPr>
      <t>HD1201</t>
    </r>
  </si>
  <si>
    <r>
      <rPr>
        <sz val="9"/>
        <rFont val="Microsoft Sans Serif"/>
        <charset val="134"/>
      </rPr>
      <t>Y62019 ARCOIRIS CH_CARCASA</t>
    </r>
  </si>
  <si>
    <r>
      <rPr>
        <sz val="8"/>
        <rFont val="Times New Roman"/>
        <charset val="134"/>
      </rPr>
      <t>HD1539</t>
    </r>
  </si>
  <si>
    <r>
      <rPr>
        <sz val="9"/>
        <rFont val="Microsoft Sans Serif"/>
        <charset val="134"/>
      </rPr>
      <t>Y62019 BORDE DE COLOR CH_CARCASA</t>
    </r>
  </si>
  <si>
    <r>
      <rPr>
        <sz val="8"/>
        <rFont val="Times New Roman"/>
        <charset val="134"/>
      </rPr>
      <t>HD1493</t>
    </r>
  </si>
  <si>
    <r>
      <rPr>
        <sz val="9"/>
        <rFont val="Microsoft Sans Serif"/>
        <charset val="134"/>
      </rPr>
      <t>Y62019 BROCHE UNICOLOR CH_CARCASA</t>
    </r>
  </si>
  <si>
    <r>
      <rPr>
        <sz val="8"/>
        <rFont val="Times New Roman"/>
        <charset val="134"/>
      </rPr>
      <t>HD1152</t>
    </r>
  </si>
  <si>
    <r>
      <rPr>
        <sz val="9"/>
        <rFont val="Microsoft Sans Serif"/>
        <charset val="134"/>
      </rPr>
      <t>Y62019 CORAZON ESPEJO CH_CARCASA</t>
    </r>
  </si>
  <si>
    <r>
      <rPr>
        <sz val="8"/>
        <rFont val="Times New Roman"/>
        <charset val="134"/>
      </rPr>
      <t>HD1424</t>
    </r>
  </si>
  <si>
    <r>
      <rPr>
        <sz val="9"/>
        <rFont val="Microsoft Sans Serif"/>
        <charset val="134"/>
      </rPr>
      <t>Y62019 ESCARCHADO CON BROCHE CH_CARCASA</t>
    </r>
  </si>
  <si>
    <r>
      <rPr>
        <sz val="8"/>
        <rFont val="Times New Roman"/>
        <charset val="134"/>
      </rPr>
      <t>HD1516</t>
    </r>
  </si>
  <si>
    <r>
      <rPr>
        <sz val="9"/>
        <rFont val="Microsoft Sans Serif"/>
        <charset val="134"/>
      </rPr>
      <t>Y62019 FLOWERS CADENA CH_CARCASA</t>
    </r>
  </si>
  <si>
    <r>
      <rPr>
        <sz val="8"/>
        <rFont val="Times New Roman"/>
        <charset val="134"/>
      </rPr>
      <t>HD1283</t>
    </r>
  </si>
  <si>
    <r>
      <rPr>
        <sz val="9"/>
        <rFont val="Microsoft Sans Serif"/>
        <charset val="134"/>
      </rPr>
      <t>Y62019 HUAWEI UNICOLOR CH_CARCASA</t>
    </r>
  </si>
  <si>
    <r>
      <rPr>
        <sz val="8"/>
        <rFont val="Times New Roman"/>
        <charset val="134"/>
      </rPr>
      <t>HD1388</t>
    </r>
  </si>
  <si>
    <r>
      <rPr>
        <sz val="9"/>
        <rFont val="Microsoft Sans Serif"/>
        <charset val="134"/>
      </rPr>
      <t>Y62019 LAZO GIRLS CH_CARCASA</t>
    </r>
  </si>
  <si>
    <r>
      <rPr>
        <sz val="8"/>
        <rFont val="Times New Roman"/>
        <charset val="134"/>
      </rPr>
      <t>HD1447</t>
    </r>
  </si>
  <si>
    <r>
      <rPr>
        <sz val="9"/>
        <rFont val="Microsoft Sans Serif"/>
        <charset val="134"/>
      </rPr>
      <t>Y62019 LOVE CORAZON CH_CARCASA</t>
    </r>
  </si>
  <si>
    <r>
      <rPr>
        <sz val="8"/>
        <rFont val="Times New Roman"/>
        <charset val="134"/>
      </rPr>
      <t>HD1224</t>
    </r>
  </si>
  <si>
    <r>
      <rPr>
        <sz val="9"/>
        <rFont val="Microsoft Sans Serif"/>
        <charset val="134"/>
      </rPr>
      <t>Y62019 MATIZADO CON DORADO CH_CARCASA</t>
    </r>
  </si>
  <si>
    <r>
      <rPr>
        <sz val="8"/>
        <rFont val="Times New Roman"/>
        <charset val="134"/>
      </rPr>
      <t>HD1364</t>
    </r>
  </si>
  <si>
    <r>
      <rPr>
        <sz val="9"/>
        <rFont val="Microsoft Sans Serif"/>
        <charset val="134"/>
      </rPr>
      <t>Y62019 PERLAS CORAZON CH_CARCASA</t>
    </r>
  </si>
  <si>
    <r>
      <rPr>
        <sz val="8"/>
        <rFont val="Times New Roman"/>
        <charset val="134"/>
      </rPr>
      <t>HD1112</t>
    </r>
  </si>
  <si>
    <r>
      <rPr>
        <sz val="9"/>
        <rFont val="Microsoft Sans Serif"/>
        <charset val="134"/>
      </rPr>
      <t>Y62019 PROTECTOR TELF CH_CARCASA</t>
    </r>
  </si>
  <si>
    <r>
      <rPr>
        <sz val="8"/>
        <rFont val="Times New Roman"/>
        <charset val="134"/>
      </rPr>
      <t>HD1247</t>
    </r>
  </si>
  <si>
    <r>
      <rPr>
        <sz val="9"/>
        <rFont val="Microsoft Sans Serif"/>
        <charset val="134"/>
      </rPr>
      <t>Y62019 RELIEVE FIGURAS CH_CARCASA</t>
    </r>
  </si>
  <si>
    <r>
      <rPr>
        <sz val="8"/>
        <rFont val="Times New Roman"/>
        <charset val="134"/>
      </rPr>
      <t>HD1342</t>
    </r>
  </si>
  <si>
    <r>
      <rPr>
        <sz val="9"/>
        <rFont val="Microsoft Sans Serif"/>
        <charset val="134"/>
      </rPr>
      <t>Y62019 SUPREME2 CH_CARCASA</t>
    </r>
  </si>
  <si>
    <r>
      <rPr>
        <sz val="8"/>
        <rFont val="Times New Roman"/>
        <charset val="134"/>
      </rPr>
      <t>HD1471</t>
    </r>
  </si>
  <si>
    <r>
      <rPr>
        <sz val="9"/>
        <rFont val="Microsoft Sans Serif"/>
        <charset val="134"/>
      </rPr>
      <t>Y92019 AMOR CH_CARCASA</t>
    </r>
  </si>
  <si>
    <r>
      <rPr>
        <sz val="8"/>
        <rFont val="Times New Roman"/>
        <charset val="134"/>
      </rPr>
      <t>HD1320</t>
    </r>
  </si>
  <si>
    <r>
      <rPr>
        <sz val="9"/>
        <rFont val="Microsoft Sans Serif"/>
        <charset val="134"/>
      </rPr>
      <t>Y92019 ANILLO ROSA CH_CARCASA</t>
    </r>
  </si>
  <si>
    <r>
      <rPr>
        <sz val="8"/>
        <rFont val="Times New Roman"/>
        <charset val="134"/>
      </rPr>
      <t>HD1202</t>
    </r>
  </si>
  <si>
    <r>
      <rPr>
        <sz val="9"/>
        <rFont val="Microsoft Sans Serif"/>
        <charset val="134"/>
      </rPr>
      <t>Y92019 ARCOIRIS CH_CARCASA</t>
    </r>
  </si>
  <si>
    <r>
      <rPr>
        <sz val="8"/>
        <rFont val="Times New Roman"/>
        <charset val="134"/>
      </rPr>
      <t>HD1540</t>
    </r>
  </si>
  <si>
    <r>
      <rPr>
        <sz val="9"/>
        <rFont val="Microsoft Sans Serif"/>
        <charset val="134"/>
      </rPr>
      <t>Y92019 BORDE DE COLOR CH_CARCASA</t>
    </r>
  </si>
  <si>
    <r>
      <rPr>
        <sz val="8"/>
        <rFont val="Times New Roman"/>
        <charset val="134"/>
      </rPr>
      <t>HD1494</t>
    </r>
  </si>
  <si>
    <r>
      <rPr>
        <sz val="9"/>
        <rFont val="Microsoft Sans Serif"/>
        <charset val="134"/>
      </rPr>
      <t>Y92019 BROCHE UNICOLOR CH_CARCASA</t>
    </r>
  </si>
  <si>
    <r>
      <rPr>
        <sz val="8"/>
        <rFont val="Times New Roman"/>
        <charset val="134"/>
      </rPr>
      <t>HD1153</t>
    </r>
  </si>
  <si>
    <r>
      <rPr>
        <sz val="9"/>
        <rFont val="Microsoft Sans Serif"/>
        <charset val="134"/>
      </rPr>
      <t>Y92019 CORAZON ESPEJO CH_CARCASA</t>
    </r>
  </si>
  <si>
    <r>
      <rPr>
        <sz val="8"/>
        <rFont val="Times New Roman"/>
        <charset val="134"/>
      </rPr>
      <t>HD1425</t>
    </r>
  </si>
  <si>
    <r>
      <rPr>
        <sz val="9"/>
        <rFont val="Microsoft Sans Serif"/>
        <charset val="134"/>
      </rPr>
      <t>Y92019 ESCARCHADO CON BROCHE CH_CARCASA</t>
    </r>
  </si>
  <si>
    <r>
      <rPr>
        <sz val="8"/>
        <rFont val="Times New Roman"/>
        <charset val="134"/>
      </rPr>
      <t>HD1517</t>
    </r>
  </si>
  <si>
    <r>
      <rPr>
        <sz val="9"/>
        <rFont val="Microsoft Sans Serif"/>
        <charset val="134"/>
      </rPr>
      <t>Y92019 FLOWERS CADENA CH_CARCASA</t>
    </r>
  </si>
  <si>
    <r>
      <rPr>
        <sz val="8"/>
        <rFont val="Times New Roman"/>
        <charset val="134"/>
      </rPr>
      <t>HD1284</t>
    </r>
  </si>
  <si>
    <r>
      <rPr>
        <sz val="9"/>
        <rFont val="Microsoft Sans Serif"/>
        <charset val="134"/>
      </rPr>
      <t>Y92019 HUAWEI UNICOLOR CH_CARCASA</t>
    </r>
  </si>
  <si>
    <r>
      <rPr>
        <sz val="8"/>
        <rFont val="Times New Roman"/>
        <charset val="134"/>
      </rPr>
      <t>HD1389</t>
    </r>
  </si>
  <si>
    <r>
      <rPr>
        <sz val="9"/>
        <rFont val="Microsoft Sans Serif"/>
        <charset val="134"/>
      </rPr>
      <t>Y92019 LAZO GIRLS CH_CARCASA</t>
    </r>
  </si>
  <si>
    <r>
      <rPr>
        <sz val="8"/>
        <rFont val="Times New Roman"/>
        <charset val="134"/>
      </rPr>
      <t>HD1448</t>
    </r>
  </si>
  <si>
    <r>
      <rPr>
        <sz val="9"/>
        <rFont val="Microsoft Sans Serif"/>
        <charset val="134"/>
      </rPr>
      <t>Y92019 LOVE CORAZON CH_CARCASA</t>
    </r>
  </si>
  <si>
    <r>
      <rPr>
        <sz val="8"/>
        <rFont val="Times New Roman"/>
        <charset val="134"/>
      </rPr>
      <t>HD1225</t>
    </r>
  </si>
  <si>
    <r>
      <rPr>
        <sz val="9"/>
        <rFont val="Microsoft Sans Serif"/>
        <charset val="134"/>
      </rPr>
      <t>Y92019 MATIZADO CON DORADO CH_CARCASA</t>
    </r>
  </si>
  <si>
    <r>
      <rPr>
        <sz val="8"/>
        <rFont val="Times New Roman"/>
        <charset val="134"/>
      </rPr>
      <t>HD1365</t>
    </r>
  </si>
  <si>
    <r>
      <rPr>
        <sz val="9"/>
        <rFont val="Microsoft Sans Serif"/>
        <charset val="134"/>
      </rPr>
      <t>Y92019 PERLAS CORAZON CH_CARCASA</t>
    </r>
  </si>
  <si>
    <r>
      <rPr>
        <sz val="8"/>
        <rFont val="Times New Roman"/>
        <charset val="134"/>
      </rPr>
      <t>HD1113</t>
    </r>
  </si>
  <si>
    <r>
      <rPr>
        <sz val="9"/>
        <rFont val="Microsoft Sans Serif"/>
        <charset val="134"/>
      </rPr>
      <t>Y92019 PROTECTOR TELF CH_CARCASA</t>
    </r>
  </si>
  <si>
    <r>
      <rPr>
        <sz val="8"/>
        <rFont val="Times New Roman"/>
        <charset val="134"/>
      </rPr>
      <t>HD1248</t>
    </r>
  </si>
  <si>
    <r>
      <rPr>
        <sz val="9"/>
        <rFont val="Microsoft Sans Serif"/>
        <charset val="134"/>
      </rPr>
      <t>Y92019 RELIEVE FIGURAS CH_CARCASA</t>
    </r>
  </si>
  <si>
    <r>
      <rPr>
        <sz val="8"/>
        <rFont val="Times New Roman"/>
        <charset val="134"/>
      </rPr>
      <t>HD1343</t>
    </r>
  </si>
  <si>
    <r>
      <rPr>
        <sz val="9"/>
        <rFont val="Microsoft Sans Serif"/>
        <charset val="134"/>
      </rPr>
      <t>Y92019 SUPREME2 CH_CARCASA</t>
    </r>
  </si>
  <si>
    <r>
      <rPr>
        <sz val="8"/>
        <rFont val="Times New Roman"/>
        <charset val="134"/>
      </rPr>
      <t>HD1708</t>
    </r>
  </si>
  <si>
    <r>
      <rPr>
        <sz val="9"/>
        <rFont val="Microsoft Sans Serif"/>
        <charset val="134"/>
      </rPr>
      <t>YC5503 LAMPARA CHINA</t>
    </r>
  </si>
  <si>
    <r>
      <rPr>
        <sz val="8"/>
        <rFont val="Times New Roman"/>
        <charset val="134"/>
      </rPr>
      <t>HD1712</t>
    </r>
  </si>
  <si>
    <r>
      <rPr>
        <sz val="9"/>
        <rFont val="Microsoft Sans Serif"/>
        <charset val="134"/>
      </rPr>
      <t>YC5505 LAMPARA CHINA MISS YOU</t>
    </r>
  </si>
  <si>
    <r>
      <rPr>
        <sz val="8"/>
        <rFont val="Times New Roman"/>
        <charset val="134"/>
      </rPr>
      <t>HD2082</t>
    </r>
  </si>
  <si>
    <r>
      <rPr>
        <sz val="9"/>
        <rFont val="Microsoft Sans Serif"/>
        <charset val="134"/>
      </rPr>
      <t>YD006A CON CARG TAZA TERMICA</t>
    </r>
  </si>
  <si>
    <r>
      <rPr>
        <sz val="8"/>
        <rFont val="Times New Roman"/>
        <charset val="134"/>
      </rPr>
      <t>HD2081</t>
    </r>
  </si>
  <si>
    <r>
      <rPr>
        <sz val="9"/>
        <rFont val="Microsoft Sans Serif"/>
        <charset val="134"/>
      </rPr>
      <t>YD006B SIN CARG TAZA TERMICA</t>
    </r>
  </si>
  <si>
    <r>
      <rPr>
        <sz val="8"/>
        <rFont val="Times New Roman"/>
        <charset val="134"/>
      </rPr>
      <t>RFD422112</t>
    </r>
  </si>
  <si>
    <r>
      <rPr>
        <sz val="9"/>
        <rFont val="Microsoft Sans Serif"/>
        <charset val="134"/>
      </rPr>
      <t>YIQU HANS BELL 10PCS JUGUETES</t>
    </r>
  </si>
  <si>
    <r>
      <rPr>
        <sz val="8"/>
        <rFont val="Times New Roman"/>
        <charset val="134"/>
      </rPr>
      <t>HD2333</t>
    </r>
  </si>
  <si>
    <r>
      <rPr>
        <sz val="9"/>
        <rFont val="Microsoft Sans Serif"/>
        <charset val="134"/>
      </rPr>
      <t>ZOODIACO MODELOS X1 CRISTAL</t>
    </r>
  </si>
  <si>
    <r>
      <rPr>
        <b/>
        <sz val="11"/>
        <rFont val="Times New Roman"/>
        <charset val="134"/>
      </rPr>
      <t>Codigo                Nombre Articulo</t>
    </r>
  </si>
  <si>
    <r>
      <rPr>
        <b/>
        <sz val="11"/>
        <rFont val="Times New Roman"/>
        <charset val="134"/>
      </rPr>
      <t>Costo</t>
    </r>
  </si>
  <si>
    <r>
      <rPr>
        <b/>
        <sz val="10"/>
        <rFont val="Times New Roman"/>
        <charset val="134"/>
      </rPr>
      <t>RGN1</t>
    </r>
  </si>
  <si>
    <r>
      <rPr>
        <b/>
        <sz val="10"/>
        <rFont val="Times New Roman"/>
        <charset val="134"/>
      </rPr>
      <t>RGN2</t>
    </r>
  </si>
  <si>
    <r>
      <rPr>
        <b/>
        <sz val="10"/>
        <rFont val="Times New Roman"/>
        <charset val="134"/>
      </rPr>
      <t>RNG1</t>
    </r>
  </si>
  <si>
    <r>
      <rPr>
        <b/>
        <sz val="10"/>
        <rFont val="Times New Roman"/>
        <charset val="134"/>
      </rPr>
      <t>RNG2</t>
    </r>
  </si>
  <si>
    <t>X1</t>
  </si>
  <si>
    <t>X2</t>
  </si>
  <si>
    <t>CANT.</t>
  </si>
  <si>
    <t>PV</t>
  </si>
  <si>
    <t xml:space="preserve">TOTAL </t>
  </si>
  <si>
    <t>AA</t>
  </si>
  <si>
    <t>AS</t>
  </si>
  <si>
    <t>CANT</t>
  </si>
  <si>
    <t>PVM</t>
  </si>
  <si>
    <t>HERNAN MOROCHO 21-10-2025</t>
  </si>
  <si>
    <t>HD2487</t>
  </si>
  <si>
    <t>GUIRNALDA HAPPY BIRTHADAY</t>
  </si>
  <si>
    <r>
      <rPr>
        <sz val="8"/>
        <rFont val="Times New Roman"/>
        <charset val="134"/>
      </rPr>
      <t>HD3834</t>
    </r>
  </si>
  <si>
    <r>
      <rPr>
        <sz val="9"/>
        <rFont val="Microsoft Sans Serif"/>
        <charset val="134"/>
      </rPr>
      <t>ANTIFAS TPR HD</t>
    </r>
  </si>
  <si>
    <r>
      <rPr>
        <sz val="8"/>
        <rFont val="Times New Roman"/>
        <charset val="134"/>
      </rPr>
      <t>HD4553</t>
    </r>
  </si>
  <si>
    <r>
      <rPr>
        <sz val="8"/>
        <rFont val="Times New Roman"/>
        <charset val="134"/>
      </rPr>
      <t>HD4298</t>
    </r>
  </si>
  <si>
    <r>
      <rPr>
        <sz val="9"/>
        <rFont val="Microsoft Sans Serif"/>
        <charset val="134"/>
      </rPr>
      <t>UTENSILIOS XB8506 KITS</t>
    </r>
  </si>
  <si>
    <t xml:space="preserve">DATOS DE INFORMACIÓN PARA  LA FACTURA </t>
  </si>
  <si>
    <t xml:space="preserve">CLIENTE: </t>
  </si>
  <si>
    <t>MOROCHO UNUP EVELIN SHEILA</t>
  </si>
  <si>
    <t xml:space="preserve">RUC/ CI: </t>
  </si>
  <si>
    <t>N°</t>
  </si>
  <si>
    <t>001</t>
  </si>
  <si>
    <t xml:space="preserve">CIUDAD: </t>
  </si>
  <si>
    <t xml:space="preserve">DIRECCIÓN: </t>
  </si>
  <si>
    <t>SUCUA</t>
  </si>
  <si>
    <t xml:space="preserve">CORREO : </t>
  </si>
  <si>
    <t>em3355@gmail.com</t>
  </si>
  <si>
    <t xml:space="preserve">DETALLE DE PEDIDO CONFIRMADO </t>
  </si>
  <si>
    <t xml:space="preserve">FECHA: </t>
  </si>
  <si>
    <t>ITEM</t>
  </si>
  <si>
    <t>P.SIN IMP</t>
  </si>
  <si>
    <t>HD3232</t>
  </si>
  <si>
    <t>HD3835</t>
  </si>
  <si>
    <t>HD3852</t>
  </si>
  <si>
    <t>HD3851</t>
  </si>
  <si>
    <t>HD3730</t>
  </si>
  <si>
    <t>HD4141</t>
  </si>
  <si>
    <t>HD4128</t>
  </si>
  <si>
    <t>HD11012</t>
  </si>
  <si>
    <t>HD2482</t>
  </si>
  <si>
    <t>HD2485</t>
  </si>
  <si>
    <t>HD196</t>
  </si>
  <si>
    <t>HD866</t>
  </si>
  <si>
    <t>HD4111</t>
  </si>
  <si>
    <t>HD4120</t>
  </si>
  <si>
    <t>HD4119</t>
  </si>
  <si>
    <t>HD3828</t>
  </si>
  <si>
    <t>HD3829</t>
  </si>
  <si>
    <t>HD4098</t>
  </si>
  <si>
    <t>HD4130</t>
  </si>
  <si>
    <t>HD4446</t>
  </si>
  <si>
    <t>HD3438</t>
  </si>
  <si>
    <t>HD4171</t>
  </si>
  <si>
    <t>HD4160</t>
  </si>
  <si>
    <t>TOTAL DE LA COMPRA</t>
  </si>
  <si>
    <t>CANCELADO A MIGUEL DE SU GANANCIA</t>
  </si>
  <si>
    <t xml:space="preserve">PAGADO ANTERIOR </t>
  </si>
  <si>
    <t xml:space="preserve">TOTAL PAGADO </t>
  </si>
  <si>
    <t xml:space="preserve">VALOR CORREGIDO </t>
  </si>
  <si>
    <t xml:space="preserve">TOTAL POR PAGAR </t>
  </si>
  <si>
    <t xml:space="preserve">RESULTADO </t>
  </si>
  <si>
    <t xml:space="preserve">DEUDA </t>
  </si>
  <si>
    <t>PLAZO PARA PAGAR</t>
  </si>
  <si>
    <t xml:space="preserve">30 DIAS </t>
  </si>
  <si>
    <t>FIRMA DE CLIENTE CONFORME</t>
  </si>
  <si>
    <t xml:space="preserve">FIRMA DEL VENDEDOR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</si>
</sst>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* #,##0.00_ ;_ &quot;$&quot;* \-#,##0.00_ ;_ &quot;$&quot;* &quot;-&quot;??_ ;_ @_ "/>
    <numFmt numFmtId="178" formatCode="_ * #,##0_ ;_ * \-#,##0_ ;_ * &quot;-&quot;_ ;_ @_ "/>
    <numFmt numFmtId="179" formatCode="0.0000"/>
  </numFmts>
  <fonts count="46">
    <font>
      <sz val="10"/>
      <color rgb="FF000000"/>
      <name val="Times New Roman"/>
      <charset val="20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2"/>
      <color theme="10"/>
      <name val="Times New Roman"/>
      <charset val="134"/>
    </font>
    <font>
      <sz val="9"/>
      <color rgb="FF000000"/>
      <name val="Times New Roman"/>
      <charset val="134"/>
    </font>
    <font>
      <sz val="9"/>
      <name val="Microsoft Sans Serif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16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10"/>
      <color rgb="FF800000"/>
      <name val="Times New Roman"/>
      <charset val="134"/>
    </font>
    <font>
      <b/>
      <sz val="10"/>
      <color rgb="FF000000"/>
      <name val="Times New Roman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9"/>
      <color rgb="FFFF0000"/>
      <name val="Microsoft Sans Serif"/>
      <charset val="134"/>
    </font>
    <font>
      <b/>
      <sz val="10"/>
      <color rgb="FFFF0000"/>
      <name val="Times New Roman"/>
      <charset val="134"/>
    </font>
    <font>
      <sz val="11"/>
      <name val="Times New Roman"/>
      <charset val="134"/>
    </font>
    <font>
      <sz val="11"/>
      <name val="Microsoft Sans Serif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6" fillId="11" borderId="1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2" applyNumberFormat="0" applyAlignment="0" applyProtection="0">
      <alignment vertical="center"/>
    </xf>
    <xf numFmtId="0" fontId="36" fillId="13" borderId="23" applyNumberFormat="0" applyAlignment="0" applyProtection="0">
      <alignment vertical="center"/>
    </xf>
    <xf numFmtId="0" fontId="37" fillId="13" borderId="22" applyNumberFormat="0" applyAlignment="0" applyProtection="0">
      <alignment vertical="center"/>
    </xf>
    <xf numFmtId="0" fontId="38" fillId="14" borderId="24" applyNumberFormat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13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8" fillId="0" borderId="0" xfId="6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11" fillId="0" borderId="2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176" fontId="11" fillId="0" borderId="1" xfId="1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77" fontId="13" fillId="4" borderId="0" xfId="2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177" fontId="0" fillId="0" borderId="1" xfId="2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177" fontId="1" fillId="4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176" fontId="11" fillId="0" borderId="0" xfId="1" applyFont="1" applyAlignment="1">
      <alignment vertical="center"/>
    </xf>
    <xf numFmtId="176" fontId="5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176" fontId="11" fillId="0" borderId="0" xfId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 indent="2"/>
    </xf>
    <xf numFmtId="0" fontId="14" fillId="0" borderId="5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1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" fontId="16" fillId="0" borderId="6" xfId="0" applyNumberFormat="1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4" shrinkToFit="1"/>
    </xf>
    <xf numFmtId="179" fontId="17" fillId="0" borderId="5" xfId="0" applyNumberFormat="1" applyFont="1" applyBorder="1" applyAlignment="1">
      <alignment horizontal="left" vertical="top" indent="4" shrinkToFit="1"/>
    </xf>
    <xf numFmtId="2" fontId="18" fillId="0" borderId="11" xfId="0" applyNumberFormat="1" applyFont="1" applyBorder="1" applyAlignment="1">
      <alignment horizontal="left" vertical="top" indent="3" shrinkToFit="1"/>
    </xf>
    <xf numFmtId="2" fontId="18" fillId="0" borderId="5" xfId="0" applyNumberFormat="1" applyFont="1" applyBorder="1" applyAlignment="1">
      <alignment horizontal="left" vertical="top" indent="3" shrinkToFit="1"/>
    </xf>
    <xf numFmtId="2" fontId="18" fillId="0" borderId="6" xfId="0" applyNumberFormat="1" applyFont="1" applyBorder="1" applyAlignment="1">
      <alignment horizontal="right" vertical="top" shrinkToFit="1"/>
    </xf>
    <xf numFmtId="0" fontId="7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76" fontId="11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8" fillId="0" borderId="11" xfId="0" applyNumberFormat="1" applyFont="1" applyBorder="1" applyAlignment="1">
      <alignment horizontal="left" vertical="top" indent="2" shrinkToFit="1"/>
    </xf>
    <xf numFmtId="2" fontId="18" fillId="0" borderId="5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3" shrinkToFit="1"/>
    </xf>
    <xf numFmtId="179" fontId="17" fillId="0" borderId="5" xfId="0" applyNumberFormat="1" applyFont="1" applyBorder="1" applyAlignment="1">
      <alignment horizontal="left" vertical="top" indent="3" shrinkToFit="1"/>
    </xf>
    <xf numFmtId="0" fontId="0" fillId="0" borderId="16" xfId="0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1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left" vertical="top" shrinkToFit="1"/>
    </xf>
    <xf numFmtId="0" fontId="10" fillId="0" borderId="4" xfId="0" applyFont="1" applyBorder="1" applyAlignment="1">
      <alignment horizontal="left" vertical="top" wrapText="1"/>
    </xf>
    <xf numFmtId="179" fontId="17" fillId="0" borderId="12" xfId="0" applyNumberFormat="1" applyFont="1" applyBorder="1" applyAlignment="1">
      <alignment horizontal="left" vertical="top" indent="4" shrinkToFit="1"/>
    </xf>
    <xf numFmtId="179" fontId="17" fillId="0" borderId="3" xfId="0" applyNumberFormat="1" applyFont="1" applyBorder="1" applyAlignment="1">
      <alignment horizontal="left" vertical="top" indent="4" shrinkToFit="1"/>
    </xf>
    <xf numFmtId="2" fontId="18" fillId="0" borderId="12" xfId="0" applyNumberFormat="1" applyFont="1" applyBorder="1" applyAlignment="1">
      <alignment horizontal="left" vertical="top" indent="3" shrinkToFit="1"/>
    </xf>
    <xf numFmtId="2" fontId="18" fillId="0" borderId="3" xfId="0" applyNumberFormat="1" applyFont="1" applyBorder="1" applyAlignment="1">
      <alignment horizontal="left" vertical="top" indent="3" shrinkToFit="1"/>
    </xf>
    <xf numFmtId="2" fontId="18" fillId="0" borderId="4" xfId="0" applyNumberFormat="1" applyFont="1" applyBorder="1" applyAlignment="1">
      <alignment horizontal="right" vertical="top" shrinkToFit="1"/>
    </xf>
    <xf numFmtId="0" fontId="19" fillId="8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179" fontId="17" fillId="8" borderId="11" xfId="0" applyNumberFormat="1" applyFont="1" applyFill="1" applyBorder="1" applyAlignment="1">
      <alignment horizontal="left" vertical="top" indent="4" shrinkToFit="1"/>
    </xf>
    <xf numFmtId="179" fontId="17" fillId="8" borderId="5" xfId="0" applyNumberFormat="1" applyFont="1" applyFill="1" applyBorder="1" applyAlignment="1">
      <alignment horizontal="left" vertical="top" indent="4" shrinkToFit="1"/>
    </xf>
    <xf numFmtId="2" fontId="18" fillId="8" borderId="11" xfId="0" applyNumberFormat="1" applyFont="1" applyFill="1" applyBorder="1" applyAlignment="1">
      <alignment horizontal="left" vertical="top" indent="3" shrinkToFit="1"/>
    </xf>
    <xf numFmtId="2" fontId="18" fillId="8" borderId="5" xfId="0" applyNumberFormat="1" applyFont="1" applyFill="1" applyBorder="1" applyAlignment="1">
      <alignment horizontal="left" vertical="top" indent="3" shrinkToFit="1"/>
    </xf>
    <xf numFmtId="2" fontId="18" fillId="8" borderId="6" xfId="0" applyNumberFormat="1" applyFont="1" applyFill="1" applyBorder="1" applyAlignment="1">
      <alignment horizontal="right" vertical="top" shrinkToFit="1"/>
    </xf>
    <xf numFmtId="0" fontId="19" fillId="9" borderId="6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2" fontId="18" fillId="9" borderId="11" xfId="0" applyNumberFormat="1" applyFont="1" applyFill="1" applyBorder="1" applyAlignment="1">
      <alignment horizontal="left" vertical="top" indent="3" shrinkToFit="1"/>
    </xf>
    <xf numFmtId="2" fontId="18" fillId="9" borderId="5" xfId="0" applyNumberFormat="1" applyFont="1" applyFill="1" applyBorder="1" applyAlignment="1">
      <alignment horizontal="left" vertical="top" indent="3" shrinkToFit="1"/>
    </xf>
    <xf numFmtId="2" fontId="18" fillId="9" borderId="6" xfId="0" applyNumberFormat="1" applyFont="1" applyFill="1" applyBorder="1" applyAlignment="1">
      <alignment horizontal="right" vertical="top" shrinkToFit="1"/>
    </xf>
    <xf numFmtId="0" fontId="19" fillId="10" borderId="6" xfId="0" applyFont="1" applyFill="1" applyBorder="1" applyAlignment="1">
      <alignment horizontal="left" vertical="top" wrapText="1"/>
    </xf>
    <xf numFmtId="0" fontId="10" fillId="10" borderId="6" xfId="0" applyFont="1" applyFill="1" applyBorder="1" applyAlignment="1">
      <alignment horizontal="left" vertical="top" wrapText="1"/>
    </xf>
    <xf numFmtId="2" fontId="18" fillId="10" borderId="11" xfId="0" applyNumberFormat="1" applyFont="1" applyFill="1" applyBorder="1" applyAlignment="1">
      <alignment horizontal="left" vertical="top" indent="3" shrinkToFit="1"/>
    </xf>
    <xf numFmtId="2" fontId="18" fillId="10" borderId="5" xfId="0" applyNumberFormat="1" applyFont="1" applyFill="1" applyBorder="1" applyAlignment="1">
      <alignment horizontal="left" vertical="top" indent="3" shrinkToFit="1"/>
    </xf>
    <xf numFmtId="2" fontId="18" fillId="10" borderId="6" xfId="0" applyNumberFormat="1" applyFont="1" applyFill="1" applyBorder="1" applyAlignment="1">
      <alignment horizontal="right" vertical="top" shrinkToFit="1"/>
    </xf>
    <xf numFmtId="0" fontId="0" fillId="9" borderId="6" xfId="0" applyFill="1" applyBorder="1" applyAlignment="1">
      <alignment horizontal="left" vertical="top" wrapText="1"/>
    </xf>
    <xf numFmtId="1" fontId="16" fillId="9" borderId="6" xfId="0" applyNumberFormat="1" applyFont="1" applyFill="1" applyBorder="1" applyAlignment="1">
      <alignment horizontal="left" vertical="top" shrinkToFit="1"/>
    </xf>
    <xf numFmtId="0" fontId="20" fillId="10" borderId="6" xfId="0" applyFont="1" applyFill="1" applyBorder="1" applyAlignment="1">
      <alignment horizontal="left" vertical="top" wrapText="1"/>
    </xf>
    <xf numFmtId="0" fontId="21" fillId="10" borderId="6" xfId="0" applyFont="1" applyFill="1" applyBorder="1" applyAlignment="1">
      <alignment horizontal="left" vertical="top" wrapText="1"/>
    </xf>
    <xf numFmtId="2" fontId="22" fillId="10" borderId="11" xfId="0" applyNumberFormat="1" applyFont="1" applyFill="1" applyBorder="1" applyAlignment="1">
      <alignment horizontal="left" vertical="top" indent="3" shrinkToFit="1"/>
    </xf>
    <xf numFmtId="2" fontId="22" fillId="10" borderId="5" xfId="0" applyNumberFormat="1" applyFont="1" applyFill="1" applyBorder="1" applyAlignment="1">
      <alignment horizontal="left" vertical="top" indent="3" shrinkToFit="1"/>
    </xf>
    <xf numFmtId="2" fontId="22" fillId="10" borderId="6" xfId="0" applyNumberFormat="1" applyFont="1" applyFill="1" applyBorder="1" applyAlignment="1">
      <alignment horizontal="right" vertical="top" shrinkToFit="1"/>
    </xf>
    <xf numFmtId="0" fontId="19" fillId="9" borderId="17" xfId="0" applyFont="1" applyFill="1" applyBorder="1" applyAlignment="1">
      <alignment horizontal="left" vertical="top" wrapText="1"/>
    </xf>
    <xf numFmtId="0" fontId="10" fillId="9" borderId="18" xfId="0" applyFont="1" applyFill="1" applyBorder="1" applyAlignment="1">
      <alignment horizontal="left" vertical="top" wrapText="1"/>
    </xf>
    <xf numFmtId="179" fontId="17" fillId="0" borderId="14" xfId="0" applyNumberFormat="1" applyFont="1" applyBorder="1" applyAlignment="1">
      <alignment horizontal="left" vertical="top" indent="4" shrinkToFit="1"/>
    </xf>
    <xf numFmtId="2" fontId="18" fillId="9" borderId="17" xfId="0" applyNumberFormat="1" applyFont="1" applyFill="1" applyBorder="1" applyAlignment="1">
      <alignment horizontal="left" vertical="top" indent="3" shrinkToFit="1"/>
    </xf>
    <xf numFmtId="2" fontId="18" fillId="9" borderId="18" xfId="0" applyNumberFormat="1" applyFont="1" applyFill="1" applyBorder="1" applyAlignment="1">
      <alignment horizontal="left" vertical="top" indent="3" shrinkToFit="1"/>
    </xf>
    <xf numFmtId="2" fontId="18" fillId="9" borderId="18" xfId="0" applyNumberFormat="1" applyFont="1" applyFill="1" applyBorder="1" applyAlignment="1">
      <alignment horizontal="right" vertical="top" shrinkToFit="1"/>
    </xf>
    <xf numFmtId="2" fontId="18" fillId="9" borderId="11" xfId="0" applyNumberFormat="1" applyFont="1" applyFill="1" applyBorder="1" applyAlignment="1">
      <alignment horizontal="left" vertical="top" indent="2" shrinkToFit="1"/>
    </xf>
    <xf numFmtId="2" fontId="18" fillId="9" borderId="5" xfId="0" applyNumberFormat="1" applyFont="1" applyFill="1" applyBorder="1" applyAlignment="1">
      <alignment horizontal="left" vertical="top" indent="2" shrinkToFit="1"/>
    </xf>
    <xf numFmtId="0" fontId="23" fillId="9" borderId="6" xfId="0" applyFont="1" applyFill="1" applyBorder="1" applyAlignment="1">
      <alignment horizontal="left" vertical="top" wrapText="1"/>
    </xf>
    <xf numFmtId="0" fontId="24" fillId="9" borderId="6" xfId="0" applyFont="1" applyFill="1" applyBorder="1" applyAlignment="1">
      <alignment horizontal="left" vertical="top" wrapText="1"/>
    </xf>
    <xf numFmtId="2" fontId="25" fillId="9" borderId="11" xfId="0" applyNumberFormat="1" applyFont="1" applyFill="1" applyBorder="1" applyAlignment="1">
      <alignment horizontal="left" vertical="top" indent="3" shrinkToFit="1"/>
    </xf>
    <xf numFmtId="2" fontId="25" fillId="9" borderId="5" xfId="0" applyNumberFormat="1" applyFont="1" applyFill="1" applyBorder="1" applyAlignment="1">
      <alignment horizontal="left" vertical="top" indent="3" shrinkToFit="1"/>
    </xf>
    <xf numFmtId="2" fontId="25" fillId="9" borderId="6" xfId="0" applyNumberFormat="1" applyFont="1" applyFill="1" applyBorder="1" applyAlignment="1">
      <alignment horizontal="right" vertical="top" shrinkToFi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831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83693</xdr:colOff>
      <xdr:row>27</xdr:row>
      <xdr:rowOff>0</xdr:rowOff>
    </xdr:from>
    <xdr:ext cx="7162800" cy="20320"/>
    <xdr:sp>
      <xdr:nvSpPr>
        <xdr:cNvPr id="3" name="Shape 3"/>
        <xdr:cNvSpPr/>
      </xdr:nvSpPr>
      <xdr:spPr>
        <a:xfrm>
          <a:off x="83185" y="898144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9975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377337</xdr:colOff>
      <xdr:row>32</xdr:row>
      <xdr:rowOff>43244</xdr:rowOff>
    </xdr:from>
    <xdr:to>
      <xdr:col>3</xdr:col>
      <xdr:colOff>87923</xdr:colOff>
      <xdr:row>38</xdr:row>
      <xdr:rowOff>152392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190" y="13435330"/>
          <a:ext cx="1853565" cy="108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3355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9"/>
  <sheetViews>
    <sheetView tabSelected="1" zoomScale="160" zoomScaleNormal="160" topLeftCell="B1698" workbookViewId="0">
      <selection activeCell="C1957" sqref="C1957"/>
    </sheetView>
  </sheetViews>
  <sheetFormatPr defaultColWidth="9.33333333333333" defaultRowHeight="12.75" outlineLevelCol="7"/>
  <cols>
    <col min="1" max="1" width="16" hidden="1" customWidth="1"/>
    <col min="2" max="2" width="16.1666666666667" customWidth="1"/>
    <col min="3" max="3" width="40.8333333333333" customWidth="1"/>
    <col min="4" max="4" width="2.5" hidden="1" customWidth="1"/>
    <col min="5" max="5" width="11.5" hidden="1" customWidth="1"/>
    <col min="6" max="6" width="2.83333333333333" customWidth="1"/>
    <col min="7" max="7" width="8" customWidth="1"/>
    <col min="8" max="8" width="11.1666666666667" customWidth="1"/>
  </cols>
  <sheetData>
    <row r="1" ht="2.1" customHeight="1"/>
    <row r="2" ht="18.75" customHeight="1"/>
    <row r="3" ht="21.75" customHeight="1" spans="2:8">
      <c r="B3" s="85"/>
      <c r="C3" s="85"/>
      <c r="F3" s="86"/>
      <c r="G3" s="86"/>
      <c r="H3" s="86"/>
    </row>
    <row r="4" ht="21.75" customHeight="1" spans="1:8">
      <c r="A4" s="61" t="s">
        <v>0</v>
      </c>
      <c r="B4" s="87" t="s">
        <v>1</v>
      </c>
      <c r="C4" s="87" t="s">
        <v>2</v>
      </c>
      <c r="D4" s="87" t="s">
        <v>3</v>
      </c>
      <c r="E4" s="87"/>
      <c r="F4" s="88" t="s">
        <v>4</v>
      </c>
      <c r="G4" s="88"/>
      <c r="H4" s="88" t="s">
        <v>5</v>
      </c>
    </row>
    <row r="5" ht="27.95" customHeight="1" spans="1:8">
      <c r="A5" s="64"/>
      <c r="B5" s="89">
        <v>6852345547511</v>
      </c>
      <c r="C5" s="90" t="s">
        <v>6</v>
      </c>
      <c r="D5" s="91">
        <v>4.3478</v>
      </c>
      <c r="E5" s="92"/>
      <c r="F5" s="93">
        <v>10</v>
      </c>
      <c r="G5" s="94"/>
      <c r="H5" s="95">
        <v>8.33</v>
      </c>
    </row>
    <row r="6" ht="27.95" customHeight="1" spans="1:8">
      <c r="A6" s="64"/>
      <c r="B6" s="65">
        <v>7861038062483</v>
      </c>
      <c r="C6" s="66" t="s">
        <v>7</v>
      </c>
      <c r="D6" s="67">
        <v>0.913</v>
      </c>
      <c r="E6" s="68"/>
      <c r="F6" s="69">
        <v>2.1</v>
      </c>
      <c r="G6" s="70"/>
      <c r="H6" s="71">
        <v>1.75</v>
      </c>
    </row>
    <row r="7" ht="27.95" customHeight="1" spans="1:8">
      <c r="A7" s="64"/>
      <c r="B7" s="65">
        <v>6202110243207</v>
      </c>
      <c r="C7" s="66" t="s">
        <v>8</v>
      </c>
      <c r="D7" s="67">
        <v>0.6957</v>
      </c>
      <c r="E7" s="68"/>
      <c r="F7" s="69">
        <v>1.6</v>
      </c>
      <c r="G7" s="70"/>
      <c r="H7" s="71">
        <v>1</v>
      </c>
    </row>
    <row r="8" ht="27.95" customHeight="1" spans="1:8">
      <c r="A8" s="64"/>
      <c r="B8" s="73" t="s">
        <v>9</v>
      </c>
      <c r="C8" s="66" t="s">
        <v>10</v>
      </c>
      <c r="D8" s="67">
        <v>0.2174</v>
      </c>
      <c r="E8" s="68"/>
      <c r="F8" s="69">
        <v>1</v>
      </c>
      <c r="G8" s="70"/>
      <c r="H8" s="71">
        <v>0.5</v>
      </c>
    </row>
    <row r="9" ht="27.95" customHeight="1" spans="1:8">
      <c r="A9" s="64"/>
      <c r="B9" s="73" t="s">
        <v>11</v>
      </c>
      <c r="C9" s="66" t="s">
        <v>12</v>
      </c>
      <c r="D9" s="67">
        <v>0.2174</v>
      </c>
      <c r="E9" s="68"/>
      <c r="F9" s="69">
        <v>1</v>
      </c>
      <c r="G9" s="70"/>
      <c r="H9" s="71">
        <v>0.5</v>
      </c>
    </row>
    <row r="10" ht="27.95" customHeight="1" spans="1:8">
      <c r="A10" s="64"/>
      <c r="B10" s="96" t="s">
        <v>13</v>
      </c>
      <c r="C10" s="97" t="s">
        <v>14</v>
      </c>
      <c r="D10" s="98">
        <v>0.2174</v>
      </c>
      <c r="E10" s="99"/>
      <c r="F10" s="100">
        <v>1</v>
      </c>
      <c r="G10" s="101"/>
      <c r="H10" s="102">
        <v>0.5</v>
      </c>
    </row>
    <row r="11" ht="27.95" customHeight="1" spans="1:8">
      <c r="A11" s="64"/>
      <c r="B11" s="73" t="s">
        <v>15</v>
      </c>
      <c r="C11" s="66" t="s">
        <v>16</v>
      </c>
      <c r="D11" s="67">
        <v>0.2174</v>
      </c>
      <c r="E11" s="68"/>
      <c r="F11" s="69">
        <v>1</v>
      </c>
      <c r="G11" s="70"/>
      <c r="H11" s="71">
        <v>0.5</v>
      </c>
    </row>
    <row r="12" ht="27.95" customHeight="1" spans="1:8">
      <c r="A12" s="64"/>
      <c r="B12" s="73" t="s">
        <v>17</v>
      </c>
      <c r="C12" s="66" t="s">
        <v>18</v>
      </c>
      <c r="D12" s="67">
        <v>0.2174</v>
      </c>
      <c r="E12" s="68"/>
      <c r="F12" s="69">
        <v>1</v>
      </c>
      <c r="G12" s="70"/>
      <c r="H12" s="71">
        <v>0.5</v>
      </c>
    </row>
    <row r="13" ht="27.95" customHeight="1" spans="1:8">
      <c r="A13" s="64"/>
      <c r="B13" s="73" t="s">
        <v>19</v>
      </c>
      <c r="C13" s="66" t="s">
        <v>20</v>
      </c>
      <c r="D13" s="67">
        <v>0.2174</v>
      </c>
      <c r="E13" s="68"/>
      <c r="F13" s="69">
        <v>1</v>
      </c>
      <c r="G13" s="70"/>
      <c r="H13" s="71">
        <v>0.5</v>
      </c>
    </row>
    <row r="14" ht="27.95" customHeight="1" spans="1:8">
      <c r="A14" s="64"/>
      <c r="B14" s="73" t="s">
        <v>21</v>
      </c>
      <c r="C14" s="66" t="s">
        <v>22</v>
      </c>
      <c r="D14" s="67">
        <v>0.2174</v>
      </c>
      <c r="E14" s="68"/>
      <c r="F14" s="69">
        <v>1</v>
      </c>
      <c r="G14" s="70"/>
      <c r="H14" s="71">
        <v>0.5</v>
      </c>
    </row>
    <row r="15" ht="27.95" customHeight="1" spans="1:8">
      <c r="A15" s="64"/>
      <c r="B15" s="73" t="s">
        <v>23</v>
      </c>
      <c r="C15" s="66" t="s">
        <v>24</v>
      </c>
      <c r="D15" s="67">
        <v>0.2174</v>
      </c>
      <c r="E15" s="68"/>
      <c r="F15" s="69">
        <v>1</v>
      </c>
      <c r="G15" s="70"/>
      <c r="H15" s="71">
        <v>0.5</v>
      </c>
    </row>
    <row r="16" ht="27.95" customHeight="1" spans="1:8">
      <c r="A16" s="74"/>
      <c r="B16" s="73" t="s">
        <v>25</v>
      </c>
      <c r="C16" s="66" t="s">
        <v>26</v>
      </c>
      <c r="D16" s="67">
        <v>0.2174</v>
      </c>
      <c r="E16" s="68"/>
      <c r="F16" s="69">
        <v>1</v>
      </c>
      <c r="G16" s="70"/>
      <c r="H16" s="71">
        <v>0.5</v>
      </c>
    </row>
    <row r="17" ht="27.95" customHeight="1" spans="1:8">
      <c r="A17" s="75"/>
      <c r="B17" s="103" t="s">
        <v>27</v>
      </c>
      <c r="C17" s="104" t="s">
        <v>26</v>
      </c>
      <c r="D17" s="67">
        <v>0.2174</v>
      </c>
      <c r="E17" s="68"/>
      <c r="F17" s="105">
        <v>1</v>
      </c>
      <c r="G17" s="106"/>
      <c r="H17" s="107">
        <v>0.5</v>
      </c>
    </row>
    <row r="18" ht="27.95" customHeight="1" spans="1:8">
      <c r="A18" s="64"/>
      <c r="B18" s="73" t="s">
        <v>28</v>
      </c>
      <c r="C18" s="66" t="s">
        <v>29</v>
      </c>
      <c r="D18" s="67">
        <v>0.2174</v>
      </c>
      <c r="E18" s="68"/>
      <c r="F18" s="69">
        <v>1</v>
      </c>
      <c r="G18" s="70"/>
      <c r="H18" s="71">
        <v>0.5</v>
      </c>
    </row>
    <row r="19" ht="27.95" customHeight="1" spans="1:8">
      <c r="A19" s="64"/>
      <c r="B19" s="103" t="s">
        <v>30</v>
      </c>
      <c r="C19" s="104" t="s">
        <v>31</v>
      </c>
      <c r="D19" s="67">
        <v>0.2174</v>
      </c>
      <c r="E19" s="68"/>
      <c r="F19" s="105">
        <v>1</v>
      </c>
      <c r="G19" s="106"/>
      <c r="H19" s="107">
        <v>0.5</v>
      </c>
    </row>
    <row r="20" ht="27.95" customHeight="1" spans="1:8">
      <c r="A20" s="64"/>
      <c r="B20" s="73" t="s">
        <v>32</v>
      </c>
      <c r="C20" s="66" t="s">
        <v>33</v>
      </c>
      <c r="D20" s="67">
        <v>0.2174</v>
      </c>
      <c r="E20" s="68"/>
      <c r="F20" s="69">
        <v>1</v>
      </c>
      <c r="G20" s="70"/>
      <c r="H20" s="71">
        <v>0.5</v>
      </c>
    </row>
    <row r="21" ht="27.95" customHeight="1" spans="1:8">
      <c r="A21" s="64"/>
      <c r="B21" s="73" t="s">
        <v>34</v>
      </c>
      <c r="C21" s="66" t="s">
        <v>35</v>
      </c>
      <c r="D21" s="67">
        <v>0.2174</v>
      </c>
      <c r="E21" s="68"/>
      <c r="F21" s="69">
        <v>1</v>
      </c>
      <c r="G21" s="70"/>
      <c r="H21" s="71">
        <v>0.5</v>
      </c>
    </row>
    <row r="22" ht="27.95" customHeight="1" spans="1:8">
      <c r="A22" s="64"/>
      <c r="B22" s="73" t="s">
        <v>36</v>
      </c>
      <c r="C22" s="66" t="s">
        <v>37</v>
      </c>
      <c r="D22" s="67">
        <v>0.2174</v>
      </c>
      <c r="E22" s="68"/>
      <c r="F22" s="69">
        <v>1</v>
      </c>
      <c r="G22" s="70"/>
      <c r="H22" s="71">
        <v>0.5</v>
      </c>
    </row>
    <row r="23" ht="27.95" customHeight="1" spans="1:8">
      <c r="A23" s="64"/>
      <c r="B23" s="103" t="s">
        <v>38</v>
      </c>
      <c r="C23" s="104" t="s">
        <v>39</v>
      </c>
      <c r="D23" s="67">
        <v>0.2174</v>
      </c>
      <c r="E23" s="68"/>
      <c r="F23" s="105">
        <v>1</v>
      </c>
      <c r="G23" s="106"/>
      <c r="H23" s="107">
        <v>0.5</v>
      </c>
    </row>
    <row r="24" ht="27.95" customHeight="1" spans="1:8">
      <c r="A24" s="64"/>
      <c r="B24" s="103" t="s">
        <v>40</v>
      </c>
      <c r="C24" s="104" t="s">
        <v>41</v>
      </c>
      <c r="D24" s="67">
        <v>0.2174</v>
      </c>
      <c r="E24" s="68"/>
      <c r="F24" s="105">
        <v>1</v>
      </c>
      <c r="G24" s="106"/>
      <c r="H24" s="107">
        <v>0.5</v>
      </c>
    </row>
    <row r="25" ht="27.95" customHeight="1" spans="1:8">
      <c r="A25" s="64"/>
      <c r="B25" s="73" t="s">
        <v>42</v>
      </c>
      <c r="C25" s="66" t="s">
        <v>43</v>
      </c>
      <c r="D25" s="67">
        <v>0.2174</v>
      </c>
      <c r="E25" s="68"/>
      <c r="F25" s="69">
        <v>1</v>
      </c>
      <c r="G25" s="70"/>
      <c r="H25" s="71">
        <v>0.5</v>
      </c>
    </row>
    <row r="26" ht="27.95" customHeight="1" spans="1:8">
      <c r="A26" s="64"/>
      <c r="B26" s="73" t="s">
        <v>44</v>
      </c>
      <c r="C26" s="66" t="s">
        <v>45</v>
      </c>
      <c r="D26" s="67">
        <v>0.0435</v>
      </c>
      <c r="E26" s="68"/>
      <c r="F26" s="69">
        <v>0.2</v>
      </c>
      <c r="G26" s="70"/>
      <c r="H26" s="71">
        <v>0.1</v>
      </c>
    </row>
    <row r="27" ht="27.95" customHeight="1" spans="1:8">
      <c r="A27" s="64"/>
      <c r="B27" s="73" t="s">
        <v>46</v>
      </c>
      <c r="C27" s="66" t="s">
        <v>47</v>
      </c>
      <c r="D27" s="67">
        <v>0.2174</v>
      </c>
      <c r="E27" s="68"/>
      <c r="F27" s="69">
        <v>1</v>
      </c>
      <c r="G27" s="70"/>
      <c r="H27" s="71">
        <v>0.5</v>
      </c>
    </row>
    <row r="28" ht="27.95" customHeight="1" spans="1:8">
      <c r="A28" s="64"/>
      <c r="B28" s="73" t="s">
        <v>48</v>
      </c>
      <c r="C28" s="66" t="s">
        <v>49</v>
      </c>
      <c r="D28" s="67">
        <v>0.2174</v>
      </c>
      <c r="E28" s="68"/>
      <c r="F28" s="69">
        <v>1</v>
      </c>
      <c r="G28" s="70"/>
      <c r="H28" s="71">
        <v>0.5</v>
      </c>
    </row>
    <row r="29" ht="27.95" customHeight="1" spans="1:8">
      <c r="A29" s="64"/>
      <c r="B29" s="73" t="s">
        <v>50</v>
      </c>
      <c r="C29" s="66" t="s">
        <v>51</v>
      </c>
      <c r="D29" s="67">
        <v>0.2174</v>
      </c>
      <c r="E29" s="68"/>
      <c r="F29" s="69">
        <v>1</v>
      </c>
      <c r="G29" s="70"/>
      <c r="H29" s="71">
        <v>0.5</v>
      </c>
    </row>
    <row r="30" ht="27.95" customHeight="1" spans="1:8">
      <c r="A30" s="64"/>
      <c r="B30" s="73" t="s">
        <v>52</v>
      </c>
      <c r="C30" s="66" t="s">
        <v>53</v>
      </c>
      <c r="D30" s="67">
        <v>0.2174</v>
      </c>
      <c r="E30" s="68"/>
      <c r="F30" s="69">
        <v>1</v>
      </c>
      <c r="G30" s="70"/>
      <c r="H30" s="71">
        <v>0.5</v>
      </c>
    </row>
    <row r="31" ht="27.95" customHeight="1" spans="1:8">
      <c r="A31" s="64"/>
      <c r="B31" s="73" t="s">
        <v>54</v>
      </c>
      <c r="C31" s="66" t="s">
        <v>55</v>
      </c>
      <c r="D31" s="67">
        <v>0.2174</v>
      </c>
      <c r="E31" s="68"/>
      <c r="F31" s="69">
        <v>1</v>
      </c>
      <c r="G31" s="70"/>
      <c r="H31" s="71">
        <v>0.5</v>
      </c>
    </row>
    <row r="32" ht="27.95" customHeight="1" spans="1:8">
      <c r="A32" s="64"/>
      <c r="B32" s="73" t="s">
        <v>56</v>
      </c>
      <c r="C32" s="66" t="s">
        <v>57</v>
      </c>
      <c r="D32" s="67">
        <v>0.2174</v>
      </c>
      <c r="E32" s="68"/>
      <c r="F32" s="69">
        <v>1</v>
      </c>
      <c r="G32" s="70"/>
      <c r="H32" s="71">
        <v>0.5</v>
      </c>
    </row>
    <row r="33" ht="27.95" customHeight="1" spans="1:8">
      <c r="A33" s="64"/>
      <c r="B33" s="73" t="s">
        <v>58</v>
      </c>
      <c r="C33" s="66" t="s">
        <v>59</v>
      </c>
      <c r="D33" s="67">
        <v>0.2174</v>
      </c>
      <c r="E33" s="68"/>
      <c r="F33" s="69">
        <v>1</v>
      </c>
      <c r="G33" s="70"/>
      <c r="H33" s="71">
        <v>0.5</v>
      </c>
    </row>
    <row r="34" ht="27.95" customHeight="1" spans="1:8">
      <c r="A34" s="64"/>
      <c r="B34" s="73" t="s">
        <v>60</v>
      </c>
      <c r="C34" s="66" t="s">
        <v>61</v>
      </c>
      <c r="D34" s="67">
        <v>0.2174</v>
      </c>
      <c r="E34" s="68"/>
      <c r="F34" s="69">
        <v>1</v>
      </c>
      <c r="G34" s="70"/>
      <c r="H34" s="71">
        <v>0.5</v>
      </c>
    </row>
    <row r="35" ht="27.95" customHeight="1" spans="1:8">
      <c r="A35" s="64"/>
      <c r="B35" s="73" t="s">
        <v>62</v>
      </c>
      <c r="C35" s="66" t="s">
        <v>63</v>
      </c>
      <c r="D35" s="67">
        <v>0.2174</v>
      </c>
      <c r="E35" s="68"/>
      <c r="F35" s="69">
        <v>1</v>
      </c>
      <c r="G35" s="70"/>
      <c r="H35" s="71">
        <v>0.5</v>
      </c>
    </row>
    <row r="36" ht="27.95" customHeight="1" spans="1:8">
      <c r="A36" s="64"/>
      <c r="B36" s="73" t="s">
        <v>64</v>
      </c>
      <c r="C36" s="66" t="s">
        <v>65</v>
      </c>
      <c r="D36" s="67">
        <v>0.2174</v>
      </c>
      <c r="E36" s="68"/>
      <c r="F36" s="69">
        <v>1</v>
      </c>
      <c r="G36" s="70"/>
      <c r="H36" s="71">
        <v>0.5</v>
      </c>
    </row>
    <row r="37" ht="27.95" customHeight="1" spans="1:8">
      <c r="A37" s="64"/>
      <c r="B37" s="73" t="s">
        <v>66</v>
      </c>
      <c r="C37" s="66" t="s">
        <v>67</v>
      </c>
      <c r="D37" s="67">
        <v>0.2174</v>
      </c>
      <c r="E37" s="68"/>
      <c r="F37" s="69">
        <v>1</v>
      </c>
      <c r="G37" s="70"/>
      <c r="H37" s="71">
        <v>0.5</v>
      </c>
    </row>
    <row r="38" ht="27.95" customHeight="1" spans="1:8">
      <c r="A38" s="64"/>
      <c r="B38" s="73" t="s">
        <v>68</v>
      </c>
      <c r="C38" s="66" t="s">
        <v>69</v>
      </c>
      <c r="D38" s="67">
        <v>0.2174</v>
      </c>
      <c r="E38" s="68"/>
      <c r="F38" s="69">
        <v>1</v>
      </c>
      <c r="G38" s="70"/>
      <c r="H38" s="71">
        <v>0.5</v>
      </c>
    </row>
    <row r="39" ht="27.95" customHeight="1" spans="1:8">
      <c r="A39" s="64"/>
      <c r="B39" s="73" t="s">
        <v>70</v>
      </c>
      <c r="C39" s="66" t="s">
        <v>71</v>
      </c>
      <c r="D39" s="67">
        <v>0.2174</v>
      </c>
      <c r="E39" s="68"/>
      <c r="F39" s="69">
        <v>1</v>
      </c>
      <c r="G39" s="70"/>
      <c r="H39" s="71">
        <v>0.5</v>
      </c>
    </row>
    <row r="40" ht="27.95" customHeight="1" spans="1:8">
      <c r="A40" s="64"/>
      <c r="B40" s="73" t="s">
        <v>72</v>
      </c>
      <c r="C40" s="66" t="s">
        <v>73</v>
      </c>
      <c r="D40" s="67">
        <v>0.2174</v>
      </c>
      <c r="E40" s="68"/>
      <c r="F40" s="69">
        <v>1</v>
      </c>
      <c r="G40" s="70"/>
      <c r="H40" s="71">
        <v>0.5</v>
      </c>
    </row>
    <row r="41" ht="27.95" customHeight="1" spans="1:8">
      <c r="A41" s="64"/>
      <c r="B41" s="73" t="s">
        <v>74</v>
      </c>
      <c r="C41" s="66" t="s">
        <v>75</v>
      </c>
      <c r="D41" s="67">
        <v>0.8696</v>
      </c>
      <c r="E41" s="68"/>
      <c r="F41" s="69">
        <v>2</v>
      </c>
      <c r="G41" s="70"/>
      <c r="H41" s="71">
        <v>1.5</v>
      </c>
    </row>
    <row r="42" ht="27.95" customHeight="1" spans="1:8">
      <c r="A42" s="64"/>
      <c r="B42" s="73" t="s">
        <v>76</v>
      </c>
      <c r="C42" s="66" t="s">
        <v>77</v>
      </c>
      <c r="D42" s="67">
        <v>0.2174</v>
      </c>
      <c r="E42" s="68"/>
      <c r="F42" s="69">
        <v>1</v>
      </c>
      <c r="G42" s="70"/>
      <c r="H42" s="71">
        <v>0.5</v>
      </c>
    </row>
    <row r="43" ht="27.95" customHeight="1" spans="1:8">
      <c r="A43" s="64"/>
      <c r="B43" s="73" t="s">
        <v>78</v>
      </c>
      <c r="C43" s="66" t="s">
        <v>79</v>
      </c>
      <c r="D43" s="67">
        <v>1.087</v>
      </c>
      <c r="E43" s="68"/>
      <c r="F43" s="69">
        <v>3.5</v>
      </c>
      <c r="G43" s="70"/>
      <c r="H43" s="71">
        <v>2.5</v>
      </c>
    </row>
    <row r="44" ht="27.95" customHeight="1" spans="1:8">
      <c r="A44" s="64"/>
      <c r="B44" s="103" t="s">
        <v>80</v>
      </c>
      <c r="C44" s="104" t="s">
        <v>81</v>
      </c>
      <c r="D44" s="67">
        <v>1.2174</v>
      </c>
      <c r="E44" s="68"/>
      <c r="F44" s="105">
        <v>4.5</v>
      </c>
      <c r="G44" s="106"/>
      <c r="H44" s="107">
        <v>2.8</v>
      </c>
    </row>
    <row r="45" ht="27.95" customHeight="1" spans="1:8">
      <c r="A45" s="64"/>
      <c r="B45" s="73" t="s">
        <v>82</v>
      </c>
      <c r="C45" s="66" t="s">
        <v>83</v>
      </c>
      <c r="D45" s="67">
        <v>0.2174</v>
      </c>
      <c r="E45" s="68"/>
      <c r="F45" s="69">
        <v>1</v>
      </c>
      <c r="G45" s="70"/>
      <c r="H45" s="71">
        <v>0.5</v>
      </c>
    </row>
    <row r="46" ht="27.95" customHeight="1" spans="1:8">
      <c r="A46" s="64"/>
      <c r="B46" s="73" t="s">
        <v>84</v>
      </c>
      <c r="C46" s="66" t="s">
        <v>85</v>
      </c>
      <c r="D46" s="67">
        <v>0.4348</v>
      </c>
      <c r="E46" s="68"/>
      <c r="F46" s="69">
        <v>1.6</v>
      </c>
      <c r="G46" s="70"/>
      <c r="H46" s="71">
        <v>1</v>
      </c>
    </row>
    <row r="47" ht="27.95" customHeight="1" spans="1:8">
      <c r="A47" s="64"/>
      <c r="B47" s="73" t="s">
        <v>86</v>
      </c>
      <c r="C47" s="66" t="s">
        <v>87</v>
      </c>
      <c r="D47" s="67">
        <v>0.4348</v>
      </c>
      <c r="E47" s="68"/>
      <c r="F47" s="69">
        <v>1.6</v>
      </c>
      <c r="G47" s="70"/>
      <c r="H47" s="71">
        <v>1</v>
      </c>
    </row>
    <row r="48" ht="27.95" customHeight="1" spans="1:8">
      <c r="A48" s="64"/>
      <c r="B48" s="73" t="s">
        <v>88</v>
      </c>
      <c r="C48" s="66" t="s">
        <v>89</v>
      </c>
      <c r="D48" s="67">
        <v>0.4348</v>
      </c>
      <c r="E48" s="68"/>
      <c r="F48" s="69">
        <v>1.6</v>
      </c>
      <c r="G48" s="70"/>
      <c r="H48" s="71">
        <v>1</v>
      </c>
    </row>
    <row r="49" ht="27.95" customHeight="1" spans="1:8">
      <c r="A49" s="64"/>
      <c r="B49" s="73" t="s">
        <v>90</v>
      </c>
      <c r="C49" s="66" t="s">
        <v>91</v>
      </c>
      <c r="D49" s="67">
        <v>0.4348</v>
      </c>
      <c r="E49" s="68"/>
      <c r="F49" s="69">
        <v>1.6</v>
      </c>
      <c r="G49" s="70"/>
      <c r="H49" s="71">
        <v>1</v>
      </c>
    </row>
    <row r="50" ht="27.95" customHeight="1" spans="1:8">
      <c r="A50" s="64"/>
      <c r="B50" s="103" t="s">
        <v>92</v>
      </c>
      <c r="C50" s="104" t="s">
        <v>93</v>
      </c>
      <c r="D50" s="67">
        <v>0.3043</v>
      </c>
      <c r="E50" s="68"/>
      <c r="F50" s="105">
        <v>1</v>
      </c>
      <c r="G50" s="106"/>
      <c r="H50" s="107">
        <v>0.7</v>
      </c>
    </row>
    <row r="51" ht="27.95" customHeight="1" spans="1:8">
      <c r="A51" s="64"/>
      <c r="B51" s="73" t="s">
        <v>94</v>
      </c>
      <c r="C51" s="66" t="s">
        <v>95</v>
      </c>
      <c r="D51" s="67">
        <v>0.4348</v>
      </c>
      <c r="E51" s="68"/>
      <c r="F51" s="69">
        <v>1.6</v>
      </c>
      <c r="G51" s="70"/>
      <c r="H51" s="71">
        <v>1</v>
      </c>
    </row>
    <row r="52" ht="27.95" customHeight="1" spans="1:8">
      <c r="A52" s="64"/>
      <c r="B52" s="73" t="s">
        <v>96</v>
      </c>
      <c r="C52" s="66" t="s">
        <v>97</v>
      </c>
      <c r="D52" s="67">
        <v>0.6087</v>
      </c>
      <c r="E52" s="68"/>
      <c r="F52" s="69">
        <v>2.3</v>
      </c>
      <c r="G52" s="70"/>
      <c r="H52" s="71">
        <v>1.4</v>
      </c>
    </row>
    <row r="53" ht="27.95" customHeight="1" spans="1:8">
      <c r="A53" s="64"/>
      <c r="B53" s="73" t="s">
        <v>98</v>
      </c>
      <c r="C53" s="66" t="s">
        <v>99</v>
      </c>
      <c r="D53" s="67">
        <v>0.6087</v>
      </c>
      <c r="E53" s="68"/>
      <c r="F53" s="69">
        <v>2.3</v>
      </c>
      <c r="G53" s="70"/>
      <c r="H53" s="71">
        <v>1.4</v>
      </c>
    </row>
    <row r="54" ht="27.95" customHeight="1" spans="1:8">
      <c r="A54" s="64"/>
      <c r="B54" s="73" t="s">
        <v>100</v>
      </c>
      <c r="C54" s="66" t="s">
        <v>101</v>
      </c>
      <c r="D54" s="67">
        <v>0.6087</v>
      </c>
      <c r="E54" s="68"/>
      <c r="F54" s="69">
        <v>2.3</v>
      </c>
      <c r="G54" s="70"/>
      <c r="H54" s="71">
        <v>1.4</v>
      </c>
    </row>
    <row r="55" ht="27.95" customHeight="1" spans="1:8">
      <c r="A55" s="64"/>
      <c r="B55" s="73" t="s">
        <v>102</v>
      </c>
      <c r="C55" s="66" t="s">
        <v>103</v>
      </c>
      <c r="D55" s="67">
        <v>0.6087</v>
      </c>
      <c r="E55" s="68"/>
      <c r="F55" s="69">
        <v>2.3</v>
      </c>
      <c r="G55" s="70"/>
      <c r="H55" s="71">
        <v>1.4</v>
      </c>
    </row>
    <row r="56" ht="27.95" customHeight="1" spans="1:8">
      <c r="A56" s="64"/>
      <c r="B56" s="73" t="s">
        <v>104</v>
      </c>
      <c r="C56" s="66" t="s">
        <v>105</v>
      </c>
      <c r="D56" s="67">
        <v>0.3478</v>
      </c>
      <c r="E56" s="68"/>
      <c r="F56" s="69">
        <v>1.2</v>
      </c>
      <c r="G56" s="70"/>
      <c r="H56" s="71">
        <v>0.8</v>
      </c>
    </row>
    <row r="57" ht="27.95" customHeight="1" spans="1:8">
      <c r="A57" s="64"/>
      <c r="B57" s="73" t="s">
        <v>106</v>
      </c>
      <c r="C57" s="66" t="s">
        <v>107</v>
      </c>
      <c r="D57" s="67">
        <v>0.3043</v>
      </c>
      <c r="E57" s="68"/>
      <c r="F57" s="69">
        <v>1.1</v>
      </c>
      <c r="G57" s="70"/>
      <c r="H57" s="71">
        <v>0.7</v>
      </c>
    </row>
    <row r="58" ht="27.95" customHeight="1" spans="1:8">
      <c r="A58" s="64"/>
      <c r="B58" s="103" t="s">
        <v>108</v>
      </c>
      <c r="C58" s="104" t="s">
        <v>109</v>
      </c>
      <c r="D58" s="67">
        <v>0.3043</v>
      </c>
      <c r="E58" s="68"/>
      <c r="F58" s="105">
        <v>1.1</v>
      </c>
      <c r="G58" s="106"/>
      <c r="H58" s="107">
        <v>0.7</v>
      </c>
    </row>
    <row r="59" ht="27.95" customHeight="1" spans="1:8">
      <c r="A59" s="64"/>
      <c r="B59" s="73" t="s">
        <v>110</v>
      </c>
      <c r="C59" s="66" t="s">
        <v>111</v>
      </c>
      <c r="D59" s="67">
        <v>0.3043</v>
      </c>
      <c r="E59" s="68"/>
      <c r="F59" s="69">
        <v>1.1</v>
      </c>
      <c r="G59" s="70"/>
      <c r="H59" s="71">
        <v>0.7</v>
      </c>
    </row>
    <row r="60" ht="27.95" customHeight="1" spans="1:8">
      <c r="A60" s="64"/>
      <c r="B60" s="73" t="s">
        <v>112</v>
      </c>
      <c r="C60" s="66" t="s">
        <v>113</v>
      </c>
      <c r="D60" s="67">
        <v>1.0435</v>
      </c>
      <c r="E60" s="68"/>
      <c r="F60" s="69">
        <v>4.2</v>
      </c>
      <c r="G60" s="70"/>
      <c r="H60" s="71">
        <v>2.4</v>
      </c>
    </row>
    <row r="61" ht="27.95" customHeight="1" spans="1:8">
      <c r="A61" s="64"/>
      <c r="B61" s="73" t="s">
        <v>114</v>
      </c>
      <c r="C61" s="66" t="s">
        <v>115</v>
      </c>
      <c r="D61" s="67">
        <v>0.9565</v>
      </c>
      <c r="E61" s="68"/>
      <c r="F61" s="69">
        <v>4</v>
      </c>
      <c r="G61" s="70"/>
      <c r="H61" s="71">
        <v>2.2</v>
      </c>
    </row>
    <row r="62" ht="27.95" customHeight="1" spans="1:8">
      <c r="A62" s="64"/>
      <c r="B62" s="73" t="s">
        <v>116</v>
      </c>
      <c r="C62" s="66" t="s">
        <v>117</v>
      </c>
      <c r="D62" s="67">
        <v>0.2174</v>
      </c>
      <c r="E62" s="68"/>
      <c r="F62" s="69">
        <v>1</v>
      </c>
      <c r="G62" s="70"/>
      <c r="H62" s="71">
        <v>0.5</v>
      </c>
    </row>
    <row r="63" ht="27.95" customHeight="1" spans="1:8">
      <c r="A63" s="64"/>
      <c r="B63" s="73" t="s">
        <v>118</v>
      </c>
      <c r="C63" s="66" t="s">
        <v>119</v>
      </c>
      <c r="D63" s="67">
        <v>0.2174</v>
      </c>
      <c r="E63" s="68"/>
      <c r="F63" s="69">
        <v>1</v>
      </c>
      <c r="G63" s="70"/>
      <c r="H63" s="71">
        <v>0.5</v>
      </c>
    </row>
    <row r="64" ht="27.95" customHeight="1" spans="1:8">
      <c r="A64" s="64"/>
      <c r="B64" s="73" t="s">
        <v>120</v>
      </c>
      <c r="C64" s="66" t="s">
        <v>121</v>
      </c>
      <c r="D64" s="67">
        <v>0.2174</v>
      </c>
      <c r="E64" s="68"/>
      <c r="F64" s="69">
        <v>1</v>
      </c>
      <c r="G64" s="70"/>
      <c r="H64" s="71">
        <v>0.5</v>
      </c>
    </row>
    <row r="65" ht="27.95" customHeight="1" spans="1:8">
      <c r="A65" s="64"/>
      <c r="B65" s="73" t="s">
        <v>122</v>
      </c>
      <c r="C65" s="66" t="s">
        <v>123</v>
      </c>
      <c r="D65" s="67">
        <v>0.2174</v>
      </c>
      <c r="E65" s="68"/>
      <c r="F65" s="69">
        <v>1</v>
      </c>
      <c r="G65" s="70"/>
      <c r="H65" s="71">
        <v>0.5</v>
      </c>
    </row>
    <row r="66" ht="27.95" customHeight="1" spans="1:8">
      <c r="A66" s="64"/>
      <c r="B66" s="73" t="s">
        <v>124</v>
      </c>
      <c r="C66" s="66" t="s">
        <v>125</v>
      </c>
      <c r="D66" s="67">
        <v>0.2174</v>
      </c>
      <c r="E66" s="68"/>
      <c r="F66" s="69">
        <v>1</v>
      </c>
      <c r="G66" s="70"/>
      <c r="H66" s="71">
        <v>0.5</v>
      </c>
    </row>
    <row r="67" ht="27.95" customHeight="1" spans="1:8">
      <c r="A67" s="64"/>
      <c r="B67" s="73" t="s">
        <v>126</v>
      </c>
      <c r="C67" s="66" t="s">
        <v>127</v>
      </c>
      <c r="D67" s="67">
        <v>0.2174</v>
      </c>
      <c r="E67" s="68"/>
      <c r="F67" s="69">
        <v>1</v>
      </c>
      <c r="G67" s="70"/>
      <c r="H67" s="71">
        <v>0.5</v>
      </c>
    </row>
    <row r="68" ht="27.95" customHeight="1" spans="1:8">
      <c r="A68" s="64"/>
      <c r="B68" s="73" t="s">
        <v>128</v>
      </c>
      <c r="C68" s="66" t="s">
        <v>129</v>
      </c>
      <c r="D68" s="67">
        <v>0.2174</v>
      </c>
      <c r="E68" s="68"/>
      <c r="F68" s="69">
        <v>1</v>
      </c>
      <c r="G68" s="70"/>
      <c r="H68" s="71">
        <v>0.5</v>
      </c>
    </row>
    <row r="69" ht="27.95" customHeight="1" spans="1:8">
      <c r="A69" s="64"/>
      <c r="B69" s="73" t="s">
        <v>130</v>
      </c>
      <c r="C69" s="66" t="s">
        <v>131</v>
      </c>
      <c r="D69" s="67">
        <v>0.2174</v>
      </c>
      <c r="E69" s="68"/>
      <c r="F69" s="69">
        <v>1</v>
      </c>
      <c r="G69" s="70"/>
      <c r="H69" s="71">
        <v>0.5</v>
      </c>
    </row>
    <row r="70" ht="27.95" customHeight="1" spans="1:8">
      <c r="A70" s="64"/>
      <c r="B70" s="73" t="s">
        <v>132</v>
      </c>
      <c r="C70" s="66" t="s">
        <v>133</v>
      </c>
      <c r="D70" s="67">
        <v>0.2174</v>
      </c>
      <c r="E70" s="68"/>
      <c r="F70" s="69">
        <v>1</v>
      </c>
      <c r="G70" s="70"/>
      <c r="H70" s="71">
        <v>0.5</v>
      </c>
    </row>
    <row r="71" ht="27.95" customHeight="1" spans="1:8">
      <c r="A71" s="64"/>
      <c r="B71" s="73" t="s">
        <v>134</v>
      </c>
      <c r="C71" s="66" t="s">
        <v>135</v>
      </c>
      <c r="D71" s="67">
        <v>0.2174</v>
      </c>
      <c r="E71" s="68"/>
      <c r="F71" s="69">
        <v>1</v>
      </c>
      <c r="G71" s="70"/>
      <c r="H71" s="71">
        <v>0.5</v>
      </c>
    </row>
    <row r="72" ht="27.95" customHeight="1" spans="1:8">
      <c r="A72" s="64"/>
      <c r="B72" s="73" t="s">
        <v>136</v>
      </c>
      <c r="C72" s="66" t="s">
        <v>137</v>
      </c>
      <c r="D72" s="67">
        <v>0.2174</v>
      </c>
      <c r="E72" s="68"/>
      <c r="F72" s="69">
        <v>1</v>
      </c>
      <c r="G72" s="70"/>
      <c r="H72" s="71">
        <v>0.5</v>
      </c>
    </row>
    <row r="73" ht="27.95" customHeight="1" spans="1:8">
      <c r="A73" s="64"/>
      <c r="B73" s="73" t="s">
        <v>138</v>
      </c>
      <c r="C73" s="66" t="s">
        <v>139</v>
      </c>
      <c r="D73" s="67">
        <v>0.2174</v>
      </c>
      <c r="E73" s="68"/>
      <c r="F73" s="69">
        <v>1</v>
      </c>
      <c r="G73" s="70"/>
      <c r="H73" s="71">
        <v>0.5</v>
      </c>
    </row>
    <row r="74" ht="27.95" customHeight="1" spans="1:8">
      <c r="A74" s="64"/>
      <c r="B74" s="73" t="s">
        <v>140</v>
      </c>
      <c r="C74" s="66" t="s">
        <v>141</v>
      </c>
      <c r="D74" s="67">
        <v>0.2174</v>
      </c>
      <c r="E74" s="68"/>
      <c r="F74" s="69">
        <v>1</v>
      </c>
      <c r="G74" s="70"/>
      <c r="H74" s="71">
        <v>0.5</v>
      </c>
    </row>
    <row r="75" ht="27.95" customHeight="1" spans="1:8">
      <c r="A75" s="64"/>
      <c r="B75" s="73" t="s">
        <v>142</v>
      </c>
      <c r="C75" s="66" t="s">
        <v>143</v>
      </c>
      <c r="D75" s="67">
        <v>0.2174</v>
      </c>
      <c r="E75" s="68"/>
      <c r="F75" s="69">
        <v>1</v>
      </c>
      <c r="G75" s="70"/>
      <c r="H75" s="71">
        <v>0.5</v>
      </c>
    </row>
    <row r="76" ht="27.95" customHeight="1" spans="1:8">
      <c r="A76" s="64"/>
      <c r="B76" s="73" t="s">
        <v>144</v>
      </c>
      <c r="C76" s="66" t="s">
        <v>145</v>
      </c>
      <c r="D76" s="67">
        <v>0.2174</v>
      </c>
      <c r="E76" s="68"/>
      <c r="F76" s="69">
        <v>1</v>
      </c>
      <c r="G76" s="70"/>
      <c r="H76" s="71">
        <v>0.5</v>
      </c>
    </row>
    <row r="77" ht="27.95" customHeight="1" spans="1:8">
      <c r="A77" s="64"/>
      <c r="B77" s="73" t="s">
        <v>146</v>
      </c>
      <c r="C77" s="66" t="s">
        <v>147</v>
      </c>
      <c r="D77" s="67">
        <v>0.2174</v>
      </c>
      <c r="E77" s="68"/>
      <c r="F77" s="69">
        <v>1</v>
      </c>
      <c r="G77" s="70"/>
      <c r="H77" s="71">
        <v>0.5</v>
      </c>
    </row>
    <row r="78" ht="27.95" customHeight="1" spans="1:8">
      <c r="A78" s="64"/>
      <c r="B78" s="73" t="s">
        <v>148</v>
      </c>
      <c r="C78" s="66" t="s">
        <v>149</v>
      </c>
      <c r="D78" s="67">
        <v>0.2174</v>
      </c>
      <c r="E78" s="68"/>
      <c r="F78" s="69">
        <v>1</v>
      </c>
      <c r="G78" s="70"/>
      <c r="H78" s="71">
        <v>0.5</v>
      </c>
    </row>
    <row r="79" ht="27.95" customHeight="1" spans="1:8">
      <c r="A79" s="64"/>
      <c r="B79" s="73" t="s">
        <v>150</v>
      </c>
      <c r="C79" s="66" t="s">
        <v>151</v>
      </c>
      <c r="D79" s="67">
        <v>0.2174</v>
      </c>
      <c r="E79" s="68"/>
      <c r="F79" s="69">
        <v>1</v>
      </c>
      <c r="G79" s="70"/>
      <c r="H79" s="71">
        <v>0.5</v>
      </c>
    </row>
    <row r="80" ht="27.95" customHeight="1" spans="1:8">
      <c r="A80" s="64"/>
      <c r="B80" s="73" t="s">
        <v>152</v>
      </c>
      <c r="C80" s="66" t="s">
        <v>153</v>
      </c>
      <c r="D80" s="67">
        <v>0.2174</v>
      </c>
      <c r="E80" s="68"/>
      <c r="F80" s="69">
        <v>1</v>
      </c>
      <c r="G80" s="70"/>
      <c r="H80" s="71">
        <v>0.5</v>
      </c>
    </row>
    <row r="81" ht="27.95" customHeight="1" spans="1:8">
      <c r="A81" s="64"/>
      <c r="B81" s="73" t="s">
        <v>154</v>
      </c>
      <c r="C81" s="66" t="s">
        <v>155</v>
      </c>
      <c r="D81" s="67">
        <v>0.2174</v>
      </c>
      <c r="E81" s="68"/>
      <c r="F81" s="69">
        <v>1</v>
      </c>
      <c r="G81" s="70"/>
      <c r="H81" s="71">
        <v>0.5</v>
      </c>
    </row>
    <row r="82" ht="27.95" customHeight="1" spans="1:8">
      <c r="A82" s="64"/>
      <c r="B82" s="73" t="s">
        <v>156</v>
      </c>
      <c r="C82" s="66" t="s">
        <v>157</v>
      </c>
      <c r="D82" s="67">
        <v>0.2174</v>
      </c>
      <c r="E82" s="68"/>
      <c r="F82" s="69">
        <v>1</v>
      </c>
      <c r="G82" s="70"/>
      <c r="H82" s="71">
        <v>0.5</v>
      </c>
    </row>
    <row r="83" ht="27.95" customHeight="1" spans="1:8">
      <c r="A83" s="64"/>
      <c r="B83" s="73" t="s">
        <v>158</v>
      </c>
      <c r="C83" s="66" t="s">
        <v>159</v>
      </c>
      <c r="D83" s="67">
        <v>0.2174</v>
      </c>
      <c r="E83" s="68"/>
      <c r="F83" s="69">
        <v>1</v>
      </c>
      <c r="G83" s="70"/>
      <c r="H83" s="71">
        <v>0.5</v>
      </c>
    </row>
    <row r="84" ht="27.95" customHeight="1" spans="1:8">
      <c r="A84" s="64"/>
      <c r="B84" s="73" t="s">
        <v>160</v>
      </c>
      <c r="C84" s="66" t="s">
        <v>161</v>
      </c>
      <c r="D84" s="67">
        <v>0.2174</v>
      </c>
      <c r="E84" s="68"/>
      <c r="F84" s="69">
        <v>1</v>
      </c>
      <c r="G84" s="70"/>
      <c r="H84" s="71">
        <v>0.5</v>
      </c>
    </row>
    <row r="85" ht="27.95" customHeight="1" spans="1:8">
      <c r="A85" s="64"/>
      <c r="B85" s="103" t="s">
        <v>162</v>
      </c>
      <c r="C85" s="104" t="s">
        <v>163</v>
      </c>
      <c r="D85" s="67">
        <v>0.2174</v>
      </c>
      <c r="E85" s="68"/>
      <c r="F85" s="105">
        <v>1</v>
      </c>
      <c r="G85" s="106"/>
      <c r="H85" s="107">
        <v>0.5</v>
      </c>
    </row>
    <row r="86" ht="27.95" customHeight="1" spans="1:8">
      <c r="A86" s="64"/>
      <c r="B86" s="103" t="s">
        <v>164</v>
      </c>
      <c r="C86" s="104" t="s">
        <v>165</v>
      </c>
      <c r="D86" s="67">
        <v>0.2174</v>
      </c>
      <c r="E86" s="68"/>
      <c r="F86" s="105">
        <v>1</v>
      </c>
      <c r="G86" s="106"/>
      <c r="H86" s="107">
        <v>0.5</v>
      </c>
    </row>
    <row r="87" ht="27.95" customHeight="1" spans="1:8">
      <c r="A87" s="64"/>
      <c r="B87" s="103" t="s">
        <v>166</v>
      </c>
      <c r="C87" s="104" t="s">
        <v>167</v>
      </c>
      <c r="D87" s="67">
        <v>0.2174</v>
      </c>
      <c r="E87" s="68"/>
      <c r="F87" s="105">
        <v>1</v>
      </c>
      <c r="G87" s="106"/>
      <c r="H87" s="107">
        <v>0.5</v>
      </c>
    </row>
    <row r="88" ht="27.95" customHeight="1" spans="1:8">
      <c r="A88" s="64"/>
      <c r="B88" s="103" t="s">
        <v>168</v>
      </c>
      <c r="C88" s="104" t="s">
        <v>169</v>
      </c>
      <c r="D88" s="67">
        <v>0.2174</v>
      </c>
      <c r="E88" s="68"/>
      <c r="F88" s="105">
        <v>1</v>
      </c>
      <c r="G88" s="106"/>
      <c r="H88" s="107">
        <v>0.5</v>
      </c>
    </row>
    <row r="89" ht="27.95" customHeight="1" spans="1:8">
      <c r="A89" s="64"/>
      <c r="B89" s="103" t="s">
        <v>170</v>
      </c>
      <c r="C89" s="104" t="s">
        <v>171</v>
      </c>
      <c r="D89" s="67">
        <v>0.2174</v>
      </c>
      <c r="E89" s="68"/>
      <c r="F89" s="105">
        <v>1</v>
      </c>
      <c r="G89" s="106"/>
      <c r="H89" s="107">
        <v>0.5</v>
      </c>
    </row>
    <row r="90" ht="27.95" customHeight="1" spans="1:8">
      <c r="A90" s="64"/>
      <c r="B90" s="103" t="s">
        <v>172</v>
      </c>
      <c r="C90" s="104" t="s">
        <v>173</v>
      </c>
      <c r="D90" s="67">
        <v>0.2174</v>
      </c>
      <c r="E90" s="68"/>
      <c r="F90" s="105">
        <v>1</v>
      </c>
      <c r="G90" s="106"/>
      <c r="H90" s="107">
        <v>0.5</v>
      </c>
    </row>
    <row r="91" ht="27.95" customHeight="1" spans="1:8">
      <c r="A91" s="64"/>
      <c r="B91" s="73" t="s">
        <v>174</v>
      </c>
      <c r="C91" s="66" t="s">
        <v>175</v>
      </c>
      <c r="D91" s="67">
        <v>0.2174</v>
      </c>
      <c r="E91" s="68"/>
      <c r="F91" s="69">
        <v>1</v>
      </c>
      <c r="G91" s="70"/>
      <c r="H91" s="71">
        <v>0.5</v>
      </c>
    </row>
    <row r="92" ht="27.95" customHeight="1" spans="1:8">
      <c r="A92" s="64"/>
      <c r="B92" s="103" t="s">
        <v>176</v>
      </c>
      <c r="C92" s="104" t="s">
        <v>177</v>
      </c>
      <c r="D92" s="67">
        <v>0.2174</v>
      </c>
      <c r="E92" s="68"/>
      <c r="F92" s="105">
        <v>1</v>
      </c>
      <c r="G92" s="106"/>
      <c r="H92" s="107">
        <v>0.5</v>
      </c>
    </row>
    <row r="93" ht="27.95" customHeight="1" spans="1:8">
      <c r="A93" s="64"/>
      <c r="B93" s="73" t="s">
        <v>178</v>
      </c>
      <c r="C93" s="66" t="s">
        <v>179</v>
      </c>
      <c r="D93" s="67">
        <v>0.2174</v>
      </c>
      <c r="E93" s="68"/>
      <c r="F93" s="69">
        <v>1</v>
      </c>
      <c r="G93" s="70"/>
      <c r="H93" s="71">
        <v>0.5</v>
      </c>
    </row>
    <row r="94" ht="27.95" customHeight="1" spans="1:8">
      <c r="A94" s="64"/>
      <c r="B94" s="103" t="s">
        <v>180</v>
      </c>
      <c r="C94" s="104" t="s">
        <v>181</v>
      </c>
      <c r="D94" s="67">
        <v>0.2174</v>
      </c>
      <c r="E94" s="68"/>
      <c r="F94" s="105">
        <v>1</v>
      </c>
      <c r="G94" s="106"/>
      <c r="H94" s="107">
        <v>0.5</v>
      </c>
    </row>
    <row r="95" ht="27.95" customHeight="1" spans="1:8">
      <c r="A95" s="64"/>
      <c r="B95" s="73" t="s">
        <v>182</v>
      </c>
      <c r="C95" s="66" t="s">
        <v>183</v>
      </c>
      <c r="D95" s="67">
        <v>0.2174</v>
      </c>
      <c r="E95" s="68"/>
      <c r="F95" s="69">
        <v>1</v>
      </c>
      <c r="G95" s="70"/>
      <c r="H95" s="71">
        <v>0.5</v>
      </c>
    </row>
    <row r="96" ht="27.95" customHeight="1" spans="1:8">
      <c r="A96" s="64"/>
      <c r="B96" s="103" t="s">
        <v>184</v>
      </c>
      <c r="C96" s="104" t="s">
        <v>185</v>
      </c>
      <c r="D96" s="67">
        <v>0.6087</v>
      </c>
      <c r="E96" s="68"/>
      <c r="F96" s="105">
        <v>2</v>
      </c>
      <c r="G96" s="106"/>
      <c r="H96" s="107">
        <v>1.4</v>
      </c>
    </row>
    <row r="97" ht="27.95" customHeight="1" spans="1:8">
      <c r="A97" s="64"/>
      <c r="B97" s="73" t="s">
        <v>186</v>
      </c>
      <c r="C97" s="66" t="s">
        <v>187</v>
      </c>
      <c r="D97" s="67">
        <v>0.4348</v>
      </c>
      <c r="E97" s="68"/>
      <c r="F97" s="69">
        <v>2</v>
      </c>
      <c r="G97" s="70"/>
      <c r="H97" s="71">
        <v>1</v>
      </c>
    </row>
    <row r="98" ht="27.95" customHeight="1" spans="1:8">
      <c r="A98" s="64"/>
      <c r="B98" s="103" t="s">
        <v>188</v>
      </c>
      <c r="C98" s="104" t="s">
        <v>189</v>
      </c>
      <c r="D98" s="67">
        <v>0.3913</v>
      </c>
      <c r="E98" s="68"/>
      <c r="F98" s="105">
        <v>1.5</v>
      </c>
      <c r="G98" s="106"/>
      <c r="H98" s="107">
        <v>0.9</v>
      </c>
    </row>
    <row r="99" ht="27.95" customHeight="1" spans="1:8">
      <c r="A99" s="64"/>
      <c r="B99" s="73" t="s">
        <v>190</v>
      </c>
      <c r="C99" s="66" t="s">
        <v>191</v>
      </c>
      <c r="D99" s="67">
        <v>0.3913</v>
      </c>
      <c r="E99" s="68"/>
      <c r="F99" s="69">
        <v>1.4</v>
      </c>
      <c r="G99" s="70"/>
      <c r="H99" s="71">
        <v>0.9</v>
      </c>
    </row>
    <row r="100" ht="27.95" customHeight="1" spans="1:8">
      <c r="A100" s="64"/>
      <c r="B100" s="73" t="s">
        <v>192</v>
      </c>
      <c r="C100" s="66" t="s">
        <v>193</v>
      </c>
      <c r="D100" s="67">
        <v>0.4348</v>
      </c>
      <c r="E100" s="68"/>
      <c r="F100" s="69">
        <v>2.5</v>
      </c>
      <c r="G100" s="70"/>
      <c r="H100" s="71">
        <v>1</v>
      </c>
    </row>
    <row r="101" ht="27.95" customHeight="1" spans="1:8">
      <c r="A101" s="64"/>
      <c r="B101" s="73" t="s">
        <v>194</v>
      </c>
      <c r="C101" s="66" t="s">
        <v>195</v>
      </c>
      <c r="D101" s="67">
        <v>0.3913</v>
      </c>
      <c r="E101" s="68"/>
      <c r="F101" s="69">
        <v>2.5</v>
      </c>
      <c r="G101" s="70"/>
      <c r="H101" s="71">
        <v>0.9</v>
      </c>
    </row>
    <row r="102" ht="27.95" customHeight="1" spans="1:8">
      <c r="A102" s="64"/>
      <c r="B102" s="73" t="s">
        <v>196</v>
      </c>
      <c r="C102" s="66" t="s">
        <v>197</v>
      </c>
      <c r="D102" s="67">
        <v>0.3913</v>
      </c>
      <c r="E102" s="68"/>
      <c r="F102" s="69">
        <v>1.4</v>
      </c>
      <c r="G102" s="70"/>
      <c r="H102" s="71">
        <v>0.9</v>
      </c>
    </row>
    <row r="103" ht="27.95" customHeight="1" spans="1:8">
      <c r="A103" s="64"/>
      <c r="B103" s="73" t="s">
        <v>198</v>
      </c>
      <c r="C103" s="66" t="s">
        <v>199</v>
      </c>
      <c r="D103" s="67">
        <v>0.3913</v>
      </c>
      <c r="E103" s="68"/>
      <c r="F103" s="69">
        <v>2.5</v>
      </c>
      <c r="G103" s="70"/>
      <c r="H103" s="71">
        <v>1</v>
      </c>
    </row>
    <row r="104" ht="27.95" customHeight="1" spans="1:8">
      <c r="A104" s="64"/>
      <c r="B104" s="73" t="s">
        <v>200</v>
      </c>
      <c r="C104" s="66" t="s">
        <v>201</v>
      </c>
      <c r="D104" s="67">
        <v>0.3913</v>
      </c>
      <c r="E104" s="68"/>
      <c r="F104" s="69">
        <v>1.4</v>
      </c>
      <c r="G104" s="70"/>
      <c r="H104" s="71">
        <v>0.9</v>
      </c>
    </row>
    <row r="105" ht="27.95" customHeight="1" spans="1:8">
      <c r="A105" s="64"/>
      <c r="B105" s="73" t="s">
        <v>202</v>
      </c>
      <c r="C105" s="66" t="s">
        <v>203</v>
      </c>
      <c r="D105" s="67">
        <v>0.4348</v>
      </c>
      <c r="E105" s="68"/>
      <c r="F105" s="69">
        <v>1.4</v>
      </c>
      <c r="G105" s="70"/>
      <c r="H105" s="71">
        <v>1</v>
      </c>
    </row>
    <row r="106" ht="27.95" customHeight="1" spans="1:8">
      <c r="A106" s="64"/>
      <c r="B106" s="103" t="s">
        <v>204</v>
      </c>
      <c r="C106" s="104" t="s">
        <v>205</v>
      </c>
      <c r="D106" s="67">
        <v>0.4348</v>
      </c>
      <c r="E106" s="68"/>
      <c r="F106" s="105">
        <v>2.5</v>
      </c>
      <c r="G106" s="106"/>
      <c r="H106" s="107">
        <v>1</v>
      </c>
    </row>
    <row r="107" ht="27.95" customHeight="1" spans="1:8">
      <c r="A107" s="64"/>
      <c r="B107" s="73" t="s">
        <v>206</v>
      </c>
      <c r="C107" s="66" t="s">
        <v>207</v>
      </c>
      <c r="D107" s="67">
        <v>2.6087</v>
      </c>
      <c r="E107" s="68"/>
      <c r="F107" s="69">
        <v>9</v>
      </c>
      <c r="G107" s="70"/>
      <c r="H107" s="71">
        <v>6</v>
      </c>
    </row>
    <row r="108" ht="27.95" customHeight="1" spans="1:8">
      <c r="A108" s="64"/>
      <c r="B108" s="73" t="s">
        <v>208</v>
      </c>
      <c r="C108" s="66" t="s">
        <v>209</v>
      </c>
      <c r="D108" s="67">
        <v>3.3043</v>
      </c>
      <c r="E108" s="68"/>
      <c r="F108" s="69">
        <v>10</v>
      </c>
      <c r="G108" s="70"/>
      <c r="H108" s="71">
        <v>7.6</v>
      </c>
    </row>
    <row r="109" ht="27.95" customHeight="1" spans="1:8">
      <c r="A109" s="64"/>
      <c r="B109" s="103" t="s">
        <v>210</v>
      </c>
      <c r="C109" s="104" t="s">
        <v>211</v>
      </c>
      <c r="D109" s="67">
        <v>1.2609</v>
      </c>
      <c r="E109" s="68"/>
      <c r="F109" s="105">
        <v>4.7</v>
      </c>
      <c r="G109" s="106"/>
      <c r="H109" s="107">
        <v>3</v>
      </c>
    </row>
    <row r="110" ht="27.95" customHeight="1" spans="1:8">
      <c r="A110" s="64"/>
      <c r="B110" s="73" t="s">
        <v>212</v>
      </c>
      <c r="C110" s="66" t="s">
        <v>213</v>
      </c>
      <c r="D110" s="67">
        <v>2.6087</v>
      </c>
      <c r="E110" s="68"/>
      <c r="F110" s="69">
        <v>9</v>
      </c>
      <c r="G110" s="70"/>
      <c r="H110" s="71">
        <v>6</v>
      </c>
    </row>
    <row r="111" ht="27.95" customHeight="1" spans="1:8">
      <c r="A111" s="64"/>
      <c r="B111" s="73" t="s">
        <v>214</v>
      </c>
      <c r="C111" s="66" t="s">
        <v>215</v>
      </c>
      <c r="D111" s="67">
        <v>0.5652</v>
      </c>
      <c r="E111" s="68"/>
      <c r="F111" s="69">
        <v>2.1</v>
      </c>
      <c r="G111" s="70"/>
      <c r="H111" s="71">
        <v>1.3</v>
      </c>
    </row>
    <row r="112" ht="27.95" customHeight="1" spans="1:8">
      <c r="A112" s="64"/>
      <c r="B112" s="108" t="s">
        <v>216</v>
      </c>
      <c r="C112" s="109" t="s">
        <v>217</v>
      </c>
      <c r="D112" s="67">
        <v>2.6087</v>
      </c>
      <c r="E112" s="68"/>
      <c r="F112" s="110">
        <v>9</v>
      </c>
      <c r="G112" s="111"/>
      <c r="H112" s="112">
        <v>6</v>
      </c>
    </row>
    <row r="113" ht="27.95" customHeight="1" spans="1:8">
      <c r="A113" s="64"/>
      <c r="B113" s="73" t="s">
        <v>218</v>
      </c>
      <c r="C113" s="66" t="s">
        <v>219</v>
      </c>
      <c r="D113" s="67">
        <v>0.2174</v>
      </c>
      <c r="E113" s="68"/>
      <c r="F113" s="69">
        <v>1</v>
      </c>
      <c r="G113" s="70"/>
      <c r="H113" s="71">
        <v>0.5</v>
      </c>
    </row>
    <row r="114" ht="27.95" customHeight="1" spans="1:8">
      <c r="A114" s="64"/>
      <c r="B114" s="73" t="s">
        <v>220</v>
      </c>
      <c r="C114" s="66" t="s">
        <v>221</v>
      </c>
      <c r="D114" s="67">
        <v>0.2174</v>
      </c>
      <c r="E114" s="68"/>
      <c r="F114" s="69">
        <v>1</v>
      </c>
      <c r="G114" s="70"/>
      <c r="H114" s="71">
        <v>0.5</v>
      </c>
    </row>
    <row r="115" ht="27.95" customHeight="1" spans="1:8">
      <c r="A115" s="64"/>
      <c r="B115" s="73" t="s">
        <v>222</v>
      </c>
      <c r="C115" s="66" t="s">
        <v>223</v>
      </c>
      <c r="D115" s="67">
        <v>0.2174</v>
      </c>
      <c r="E115" s="68"/>
      <c r="F115" s="69">
        <v>1</v>
      </c>
      <c r="G115" s="70"/>
      <c r="H115" s="71">
        <v>0.5</v>
      </c>
    </row>
    <row r="116" ht="27.95" customHeight="1" spans="1:8">
      <c r="A116" s="64"/>
      <c r="B116" s="73" t="s">
        <v>224</v>
      </c>
      <c r="C116" s="66" t="s">
        <v>225</v>
      </c>
      <c r="D116" s="67">
        <v>0.2174</v>
      </c>
      <c r="E116" s="68"/>
      <c r="F116" s="69">
        <v>1</v>
      </c>
      <c r="G116" s="70"/>
      <c r="H116" s="71">
        <v>0.5</v>
      </c>
    </row>
    <row r="117" ht="27.95" customHeight="1" spans="1:8">
      <c r="A117" s="64"/>
      <c r="B117" s="73" t="s">
        <v>226</v>
      </c>
      <c r="C117" s="66" t="s">
        <v>227</v>
      </c>
      <c r="D117" s="67">
        <v>0.2174</v>
      </c>
      <c r="E117" s="68"/>
      <c r="F117" s="69">
        <v>1</v>
      </c>
      <c r="G117" s="70"/>
      <c r="H117" s="71">
        <v>0.5</v>
      </c>
    </row>
    <row r="118" ht="27.95" customHeight="1" spans="1:8">
      <c r="A118" s="64"/>
      <c r="B118" s="73" t="s">
        <v>228</v>
      </c>
      <c r="C118" s="66" t="s">
        <v>229</v>
      </c>
      <c r="D118" s="67">
        <v>0.2174</v>
      </c>
      <c r="E118" s="68"/>
      <c r="F118" s="69">
        <v>1</v>
      </c>
      <c r="G118" s="70"/>
      <c r="H118" s="71">
        <v>0.5</v>
      </c>
    </row>
    <row r="119" ht="27.95" customHeight="1" spans="1:8">
      <c r="A119" s="64"/>
      <c r="B119" s="73" t="s">
        <v>230</v>
      </c>
      <c r="C119" s="66" t="s">
        <v>231</v>
      </c>
      <c r="D119" s="67">
        <v>0.2174</v>
      </c>
      <c r="E119" s="68"/>
      <c r="F119" s="69">
        <v>1</v>
      </c>
      <c r="G119" s="70"/>
      <c r="H119" s="71">
        <v>0.5</v>
      </c>
    </row>
    <row r="120" ht="27.95" customHeight="1" spans="1:8">
      <c r="A120" s="64"/>
      <c r="B120" s="73" t="s">
        <v>232</v>
      </c>
      <c r="C120" s="66" t="s">
        <v>233</v>
      </c>
      <c r="D120" s="67">
        <v>0.2174</v>
      </c>
      <c r="E120" s="68"/>
      <c r="F120" s="69">
        <v>1</v>
      </c>
      <c r="G120" s="70"/>
      <c r="H120" s="71">
        <v>0.5</v>
      </c>
    </row>
    <row r="121" ht="27.95" customHeight="1" spans="1:8">
      <c r="A121" s="64"/>
      <c r="B121" s="73" t="s">
        <v>234</v>
      </c>
      <c r="C121" s="66" t="s">
        <v>235</v>
      </c>
      <c r="D121" s="67">
        <v>0.2174</v>
      </c>
      <c r="E121" s="68"/>
      <c r="F121" s="69">
        <v>1</v>
      </c>
      <c r="G121" s="70"/>
      <c r="H121" s="71">
        <v>0.5</v>
      </c>
    </row>
    <row r="122" ht="27.95" customHeight="1" spans="1:8">
      <c r="A122" s="64"/>
      <c r="B122" s="73" t="s">
        <v>236</v>
      </c>
      <c r="C122" s="66" t="s">
        <v>237</v>
      </c>
      <c r="D122" s="67">
        <v>0.2174</v>
      </c>
      <c r="E122" s="68"/>
      <c r="F122" s="69">
        <v>1</v>
      </c>
      <c r="G122" s="70"/>
      <c r="H122" s="71">
        <v>0.5</v>
      </c>
    </row>
    <row r="123" ht="27.95" customHeight="1" spans="1:8">
      <c r="A123" s="64"/>
      <c r="B123" s="73" t="s">
        <v>238</v>
      </c>
      <c r="C123" s="66" t="s">
        <v>239</v>
      </c>
      <c r="D123" s="67">
        <v>0.2174</v>
      </c>
      <c r="E123" s="68"/>
      <c r="F123" s="69">
        <v>1</v>
      </c>
      <c r="G123" s="70"/>
      <c r="H123" s="71">
        <v>0.5</v>
      </c>
    </row>
    <row r="124" ht="27.95" customHeight="1" spans="1:8">
      <c r="A124" s="64"/>
      <c r="B124" s="73" t="s">
        <v>240</v>
      </c>
      <c r="C124" s="66" t="s">
        <v>241</v>
      </c>
      <c r="D124" s="67">
        <v>0.2174</v>
      </c>
      <c r="E124" s="68"/>
      <c r="F124" s="69">
        <v>1</v>
      </c>
      <c r="G124" s="70"/>
      <c r="H124" s="71">
        <v>0.5</v>
      </c>
    </row>
    <row r="125" ht="27.95" customHeight="1" spans="1:8">
      <c r="A125" s="64"/>
      <c r="B125" s="73" t="s">
        <v>242</v>
      </c>
      <c r="C125" s="66" t="s">
        <v>243</v>
      </c>
      <c r="D125" s="67">
        <v>0.2174</v>
      </c>
      <c r="E125" s="68"/>
      <c r="F125" s="69">
        <v>1</v>
      </c>
      <c r="G125" s="70"/>
      <c r="H125" s="71">
        <v>0.5</v>
      </c>
    </row>
    <row r="126" ht="27.95" customHeight="1" spans="1:8">
      <c r="A126" s="64"/>
      <c r="B126" s="73" t="s">
        <v>244</v>
      </c>
      <c r="C126" s="66" t="s">
        <v>245</v>
      </c>
      <c r="D126" s="67">
        <v>0.2174</v>
      </c>
      <c r="E126" s="68"/>
      <c r="F126" s="69">
        <v>1</v>
      </c>
      <c r="G126" s="70"/>
      <c r="H126" s="71">
        <v>0.5</v>
      </c>
    </row>
    <row r="127" ht="27.95" customHeight="1" spans="1:8">
      <c r="A127" s="64"/>
      <c r="B127" s="73" t="s">
        <v>246</v>
      </c>
      <c r="C127" s="66" t="s">
        <v>247</v>
      </c>
      <c r="D127" s="67">
        <v>0.2174</v>
      </c>
      <c r="E127" s="68"/>
      <c r="F127" s="69">
        <v>1</v>
      </c>
      <c r="G127" s="70"/>
      <c r="H127" s="71">
        <v>0.5</v>
      </c>
    </row>
    <row r="128" ht="27.95" customHeight="1" spans="1:8">
      <c r="A128" s="64"/>
      <c r="B128" s="73" t="s">
        <v>248</v>
      </c>
      <c r="C128" s="66" t="s">
        <v>249</v>
      </c>
      <c r="D128" s="67">
        <v>0.2174</v>
      </c>
      <c r="E128" s="68"/>
      <c r="F128" s="69">
        <v>1</v>
      </c>
      <c r="G128" s="70"/>
      <c r="H128" s="71">
        <v>0.5</v>
      </c>
    </row>
    <row r="129" ht="27.95" customHeight="1" spans="1:8">
      <c r="A129" s="64"/>
      <c r="B129" s="73" t="s">
        <v>250</v>
      </c>
      <c r="C129" s="66" t="s">
        <v>251</v>
      </c>
      <c r="D129" s="67">
        <v>0.2174</v>
      </c>
      <c r="E129" s="68"/>
      <c r="F129" s="69">
        <v>1</v>
      </c>
      <c r="G129" s="70"/>
      <c r="H129" s="71">
        <v>0.5</v>
      </c>
    </row>
    <row r="130" ht="27.95" customHeight="1" spans="1:8">
      <c r="A130" s="64"/>
      <c r="B130" s="73" t="s">
        <v>252</v>
      </c>
      <c r="C130" s="66" t="s">
        <v>253</v>
      </c>
      <c r="D130" s="67">
        <v>0.2174</v>
      </c>
      <c r="E130" s="68"/>
      <c r="F130" s="69">
        <v>1</v>
      </c>
      <c r="G130" s="70"/>
      <c r="H130" s="71">
        <v>0.5</v>
      </c>
    </row>
    <row r="131" ht="27.95" customHeight="1" spans="1:8">
      <c r="A131" s="64"/>
      <c r="B131" s="73" t="s">
        <v>254</v>
      </c>
      <c r="C131" s="66" t="s">
        <v>255</v>
      </c>
      <c r="D131" s="67">
        <v>0.2174</v>
      </c>
      <c r="E131" s="68"/>
      <c r="F131" s="69">
        <v>1</v>
      </c>
      <c r="G131" s="70"/>
      <c r="H131" s="71">
        <v>0.5</v>
      </c>
    </row>
    <row r="132" ht="27.95" customHeight="1" spans="1:8">
      <c r="A132" s="64"/>
      <c r="B132" s="73" t="s">
        <v>256</v>
      </c>
      <c r="C132" s="66" t="s">
        <v>257</v>
      </c>
      <c r="D132" s="67">
        <v>0.2174</v>
      </c>
      <c r="E132" s="68"/>
      <c r="F132" s="69">
        <v>1</v>
      </c>
      <c r="G132" s="70"/>
      <c r="H132" s="71">
        <v>0.5</v>
      </c>
    </row>
    <row r="133" ht="27.95" customHeight="1" spans="1:8">
      <c r="A133" s="64"/>
      <c r="B133" s="73" t="s">
        <v>258</v>
      </c>
      <c r="C133" s="66" t="s">
        <v>259</v>
      </c>
      <c r="D133" s="67">
        <v>0.2174</v>
      </c>
      <c r="E133" s="68"/>
      <c r="F133" s="69">
        <v>1</v>
      </c>
      <c r="G133" s="70"/>
      <c r="H133" s="71">
        <v>0.5</v>
      </c>
    </row>
    <row r="134" ht="27.95" customHeight="1" spans="1:8">
      <c r="A134" s="64"/>
      <c r="B134" s="73" t="s">
        <v>260</v>
      </c>
      <c r="C134" s="66" t="s">
        <v>261</v>
      </c>
      <c r="D134" s="67">
        <v>0.2174</v>
      </c>
      <c r="E134" s="68"/>
      <c r="F134" s="69">
        <v>1</v>
      </c>
      <c r="G134" s="70"/>
      <c r="H134" s="71">
        <v>0.5</v>
      </c>
    </row>
    <row r="135" ht="27.95" customHeight="1" spans="1:8">
      <c r="A135" s="64"/>
      <c r="B135" s="73" t="s">
        <v>262</v>
      </c>
      <c r="C135" s="66" t="s">
        <v>263</v>
      </c>
      <c r="D135" s="67">
        <v>0.2174</v>
      </c>
      <c r="E135" s="68"/>
      <c r="F135" s="69">
        <v>1</v>
      </c>
      <c r="G135" s="70"/>
      <c r="H135" s="71">
        <v>0.5</v>
      </c>
    </row>
    <row r="136" ht="27.95" customHeight="1" spans="1:8">
      <c r="A136" s="64"/>
      <c r="B136" s="73" t="s">
        <v>264</v>
      </c>
      <c r="C136" s="66" t="s">
        <v>265</v>
      </c>
      <c r="D136" s="67">
        <v>0.2174</v>
      </c>
      <c r="E136" s="68"/>
      <c r="F136" s="69">
        <v>1</v>
      </c>
      <c r="G136" s="70"/>
      <c r="H136" s="71">
        <v>0.5</v>
      </c>
    </row>
    <row r="137" ht="27.95" customHeight="1" spans="1:8">
      <c r="A137" s="64"/>
      <c r="B137" s="73" t="s">
        <v>266</v>
      </c>
      <c r="C137" s="66" t="s">
        <v>267</v>
      </c>
      <c r="D137" s="67">
        <v>0.2174</v>
      </c>
      <c r="E137" s="68"/>
      <c r="F137" s="69">
        <v>1</v>
      </c>
      <c r="G137" s="70"/>
      <c r="H137" s="71">
        <v>0.5</v>
      </c>
    </row>
    <row r="138" ht="27.95" customHeight="1" spans="1:8">
      <c r="A138" s="64"/>
      <c r="B138" s="73" t="s">
        <v>268</v>
      </c>
      <c r="C138" s="66" t="s">
        <v>269</v>
      </c>
      <c r="D138" s="67">
        <v>0.2174</v>
      </c>
      <c r="E138" s="68"/>
      <c r="F138" s="69">
        <v>1</v>
      </c>
      <c r="G138" s="70"/>
      <c r="H138" s="71">
        <v>0.5</v>
      </c>
    </row>
    <row r="139" ht="27.95" customHeight="1" spans="1:8">
      <c r="A139" s="64"/>
      <c r="B139" s="73" t="s">
        <v>270</v>
      </c>
      <c r="C139" s="66" t="s">
        <v>271</v>
      </c>
      <c r="D139" s="67">
        <v>0.2174</v>
      </c>
      <c r="E139" s="68"/>
      <c r="F139" s="69">
        <v>1</v>
      </c>
      <c r="G139" s="70"/>
      <c r="H139" s="71">
        <v>0.5</v>
      </c>
    </row>
    <row r="140" ht="27.95" customHeight="1" spans="1:8">
      <c r="A140" s="64"/>
      <c r="B140" s="103" t="s">
        <v>272</v>
      </c>
      <c r="C140" s="104" t="s">
        <v>273</v>
      </c>
      <c r="D140" s="67">
        <v>0.2174</v>
      </c>
      <c r="E140" s="68"/>
      <c r="F140" s="105">
        <v>1</v>
      </c>
      <c r="G140" s="106"/>
      <c r="H140" s="107">
        <v>0.5</v>
      </c>
    </row>
    <row r="141" ht="27.95" customHeight="1" spans="1:8">
      <c r="A141" s="64"/>
      <c r="B141" s="73" t="s">
        <v>274</v>
      </c>
      <c r="C141" s="66" t="s">
        <v>275</v>
      </c>
      <c r="D141" s="67">
        <v>0.2174</v>
      </c>
      <c r="E141" s="68"/>
      <c r="F141" s="69">
        <v>1</v>
      </c>
      <c r="G141" s="70"/>
      <c r="H141" s="71">
        <v>0.5</v>
      </c>
    </row>
    <row r="142" ht="27.95" customHeight="1" spans="1:8">
      <c r="A142" s="64"/>
      <c r="B142" s="73" t="s">
        <v>276</v>
      </c>
      <c r="C142" s="66" t="s">
        <v>277</v>
      </c>
      <c r="D142" s="67">
        <v>0.2174</v>
      </c>
      <c r="E142" s="68"/>
      <c r="F142" s="69">
        <v>1</v>
      </c>
      <c r="G142" s="70"/>
      <c r="H142" s="71">
        <v>0.5</v>
      </c>
    </row>
    <row r="143" ht="27.95" customHeight="1" spans="1:8">
      <c r="A143" s="64"/>
      <c r="B143" s="73" t="s">
        <v>278</v>
      </c>
      <c r="C143" s="66" t="s">
        <v>279</v>
      </c>
      <c r="D143" s="67">
        <v>0.2174</v>
      </c>
      <c r="E143" s="68"/>
      <c r="F143" s="69">
        <v>1</v>
      </c>
      <c r="G143" s="70"/>
      <c r="H143" s="71">
        <v>0.5</v>
      </c>
    </row>
    <row r="144" ht="27.95" customHeight="1" spans="1:8">
      <c r="A144" s="64"/>
      <c r="B144" s="73" t="s">
        <v>280</v>
      </c>
      <c r="C144" s="66" t="s">
        <v>281</v>
      </c>
      <c r="D144" s="67">
        <v>0.2174</v>
      </c>
      <c r="E144" s="68"/>
      <c r="F144" s="69">
        <v>1</v>
      </c>
      <c r="G144" s="70"/>
      <c r="H144" s="71">
        <v>0.5</v>
      </c>
    </row>
    <row r="145" ht="27.95" customHeight="1" spans="1:8">
      <c r="A145" s="64"/>
      <c r="B145" s="73" t="s">
        <v>282</v>
      </c>
      <c r="C145" s="66" t="s">
        <v>283</v>
      </c>
      <c r="D145" s="67">
        <v>0.2174</v>
      </c>
      <c r="E145" s="68"/>
      <c r="F145" s="69">
        <v>1</v>
      </c>
      <c r="G145" s="70"/>
      <c r="H145" s="71">
        <v>0.5</v>
      </c>
    </row>
    <row r="146" ht="27.95" customHeight="1" spans="1:8">
      <c r="A146" s="64"/>
      <c r="B146" s="73" t="s">
        <v>284</v>
      </c>
      <c r="C146" s="66" t="s">
        <v>285</v>
      </c>
      <c r="D146" s="67">
        <v>0.2174</v>
      </c>
      <c r="E146" s="68"/>
      <c r="F146" s="69">
        <v>1</v>
      </c>
      <c r="G146" s="70"/>
      <c r="H146" s="71">
        <v>0.5</v>
      </c>
    </row>
    <row r="147" ht="27.95" customHeight="1" spans="1:8">
      <c r="A147" s="64"/>
      <c r="B147" s="73" t="s">
        <v>286</v>
      </c>
      <c r="C147" s="66" t="s">
        <v>287</v>
      </c>
      <c r="D147" s="67">
        <v>0.2174</v>
      </c>
      <c r="E147" s="68"/>
      <c r="F147" s="69">
        <v>1</v>
      </c>
      <c r="G147" s="70"/>
      <c r="H147" s="71">
        <v>0.5</v>
      </c>
    </row>
    <row r="148" ht="27.95" customHeight="1" spans="1:8">
      <c r="A148" s="64"/>
      <c r="B148" s="73" t="s">
        <v>288</v>
      </c>
      <c r="C148" s="66" t="s">
        <v>289</v>
      </c>
      <c r="D148" s="67">
        <v>0.2174</v>
      </c>
      <c r="E148" s="68"/>
      <c r="F148" s="69">
        <v>1</v>
      </c>
      <c r="G148" s="70"/>
      <c r="H148" s="71">
        <v>0.5</v>
      </c>
    </row>
    <row r="149" customHeight="1" spans="1:8">
      <c r="A149" s="64"/>
      <c r="B149" s="73" t="s">
        <v>290</v>
      </c>
      <c r="C149" s="66" t="s">
        <v>291</v>
      </c>
      <c r="D149" s="67">
        <v>0.2174</v>
      </c>
      <c r="E149" s="68"/>
      <c r="F149" s="69">
        <v>1</v>
      </c>
      <c r="G149" s="70"/>
      <c r="H149" s="71">
        <v>0.5</v>
      </c>
    </row>
    <row r="150" customHeight="1" spans="1:8">
      <c r="A150" s="64"/>
      <c r="B150" s="73" t="s">
        <v>292</v>
      </c>
      <c r="C150" s="66" t="s">
        <v>293</v>
      </c>
      <c r="D150" s="67">
        <v>0.2174</v>
      </c>
      <c r="E150" s="68"/>
      <c r="F150" s="69">
        <v>1</v>
      </c>
      <c r="G150" s="70"/>
      <c r="H150" s="71">
        <v>0.5</v>
      </c>
    </row>
    <row r="151" ht="25.5" customHeight="1" spans="1:8">
      <c r="A151" s="64"/>
      <c r="B151" s="73" t="s">
        <v>294</v>
      </c>
      <c r="C151" s="66" t="s">
        <v>295</v>
      </c>
      <c r="D151" s="67">
        <v>0.2174</v>
      </c>
      <c r="E151" s="68"/>
      <c r="F151" s="69">
        <v>1</v>
      </c>
      <c r="G151" s="70"/>
      <c r="H151" s="71">
        <v>0.5</v>
      </c>
    </row>
    <row r="152" customHeight="1" spans="1:8">
      <c r="A152" s="64"/>
      <c r="B152" s="73" t="s">
        <v>296</v>
      </c>
      <c r="C152" s="66" t="s">
        <v>297</v>
      </c>
      <c r="D152" s="67">
        <v>0.2174</v>
      </c>
      <c r="E152" s="68"/>
      <c r="F152" s="69">
        <v>1</v>
      </c>
      <c r="G152" s="70"/>
      <c r="H152" s="71">
        <v>0.5</v>
      </c>
    </row>
    <row r="153" customHeight="1" spans="1:8">
      <c r="A153" s="64"/>
      <c r="B153" s="73" t="s">
        <v>298</v>
      </c>
      <c r="C153" s="66" t="s">
        <v>299</v>
      </c>
      <c r="D153" s="67">
        <v>0.2174</v>
      </c>
      <c r="E153" s="68"/>
      <c r="F153" s="69">
        <v>1</v>
      </c>
      <c r="G153" s="70"/>
      <c r="H153" s="71">
        <v>0.5</v>
      </c>
    </row>
    <row r="154" customHeight="1" spans="1:8">
      <c r="A154" s="64"/>
      <c r="B154" s="73" t="s">
        <v>300</v>
      </c>
      <c r="C154" s="66" t="s">
        <v>301</v>
      </c>
      <c r="D154" s="67">
        <v>0.2174</v>
      </c>
      <c r="E154" s="68"/>
      <c r="F154" s="69">
        <v>1</v>
      </c>
      <c r="G154" s="70"/>
      <c r="H154" s="71">
        <v>0.5</v>
      </c>
    </row>
    <row r="155" customHeight="1" spans="1:8">
      <c r="A155" s="64"/>
      <c r="B155" s="103" t="s">
        <v>302</v>
      </c>
      <c r="C155" s="104" t="s">
        <v>303</v>
      </c>
      <c r="D155" s="67">
        <v>0.2174</v>
      </c>
      <c r="E155" s="68"/>
      <c r="F155" s="105">
        <v>1</v>
      </c>
      <c r="G155" s="106"/>
      <c r="H155" s="107">
        <v>0.5</v>
      </c>
    </row>
    <row r="156" customHeight="1" spans="1:8">
      <c r="A156" s="64"/>
      <c r="B156" s="73" t="s">
        <v>304</v>
      </c>
      <c r="C156" s="66" t="s">
        <v>305</v>
      </c>
      <c r="D156" s="67">
        <v>0.2174</v>
      </c>
      <c r="E156" s="68"/>
      <c r="F156" s="69">
        <v>1</v>
      </c>
      <c r="G156" s="70"/>
      <c r="H156" s="71">
        <v>0.5</v>
      </c>
    </row>
    <row r="157" customHeight="1" spans="1:8">
      <c r="A157" s="64"/>
      <c r="B157" s="73" t="s">
        <v>306</v>
      </c>
      <c r="C157" s="66" t="s">
        <v>307</v>
      </c>
      <c r="D157" s="67">
        <v>0.2174</v>
      </c>
      <c r="E157" s="68"/>
      <c r="F157" s="69">
        <v>1</v>
      </c>
      <c r="G157" s="70"/>
      <c r="H157" s="71">
        <v>0.5</v>
      </c>
    </row>
    <row r="158" customHeight="1" spans="1:8">
      <c r="A158" s="64"/>
      <c r="B158" s="73" t="s">
        <v>308</v>
      </c>
      <c r="C158" s="66" t="s">
        <v>309</v>
      </c>
      <c r="D158" s="67">
        <v>0.2174</v>
      </c>
      <c r="E158" s="68"/>
      <c r="F158" s="69">
        <v>1</v>
      </c>
      <c r="G158" s="70"/>
      <c r="H158" s="71">
        <v>0.5</v>
      </c>
    </row>
    <row r="159" customHeight="1" spans="1:8">
      <c r="A159" s="64"/>
      <c r="B159" s="73" t="s">
        <v>310</v>
      </c>
      <c r="C159" s="66" t="s">
        <v>311</v>
      </c>
      <c r="D159" s="67">
        <v>0.2174</v>
      </c>
      <c r="E159" s="68"/>
      <c r="F159" s="69">
        <v>1</v>
      </c>
      <c r="G159" s="70"/>
      <c r="H159" s="71">
        <v>0.5</v>
      </c>
    </row>
    <row r="160" customHeight="1" spans="1:8">
      <c r="A160" s="64"/>
      <c r="B160" s="73" t="s">
        <v>312</v>
      </c>
      <c r="C160" s="66" t="s">
        <v>313</v>
      </c>
      <c r="D160" s="67">
        <v>0.2174</v>
      </c>
      <c r="E160" s="68"/>
      <c r="F160" s="69">
        <v>1</v>
      </c>
      <c r="G160" s="70"/>
      <c r="H160" s="71">
        <v>0.5</v>
      </c>
    </row>
    <row r="161" customHeight="1" spans="1:8">
      <c r="A161" s="64"/>
      <c r="B161" s="73" t="s">
        <v>314</v>
      </c>
      <c r="C161" s="66" t="s">
        <v>315</v>
      </c>
      <c r="D161" s="67">
        <v>0.2174</v>
      </c>
      <c r="E161" s="68"/>
      <c r="F161" s="69">
        <v>1</v>
      </c>
      <c r="G161" s="70"/>
      <c r="H161" s="71">
        <v>0.5</v>
      </c>
    </row>
    <row r="162" customHeight="1" spans="1:8">
      <c r="A162" s="64"/>
      <c r="B162" s="73" t="s">
        <v>316</v>
      </c>
      <c r="C162" s="66" t="s">
        <v>317</v>
      </c>
      <c r="D162" s="67">
        <v>0.2174</v>
      </c>
      <c r="E162" s="68"/>
      <c r="F162" s="69">
        <v>1</v>
      </c>
      <c r="G162" s="70"/>
      <c r="H162" s="71">
        <v>0.5</v>
      </c>
    </row>
    <row r="163" customHeight="1" spans="1:8">
      <c r="A163" s="64"/>
      <c r="B163" s="73" t="s">
        <v>318</v>
      </c>
      <c r="C163" s="66" t="s">
        <v>319</v>
      </c>
      <c r="D163" s="67">
        <v>0.2174</v>
      </c>
      <c r="E163" s="68"/>
      <c r="F163" s="69">
        <v>1</v>
      </c>
      <c r="G163" s="70"/>
      <c r="H163" s="71">
        <v>0.5</v>
      </c>
    </row>
    <row r="164" customHeight="1" spans="1:8">
      <c r="A164" s="64"/>
      <c r="B164" s="73" t="s">
        <v>320</v>
      </c>
      <c r="C164" s="66" t="s">
        <v>321</v>
      </c>
      <c r="D164" s="67">
        <v>0.2174</v>
      </c>
      <c r="E164" s="68"/>
      <c r="F164" s="69">
        <v>1</v>
      </c>
      <c r="G164" s="70"/>
      <c r="H164" s="71">
        <v>0.5</v>
      </c>
    </row>
    <row r="165" customHeight="1" spans="1:8">
      <c r="A165" s="64"/>
      <c r="B165" s="73" t="s">
        <v>322</v>
      </c>
      <c r="C165" s="66" t="s">
        <v>323</v>
      </c>
      <c r="D165" s="67">
        <v>0.2174</v>
      </c>
      <c r="E165" s="68"/>
      <c r="F165" s="69">
        <v>1</v>
      </c>
      <c r="G165" s="70"/>
      <c r="H165" s="71">
        <v>0.5</v>
      </c>
    </row>
    <row r="166" customHeight="1" spans="1:8">
      <c r="A166" s="64"/>
      <c r="B166" s="103" t="s">
        <v>324</v>
      </c>
      <c r="C166" s="104" t="s">
        <v>325</v>
      </c>
      <c r="D166" s="67">
        <v>0.2174</v>
      </c>
      <c r="E166" s="68"/>
      <c r="F166" s="105">
        <v>1</v>
      </c>
      <c r="G166" s="106"/>
      <c r="H166" s="107">
        <v>0.5</v>
      </c>
    </row>
    <row r="167" customHeight="1" spans="1:8">
      <c r="A167" s="64"/>
      <c r="B167" s="103" t="s">
        <v>326</v>
      </c>
      <c r="C167" s="104" t="s">
        <v>327</v>
      </c>
      <c r="D167" s="67">
        <v>0.2174</v>
      </c>
      <c r="E167" s="68"/>
      <c r="F167" s="105">
        <v>1</v>
      </c>
      <c r="G167" s="106"/>
      <c r="H167" s="107">
        <v>0.5</v>
      </c>
    </row>
    <row r="168" customHeight="1" spans="1:8">
      <c r="A168" s="64"/>
      <c r="B168" s="103" t="s">
        <v>328</v>
      </c>
      <c r="C168" s="104" t="s">
        <v>329</v>
      </c>
      <c r="D168" s="67">
        <v>0.2174</v>
      </c>
      <c r="E168" s="68"/>
      <c r="F168" s="105">
        <v>1</v>
      </c>
      <c r="G168" s="106"/>
      <c r="H168" s="107">
        <v>0.5</v>
      </c>
    </row>
    <row r="169" customHeight="1" spans="1:8">
      <c r="A169" s="64"/>
      <c r="B169" s="103" t="s">
        <v>330</v>
      </c>
      <c r="C169" s="104" t="s">
        <v>331</v>
      </c>
      <c r="D169" s="67">
        <v>0.2174</v>
      </c>
      <c r="E169" s="68"/>
      <c r="F169" s="105">
        <v>1</v>
      </c>
      <c r="G169" s="106"/>
      <c r="H169" s="107">
        <v>0.5</v>
      </c>
    </row>
    <row r="170" customHeight="1" spans="1:8">
      <c r="A170" s="64"/>
      <c r="B170" s="73" t="s">
        <v>332</v>
      </c>
      <c r="C170" s="66" t="s">
        <v>333</v>
      </c>
      <c r="D170" s="67">
        <v>0.2174</v>
      </c>
      <c r="E170" s="68"/>
      <c r="F170" s="69">
        <v>1</v>
      </c>
      <c r="G170" s="70"/>
      <c r="H170" s="71">
        <v>0.5</v>
      </c>
    </row>
    <row r="171" customHeight="1" spans="1:8">
      <c r="A171" s="64"/>
      <c r="B171" s="73" t="s">
        <v>334</v>
      </c>
      <c r="C171" s="66" t="s">
        <v>335</v>
      </c>
      <c r="D171" s="67">
        <v>0.2174</v>
      </c>
      <c r="E171" s="68"/>
      <c r="F171" s="69">
        <v>1</v>
      </c>
      <c r="G171" s="70"/>
      <c r="H171" s="71">
        <v>0.5</v>
      </c>
    </row>
    <row r="172" customHeight="1" spans="1:8">
      <c r="A172" s="64"/>
      <c r="B172" s="103" t="s">
        <v>336</v>
      </c>
      <c r="C172" s="104" t="s">
        <v>337</v>
      </c>
      <c r="D172" s="67">
        <v>0.2174</v>
      </c>
      <c r="E172" s="68"/>
      <c r="F172" s="105">
        <v>1</v>
      </c>
      <c r="G172" s="106"/>
      <c r="H172" s="107">
        <v>0.5</v>
      </c>
    </row>
    <row r="173" customHeight="1" spans="1:8">
      <c r="A173" s="64"/>
      <c r="B173" s="73" t="s">
        <v>338</v>
      </c>
      <c r="C173" s="66" t="s">
        <v>339</v>
      </c>
      <c r="D173" s="67">
        <v>0.2174</v>
      </c>
      <c r="E173" s="68"/>
      <c r="F173" s="69">
        <v>1</v>
      </c>
      <c r="G173" s="70"/>
      <c r="H173" s="71">
        <v>0.5</v>
      </c>
    </row>
    <row r="174" customHeight="1" spans="1:8">
      <c r="A174" s="64"/>
      <c r="B174" s="103" t="s">
        <v>340</v>
      </c>
      <c r="C174" s="104" t="s">
        <v>341</v>
      </c>
      <c r="D174" s="67">
        <v>0.2174</v>
      </c>
      <c r="E174" s="68"/>
      <c r="F174" s="105">
        <v>1</v>
      </c>
      <c r="G174" s="106"/>
      <c r="H174" s="107">
        <v>0.5</v>
      </c>
    </row>
    <row r="175" customHeight="1" spans="1:8">
      <c r="A175" s="64"/>
      <c r="B175" s="73" t="s">
        <v>342</v>
      </c>
      <c r="C175" s="66" t="s">
        <v>343</v>
      </c>
      <c r="D175" s="67">
        <v>0.2174</v>
      </c>
      <c r="E175" s="68"/>
      <c r="F175" s="69">
        <v>1</v>
      </c>
      <c r="G175" s="70"/>
      <c r="H175" s="71">
        <v>0.5</v>
      </c>
    </row>
    <row r="176" customHeight="1" spans="1:8">
      <c r="A176" s="74"/>
      <c r="B176" s="103" t="s">
        <v>344</v>
      </c>
      <c r="C176" s="104" t="s">
        <v>345</v>
      </c>
      <c r="D176" s="67">
        <v>0.2174</v>
      </c>
      <c r="E176" s="68"/>
      <c r="F176" s="105">
        <v>1</v>
      </c>
      <c r="G176" s="106"/>
      <c r="H176" s="107">
        <v>0.5</v>
      </c>
    </row>
    <row r="177" customHeight="1" spans="1:8">
      <c r="A177" s="75"/>
      <c r="B177" s="103" t="s">
        <v>346</v>
      </c>
      <c r="C177" s="104" t="s">
        <v>345</v>
      </c>
      <c r="D177" s="67">
        <v>0.2174</v>
      </c>
      <c r="E177" s="68"/>
      <c r="F177" s="105">
        <v>1</v>
      </c>
      <c r="G177" s="106"/>
      <c r="H177" s="107">
        <v>0.5</v>
      </c>
    </row>
    <row r="178" customHeight="1" spans="1:8">
      <c r="A178" s="64"/>
      <c r="B178" s="73" t="s">
        <v>347</v>
      </c>
      <c r="C178" s="66" t="s">
        <v>348</v>
      </c>
      <c r="D178" s="67">
        <v>0.2174</v>
      </c>
      <c r="E178" s="68"/>
      <c r="F178" s="69">
        <v>1</v>
      </c>
      <c r="G178" s="70"/>
      <c r="H178" s="71">
        <v>0.5</v>
      </c>
    </row>
    <row r="179" customHeight="1" spans="1:8">
      <c r="A179" s="64"/>
      <c r="B179" s="73" t="s">
        <v>349</v>
      </c>
      <c r="C179" s="66" t="s">
        <v>350</v>
      </c>
      <c r="D179" s="67">
        <v>0.2174</v>
      </c>
      <c r="E179" s="68"/>
      <c r="F179" s="69">
        <v>1</v>
      </c>
      <c r="G179" s="70"/>
      <c r="H179" s="71">
        <v>0.5</v>
      </c>
    </row>
    <row r="180" customHeight="1" spans="1:8">
      <c r="A180" s="64"/>
      <c r="B180" s="73" t="s">
        <v>351</v>
      </c>
      <c r="C180" s="66" t="s">
        <v>352</v>
      </c>
      <c r="D180" s="67">
        <v>0.2174</v>
      </c>
      <c r="E180" s="68"/>
      <c r="F180" s="69">
        <v>1</v>
      </c>
      <c r="G180" s="70"/>
      <c r="H180" s="71">
        <v>0.5</v>
      </c>
    </row>
    <row r="181" customHeight="1" spans="1:8">
      <c r="A181" s="64"/>
      <c r="B181" s="73" t="s">
        <v>353</v>
      </c>
      <c r="C181" s="66" t="s">
        <v>354</v>
      </c>
      <c r="D181" s="67">
        <v>0.2174</v>
      </c>
      <c r="E181" s="68"/>
      <c r="F181" s="69">
        <v>1</v>
      </c>
      <c r="G181" s="70"/>
      <c r="H181" s="71">
        <v>0.5</v>
      </c>
    </row>
    <row r="182" customHeight="1" spans="1:8">
      <c r="A182" s="64"/>
      <c r="B182" s="73" t="s">
        <v>355</v>
      </c>
      <c r="C182" s="66" t="s">
        <v>356</v>
      </c>
      <c r="D182" s="67">
        <v>0.2174</v>
      </c>
      <c r="E182" s="68"/>
      <c r="F182" s="69">
        <v>1</v>
      </c>
      <c r="G182" s="70"/>
      <c r="H182" s="71">
        <v>0.5</v>
      </c>
    </row>
    <row r="183" customHeight="1" spans="1:8">
      <c r="A183" s="64"/>
      <c r="B183" s="73" t="s">
        <v>357</v>
      </c>
      <c r="C183" s="66" t="s">
        <v>358</v>
      </c>
      <c r="D183" s="67">
        <v>0.2174</v>
      </c>
      <c r="E183" s="68"/>
      <c r="F183" s="69">
        <v>1</v>
      </c>
      <c r="G183" s="70"/>
      <c r="H183" s="71">
        <v>0.5</v>
      </c>
    </row>
    <row r="184" customHeight="1" spans="1:8">
      <c r="A184" s="64"/>
      <c r="B184" s="73" t="s">
        <v>359</v>
      </c>
      <c r="C184" s="66" t="s">
        <v>360</v>
      </c>
      <c r="D184" s="67">
        <v>0.2174</v>
      </c>
      <c r="E184" s="68"/>
      <c r="F184" s="69">
        <v>1</v>
      </c>
      <c r="G184" s="70"/>
      <c r="H184" s="71">
        <v>0.5</v>
      </c>
    </row>
    <row r="185" ht="25.5" customHeight="1" spans="1:8">
      <c r="A185" s="64"/>
      <c r="B185" s="73" t="s">
        <v>361</v>
      </c>
      <c r="C185" s="66" t="s">
        <v>362</v>
      </c>
      <c r="D185" s="67">
        <v>0.2174</v>
      </c>
      <c r="E185" s="68"/>
      <c r="F185" s="69">
        <v>1</v>
      </c>
      <c r="G185" s="70"/>
      <c r="H185" s="71">
        <v>0.5</v>
      </c>
    </row>
    <row r="186" customHeight="1" spans="1:8">
      <c r="A186" s="64"/>
      <c r="B186" s="73" t="s">
        <v>363</v>
      </c>
      <c r="C186" s="66" t="s">
        <v>364</v>
      </c>
      <c r="D186" s="67">
        <v>0.2174</v>
      </c>
      <c r="E186" s="68"/>
      <c r="F186" s="69">
        <v>1</v>
      </c>
      <c r="G186" s="70"/>
      <c r="H186" s="71">
        <v>0.5</v>
      </c>
    </row>
    <row r="187" customHeight="1" spans="1:8">
      <c r="A187" s="64"/>
      <c r="B187" s="73" t="s">
        <v>365</v>
      </c>
      <c r="C187" s="66" t="s">
        <v>366</v>
      </c>
      <c r="D187" s="67">
        <v>0.2174</v>
      </c>
      <c r="E187" s="68"/>
      <c r="F187" s="69">
        <v>1</v>
      </c>
      <c r="G187" s="70"/>
      <c r="H187" s="71">
        <v>0.5</v>
      </c>
    </row>
    <row r="188" customHeight="1" spans="1:8">
      <c r="A188" s="64"/>
      <c r="B188" s="73" t="s">
        <v>367</v>
      </c>
      <c r="C188" s="66" t="s">
        <v>368</v>
      </c>
      <c r="D188" s="67">
        <v>0.2174</v>
      </c>
      <c r="E188" s="68"/>
      <c r="F188" s="69">
        <v>1</v>
      </c>
      <c r="G188" s="70"/>
      <c r="H188" s="71">
        <v>0.5</v>
      </c>
    </row>
    <row r="189" customHeight="1" spans="1:8">
      <c r="A189" s="64"/>
      <c r="B189" s="73" t="s">
        <v>369</v>
      </c>
      <c r="C189" s="66" t="s">
        <v>370</v>
      </c>
      <c r="D189" s="67">
        <v>0.2174</v>
      </c>
      <c r="E189" s="68"/>
      <c r="F189" s="69">
        <v>1</v>
      </c>
      <c r="G189" s="70"/>
      <c r="H189" s="71">
        <v>0.5</v>
      </c>
    </row>
    <row r="190" customHeight="1" spans="1:8">
      <c r="A190" s="64"/>
      <c r="B190" s="73" t="s">
        <v>371</v>
      </c>
      <c r="C190" s="66" t="s">
        <v>372</v>
      </c>
      <c r="D190" s="67">
        <v>0.2174</v>
      </c>
      <c r="E190" s="68"/>
      <c r="F190" s="69">
        <v>1</v>
      </c>
      <c r="G190" s="70"/>
      <c r="H190" s="71">
        <v>0.5</v>
      </c>
    </row>
    <row r="191" customHeight="1" spans="1:8">
      <c r="A191" s="64"/>
      <c r="B191" s="73" t="s">
        <v>373</v>
      </c>
      <c r="C191" s="66" t="s">
        <v>374</v>
      </c>
      <c r="D191" s="67">
        <v>0.2174</v>
      </c>
      <c r="E191" s="68"/>
      <c r="F191" s="69">
        <v>1</v>
      </c>
      <c r="G191" s="70"/>
      <c r="H191" s="71">
        <v>0.5</v>
      </c>
    </row>
    <row r="192" customHeight="1" spans="1:8">
      <c r="A192" s="64"/>
      <c r="B192" s="73" t="s">
        <v>375</v>
      </c>
      <c r="C192" s="66" t="s">
        <v>376</v>
      </c>
      <c r="D192" s="67">
        <v>0.2174</v>
      </c>
      <c r="E192" s="68"/>
      <c r="F192" s="69">
        <v>1</v>
      </c>
      <c r="G192" s="70"/>
      <c r="H192" s="71">
        <v>0.5</v>
      </c>
    </row>
    <row r="193" customHeight="1" spans="1:8">
      <c r="A193" s="64"/>
      <c r="B193" s="73" t="s">
        <v>377</v>
      </c>
      <c r="C193" s="66" t="s">
        <v>378</v>
      </c>
      <c r="D193" s="67">
        <v>0.2174</v>
      </c>
      <c r="E193" s="68"/>
      <c r="F193" s="69">
        <v>1</v>
      </c>
      <c r="G193" s="70"/>
      <c r="H193" s="71">
        <v>0.5</v>
      </c>
    </row>
    <row r="194" customHeight="1" spans="1:8">
      <c r="A194" s="64"/>
      <c r="B194" s="73" t="s">
        <v>379</v>
      </c>
      <c r="C194" s="66" t="s">
        <v>380</v>
      </c>
      <c r="D194" s="67">
        <v>0.2174</v>
      </c>
      <c r="E194" s="68"/>
      <c r="F194" s="69">
        <v>1</v>
      </c>
      <c r="G194" s="70"/>
      <c r="H194" s="71">
        <v>0.5</v>
      </c>
    </row>
    <row r="195" customHeight="1" spans="1:8">
      <c r="A195" s="64"/>
      <c r="B195" s="73" t="s">
        <v>381</v>
      </c>
      <c r="C195" s="66" t="s">
        <v>382</v>
      </c>
      <c r="D195" s="67">
        <v>0.2174</v>
      </c>
      <c r="E195" s="68"/>
      <c r="F195" s="69">
        <v>1</v>
      </c>
      <c r="G195" s="70"/>
      <c r="H195" s="71">
        <v>0.5</v>
      </c>
    </row>
    <row r="196" customHeight="1" spans="1:8">
      <c r="A196" s="64"/>
      <c r="B196" s="73" t="s">
        <v>383</v>
      </c>
      <c r="C196" s="66" t="s">
        <v>384</v>
      </c>
      <c r="D196" s="67">
        <v>0.2174</v>
      </c>
      <c r="E196" s="68"/>
      <c r="F196" s="69">
        <v>1</v>
      </c>
      <c r="G196" s="70"/>
      <c r="H196" s="71">
        <v>0.5</v>
      </c>
    </row>
    <row r="197" ht="25.5" customHeight="1" spans="1:8">
      <c r="A197" s="64"/>
      <c r="B197" s="73" t="s">
        <v>385</v>
      </c>
      <c r="C197" s="66" t="s">
        <v>386</v>
      </c>
      <c r="D197" s="67">
        <v>0.2174</v>
      </c>
      <c r="E197" s="68"/>
      <c r="F197" s="69">
        <v>1</v>
      </c>
      <c r="G197" s="70"/>
      <c r="H197" s="71">
        <v>0.5</v>
      </c>
    </row>
    <row r="198" ht="25.5" customHeight="1" spans="1:8">
      <c r="A198" s="64"/>
      <c r="B198" s="73" t="s">
        <v>387</v>
      </c>
      <c r="C198" s="66" t="s">
        <v>388</v>
      </c>
      <c r="D198" s="67">
        <v>0.2174</v>
      </c>
      <c r="E198" s="68"/>
      <c r="F198" s="69">
        <v>1</v>
      </c>
      <c r="G198" s="70"/>
      <c r="H198" s="71">
        <v>0.5</v>
      </c>
    </row>
    <row r="199" ht="25.5" customHeight="1" spans="1:8">
      <c r="A199" s="64"/>
      <c r="B199" s="73" t="s">
        <v>389</v>
      </c>
      <c r="C199" s="66" t="s">
        <v>390</v>
      </c>
      <c r="D199" s="67">
        <v>0.2174</v>
      </c>
      <c r="E199" s="68"/>
      <c r="F199" s="69">
        <v>1</v>
      </c>
      <c r="G199" s="70"/>
      <c r="H199" s="71">
        <v>0.5</v>
      </c>
    </row>
    <row r="200" customHeight="1" spans="1:8">
      <c r="A200" s="64"/>
      <c r="B200" s="73" t="s">
        <v>391</v>
      </c>
      <c r="C200" s="66" t="s">
        <v>392</v>
      </c>
      <c r="D200" s="67">
        <v>0.2174</v>
      </c>
      <c r="E200" s="68"/>
      <c r="F200" s="69">
        <v>1</v>
      </c>
      <c r="G200" s="70"/>
      <c r="H200" s="71">
        <v>0.5</v>
      </c>
    </row>
    <row r="201" ht="25.5" customHeight="1" spans="1:8">
      <c r="A201" s="64"/>
      <c r="B201" s="73" t="s">
        <v>393</v>
      </c>
      <c r="C201" s="66" t="s">
        <v>394</v>
      </c>
      <c r="D201" s="67">
        <v>0.2174</v>
      </c>
      <c r="E201" s="68"/>
      <c r="F201" s="69">
        <v>1</v>
      </c>
      <c r="G201" s="70"/>
      <c r="H201" s="71">
        <v>0.5</v>
      </c>
    </row>
    <row r="202" customHeight="1" spans="1:8">
      <c r="A202" s="64"/>
      <c r="B202" s="73" t="s">
        <v>395</v>
      </c>
      <c r="C202" s="66" t="s">
        <v>396</v>
      </c>
      <c r="D202" s="67">
        <v>0.2174</v>
      </c>
      <c r="E202" s="68"/>
      <c r="F202" s="69">
        <v>1</v>
      </c>
      <c r="G202" s="70"/>
      <c r="H202" s="71">
        <v>0.5</v>
      </c>
    </row>
    <row r="203" customHeight="1" spans="1:8">
      <c r="A203" s="64"/>
      <c r="B203" s="73" t="s">
        <v>397</v>
      </c>
      <c r="C203" s="66" t="s">
        <v>398</v>
      </c>
      <c r="D203" s="67">
        <v>0.2174</v>
      </c>
      <c r="E203" s="68"/>
      <c r="F203" s="69">
        <v>1</v>
      </c>
      <c r="G203" s="70"/>
      <c r="H203" s="71">
        <v>0.5</v>
      </c>
    </row>
    <row r="204" customHeight="1" spans="1:8">
      <c r="A204" s="64"/>
      <c r="B204" s="73" t="s">
        <v>399</v>
      </c>
      <c r="C204" s="66" t="s">
        <v>400</v>
      </c>
      <c r="D204" s="67">
        <v>0.2174</v>
      </c>
      <c r="E204" s="68"/>
      <c r="F204" s="69">
        <v>1</v>
      </c>
      <c r="G204" s="70"/>
      <c r="H204" s="71">
        <v>0.5</v>
      </c>
    </row>
    <row r="205" ht="25.5" customHeight="1" spans="1:8">
      <c r="A205" s="64"/>
      <c r="B205" s="73" t="s">
        <v>401</v>
      </c>
      <c r="C205" s="66" t="s">
        <v>402</v>
      </c>
      <c r="D205" s="67">
        <v>0.2174</v>
      </c>
      <c r="E205" s="68"/>
      <c r="F205" s="69">
        <v>1</v>
      </c>
      <c r="G205" s="70"/>
      <c r="H205" s="71">
        <v>0.5</v>
      </c>
    </row>
    <row r="206" customHeight="1" spans="1:8">
      <c r="A206" s="64"/>
      <c r="B206" s="73" t="s">
        <v>403</v>
      </c>
      <c r="C206" s="66" t="s">
        <v>404</v>
      </c>
      <c r="D206" s="67">
        <v>0.2174</v>
      </c>
      <c r="E206" s="68"/>
      <c r="F206" s="69">
        <v>1</v>
      </c>
      <c r="G206" s="70"/>
      <c r="H206" s="71">
        <v>0.5</v>
      </c>
    </row>
    <row r="207" customHeight="1" spans="1:8">
      <c r="A207" s="64"/>
      <c r="B207" s="73" t="s">
        <v>405</v>
      </c>
      <c r="C207" s="66" t="s">
        <v>406</v>
      </c>
      <c r="D207" s="67">
        <v>0.2174</v>
      </c>
      <c r="E207" s="68"/>
      <c r="F207" s="69">
        <v>1</v>
      </c>
      <c r="G207" s="70"/>
      <c r="H207" s="71">
        <v>0.5</v>
      </c>
    </row>
    <row r="208" customHeight="1" spans="1:8">
      <c r="A208" s="64"/>
      <c r="B208" s="73" t="s">
        <v>407</v>
      </c>
      <c r="C208" s="66" t="s">
        <v>408</v>
      </c>
      <c r="D208" s="67">
        <v>0.2174</v>
      </c>
      <c r="E208" s="68"/>
      <c r="F208" s="69">
        <v>1</v>
      </c>
      <c r="G208" s="70"/>
      <c r="H208" s="71">
        <v>0.5</v>
      </c>
    </row>
    <row r="209" customHeight="1" spans="1:8">
      <c r="A209" s="64"/>
      <c r="B209" s="73" t="s">
        <v>409</v>
      </c>
      <c r="C209" s="66" t="s">
        <v>410</v>
      </c>
      <c r="D209" s="67">
        <v>0.2174</v>
      </c>
      <c r="E209" s="68"/>
      <c r="F209" s="69">
        <v>1</v>
      </c>
      <c r="G209" s="70"/>
      <c r="H209" s="71">
        <v>0.5</v>
      </c>
    </row>
    <row r="210" customHeight="1" spans="1:8">
      <c r="A210" s="64"/>
      <c r="B210" s="103" t="s">
        <v>411</v>
      </c>
      <c r="C210" s="104" t="s">
        <v>412</v>
      </c>
      <c r="D210" s="67">
        <v>0.2174</v>
      </c>
      <c r="E210" s="68"/>
      <c r="F210" s="105">
        <v>1</v>
      </c>
      <c r="G210" s="106"/>
      <c r="H210" s="107">
        <v>0.5</v>
      </c>
    </row>
    <row r="211" customHeight="1" spans="1:8">
      <c r="A211" s="64"/>
      <c r="B211" s="103" t="s">
        <v>413</v>
      </c>
      <c r="C211" s="104" t="s">
        <v>414</v>
      </c>
      <c r="D211" s="67">
        <v>0.2174</v>
      </c>
      <c r="E211" s="68"/>
      <c r="F211" s="105">
        <v>1</v>
      </c>
      <c r="G211" s="106"/>
      <c r="H211" s="107">
        <v>0.5</v>
      </c>
    </row>
    <row r="212" customHeight="1" spans="1:8">
      <c r="A212" s="64"/>
      <c r="B212" s="103" t="s">
        <v>415</v>
      </c>
      <c r="C212" s="104" t="s">
        <v>416</v>
      </c>
      <c r="D212" s="67">
        <v>0.2174</v>
      </c>
      <c r="E212" s="68"/>
      <c r="F212" s="105">
        <v>1</v>
      </c>
      <c r="G212" s="106"/>
      <c r="H212" s="107">
        <v>0.5</v>
      </c>
    </row>
    <row r="213" customHeight="1" spans="1:8">
      <c r="A213" s="64"/>
      <c r="B213" s="103" t="s">
        <v>417</v>
      </c>
      <c r="C213" s="104" t="s">
        <v>418</v>
      </c>
      <c r="D213" s="67">
        <v>0.2174</v>
      </c>
      <c r="E213" s="68"/>
      <c r="F213" s="105">
        <v>1</v>
      </c>
      <c r="G213" s="106"/>
      <c r="H213" s="107">
        <v>0.5</v>
      </c>
    </row>
    <row r="214" customHeight="1" spans="1:8">
      <c r="A214" s="64"/>
      <c r="B214" s="103" t="s">
        <v>419</v>
      </c>
      <c r="C214" s="104" t="s">
        <v>420</v>
      </c>
      <c r="D214" s="67">
        <v>0.2174</v>
      </c>
      <c r="E214" s="68"/>
      <c r="F214" s="105">
        <v>1</v>
      </c>
      <c r="G214" s="106"/>
      <c r="H214" s="107">
        <v>0.5</v>
      </c>
    </row>
    <row r="215" customHeight="1" spans="1:8">
      <c r="A215" s="64"/>
      <c r="B215" s="103" t="s">
        <v>421</v>
      </c>
      <c r="C215" s="104" t="s">
        <v>422</v>
      </c>
      <c r="D215" s="67">
        <v>0.2174</v>
      </c>
      <c r="E215" s="68"/>
      <c r="F215" s="105">
        <v>1</v>
      </c>
      <c r="G215" s="106"/>
      <c r="H215" s="107">
        <v>0.5</v>
      </c>
    </row>
    <row r="216" customHeight="1" spans="1:8">
      <c r="A216" s="64"/>
      <c r="B216" s="103" t="s">
        <v>423</v>
      </c>
      <c r="C216" s="104" t="s">
        <v>424</v>
      </c>
      <c r="D216" s="67">
        <v>0.2174</v>
      </c>
      <c r="E216" s="68"/>
      <c r="F216" s="105">
        <v>1</v>
      </c>
      <c r="G216" s="106"/>
      <c r="H216" s="107">
        <v>0.5</v>
      </c>
    </row>
    <row r="217" customHeight="1" spans="1:8">
      <c r="A217" s="74"/>
      <c r="B217" s="103" t="s">
        <v>425</v>
      </c>
      <c r="C217" s="104" t="s">
        <v>426</v>
      </c>
      <c r="D217" s="67">
        <v>0.2174</v>
      </c>
      <c r="E217" s="68"/>
      <c r="F217" s="105">
        <v>1</v>
      </c>
      <c r="G217" s="106"/>
      <c r="H217" s="107">
        <v>0.5</v>
      </c>
    </row>
    <row r="218" customHeight="1" spans="1:8">
      <c r="A218" s="75"/>
      <c r="B218" s="73" t="s">
        <v>427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</row>
    <row r="219" customHeight="1" spans="1:8">
      <c r="A219" s="64"/>
      <c r="B219" s="73" t="s">
        <v>428</v>
      </c>
      <c r="C219" s="66" t="s">
        <v>429</v>
      </c>
      <c r="D219" s="67">
        <v>0.2174</v>
      </c>
      <c r="E219" s="68"/>
      <c r="F219" s="69">
        <v>1</v>
      </c>
      <c r="G219" s="70"/>
      <c r="H219" s="71">
        <v>0.5</v>
      </c>
    </row>
    <row r="220" customHeight="1" spans="1:8">
      <c r="A220" s="64"/>
      <c r="B220" s="73" t="s">
        <v>430</v>
      </c>
      <c r="C220" s="66" t="s">
        <v>431</v>
      </c>
      <c r="D220" s="67">
        <v>0.4348</v>
      </c>
      <c r="E220" s="68"/>
      <c r="F220" s="69">
        <v>1.6</v>
      </c>
      <c r="G220" s="70"/>
      <c r="H220" s="71">
        <v>1</v>
      </c>
    </row>
    <row r="221" ht="27.95" customHeight="1" spans="1:8">
      <c r="A221" s="64"/>
      <c r="B221" s="73" t="s">
        <v>432</v>
      </c>
      <c r="C221" s="66" t="s">
        <v>433</v>
      </c>
      <c r="D221" s="67">
        <v>3.7391</v>
      </c>
      <c r="E221" s="68"/>
      <c r="F221" s="69">
        <v>13.8</v>
      </c>
      <c r="G221" s="70"/>
      <c r="H221" s="71">
        <v>8.6</v>
      </c>
    </row>
    <row r="222" ht="27.95" customHeight="1" spans="1:8">
      <c r="A222" s="64"/>
      <c r="B222" s="103" t="s">
        <v>434</v>
      </c>
      <c r="C222" s="104" t="s">
        <v>435</v>
      </c>
      <c r="D222" s="67">
        <v>2.6087</v>
      </c>
      <c r="E222" s="68"/>
      <c r="F222" s="105">
        <v>9</v>
      </c>
      <c r="G222" s="106"/>
      <c r="H222" s="107">
        <v>6</v>
      </c>
    </row>
    <row r="223" ht="27.95" customHeight="1" spans="1:8">
      <c r="A223" s="64"/>
      <c r="B223" s="103" t="s">
        <v>436</v>
      </c>
      <c r="C223" s="104" t="s">
        <v>437</v>
      </c>
      <c r="D223" s="67">
        <v>0.1739</v>
      </c>
      <c r="E223" s="68"/>
      <c r="F223" s="105">
        <v>1</v>
      </c>
      <c r="G223" s="106"/>
      <c r="H223" s="107">
        <v>0.4</v>
      </c>
    </row>
    <row r="224" ht="27.95" customHeight="1" spans="1:8">
      <c r="A224" s="64"/>
      <c r="B224" s="73" t="s">
        <v>438</v>
      </c>
      <c r="C224" s="66" t="s">
        <v>439</v>
      </c>
      <c r="D224" s="67">
        <v>5.5217</v>
      </c>
      <c r="E224" s="68"/>
      <c r="F224" s="69">
        <v>20.5</v>
      </c>
      <c r="G224" s="70"/>
      <c r="H224" s="71">
        <v>12.7</v>
      </c>
    </row>
    <row r="225" ht="27.95" customHeight="1" spans="1:8">
      <c r="A225" s="64"/>
      <c r="B225" s="73" t="s">
        <v>440</v>
      </c>
      <c r="C225" s="66" t="s">
        <v>441</v>
      </c>
      <c r="D225" s="67">
        <v>5.5217</v>
      </c>
      <c r="E225" s="68"/>
      <c r="F225" s="69">
        <v>20.5</v>
      </c>
      <c r="G225" s="70"/>
      <c r="H225" s="71">
        <v>12.7</v>
      </c>
    </row>
    <row r="226" ht="27.95" customHeight="1" spans="1:8">
      <c r="A226" s="64"/>
      <c r="B226" s="73" t="s">
        <v>442</v>
      </c>
      <c r="C226" s="66" t="s">
        <v>443</v>
      </c>
      <c r="D226" s="67">
        <v>0.7391</v>
      </c>
      <c r="E226" s="68"/>
      <c r="F226" s="69">
        <v>2.7</v>
      </c>
      <c r="G226" s="70"/>
      <c r="H226" s="71">
        <v>1.7</v>
      </c>
    </row>
    <row r="227" ht="27.95" customHeight="1" spans="1:8">
      <c r="A227" s="64"/>
      <c r="B227" s="103" t="s">
        <v>444</v>
      </c>
      <c r="C227" s="104" t="s">
        <v>445</v>
      </c>
      <c r="D227" s="67">
        <v>0.913</v>
      </c>
      <c r="E227" s="68"/>
      <c r="F227" s="105">
        <v>3.3</v>
      </c>
      <c r="G227" s="106"/>
      <c r="H227" s="107">
        <v>2.1</v>
      </c>
    </row>
    <row r="228" ht="27.95" customHeight="1" spans="1:8">
      <c r="A228" s="64"/>
      <c r="B228" s="73" t="s">
        <v>446</v>
      </c>
      <c r="C228" s="66" t="s">
        <v>447</v>
      </c>
      <c r="D228" s="67">
        <v>0.5217</v>
      </c>
      <c r="E228" s="68"/>
      <c r="F228" s="69">
        <v>1.9</v>
      </c>
      <c r="G228" s="70"/>
      <c r="H228" s="71">
        <v>1.2</v>
      </c>
    </row>
    <row r="229" ht="27.95" customHeight="1" spans="1:8">
      <c r="A229" s="64"/>
      <c r="B229" s="73" t="s">
        <v>448</v>
      </c>
      <c r="C229" s="66" t="s">
        <v>449</v>
      </c>
      <c r="D229" s="67">
        <v>0.2174</v>
      </c>
      <c r="E229" s="68"/>
      <c r="F229" s="69">
        <v>1</v>
      </c>
      <c r="G229" s="70"/>
      <c r="H229" s="71">
        <v>0.5</v>
      </c>
    </row>
    <row r="230" ht="27.95" customHeight="1" spans="1:8">
      <c r="A230" s="64"/>
      <c r="B230" s="73" t="s">
        <v>450</v>
      </c>
      <c r="C230" s="66" t="s">
        <v>451</v>
      </c>
      <c r="D230" s="67">
        <v>0.2174</v>
      </c>
      <c r="E230" s="68"/>
      <c r="F230" s="69">
        <v>1</v>
      </c>
      <c r="G230" s="70"/>
      <c r="H230" s="71">
        <v>0.5</v>
      </c>
    </row>
    <row r="231" ht="27.95" customHeight="1" spans="1:8">
      <c r="A231" s="64"/>
      <c r="B231" s="73" t="s">
        <v>452</v>
      </c>
      <c r="C231" s="66" t="s">
        <v>453</v>
      </c>
      <c r="D231" s="67">
        <v>0.2174</v>
      </c>
      <c r="E231" s="68"/>
      <c r="F231" s="69">
        <v>1</v>
      </c>
      <c r="G231" s="70"/>
      <c r="H231" s="71">
        <v>0.5</v>
      </c>
    </row>
    <row r="232" ht="27.95" customHeight="1" spans="1:8">
      <c r="A232" s="64"/>
      <c r="B232" s="73" t="s">
        <v>454</v>
      </c>
      <c r="C232" s="66" t="s">
        <v>455</v>
      </c>
      <c r="D232" s="67">
        <v>0.2174</v>
      </c>
      <c r="E232" s="68"/>
      <c r="F232" s="69">
        <v>1</v>
      </c>
      <c r="G232" s="70"/>
      <c r="H232" s="71">
        <v>0.5</v>
      </c>
    </row>
    <row r="233" ht="27.95" customHeight="1" spans="1:8">
      <c r="A233" s="64"/>
      <c r="B233" s="73" t="s">
        <v>456</v>
      </c>
      <c r="C233" s="66" t="s">
        <v>457</v>
      </c>
      <c r="D233" s="67">
        <v>0.2174</v>
      </c>
      <c r="E233" s="68"/>
      <c r="F233" s="69">
        <v>1</v>
      </c>
      <c r="G233" s="70"/>
      <c r="H233" s="71">
        <v>0.5</v>
      </c>
    </row>
    <row r="234" ht="27.95" customHeight="1" spans="1:8">
      <c r="A234" s="64"/>
      <c r="B234" s="73" t="s">
        <v>458</v>
      </c>
      <c r="C234" s="66" t="s">
        <v>459</v>
      </c>
      <c r="D234" s="67">
        <v>0.2174</v>
      </c>
      <c r="E234" s="68"/>
      <c r="F234" s="69">
        <v>1</v>
      </c>
      <c r="G234" s="70"/>
      <c r="H234" s="71">
        <v>0.5</v>
      </c>
    </row>
    <row r="235" ht="27.95" customHeight="1" spans="1:8">
      <c r="A235" s="64"/>
      <c r="B235" s="73" t="s">
        <v>460</v>
      </c>
      <c r="C235" s="66" t="s">
        <v>461</v>
      </c>
      <c r="D235" s="67">
        <v>0.2174</v>
      </c>
      <c r="E235" s="68"/>
      <c r="F235" s="69">
        <v>1</v>
      </c>
      <c r="G235" s="70"/>
      <c r="H235" s="71">
        <v>0.5</v>
      </c>
    </row>
    <row r="236" ht="27.95" customHeight="1" spans="1:8">
      <c r="A236" s="64"/>
      <c r="B236" s="73" t="s">
        <v>462</v>
      </c>
      <c r="C236" s="66" t="s">
        <v>463</v>
      </c>
      <c r="D236" s="67">
        <v>0.2174</v>
      </c>
      <c r="E236" s="68"/>
      <c r="F236" s="69">
        <v>1</v>
      </c>
      <c r="G236" s="70"/>
      <c r="H236" s="71">
        <v>0.5</v>
      </c>
    </row>
    <row r="237" ht="27.95" customHeight="1" spans="1:8">
      <c r="A237" s="64"/>
      <c r="B237" s="73" t="s">
        <v>464</v>
      </c>
      <c r="C237" s="66" t="s">
        <v>465</v>
      </c>
      <c r="D237" s="67">
        <v>0.2174</v>
      </c>
      <c r="E237" s="68"/>
      <c r="F237" s="69">
        <v>1</v>
      </c>
      <c r="G237" s="70"/>
      <c r="H237" s="71">
        <v>0.5</v>
      </c>
    </row>
    <row r="238" ht="27.95" customHeight="1" spans="1:8">
      <c r="A238" s="64"/>
      <c r="B238" s="73" t="s">
        <v>466</v>
      </c>
      <c r="C238" s="66" t="s">
        <v>467</v>
      </c>
      <c r="D238" s="67">
        <v>0.2174</v>
      </c>
      <c r="E238" s="68"/>
      <c r="F238" s="69">
        <v>1</v>
      </c>
      <c r="G238" s="70"/>
      <c r="H238" s="71">
        <v>0.5</v>
      </c>
    </row>
    <row r="239" ht="27.95" customHeight="1" spans="1:8">
      <c r="A239" s="64"/>
      <c r="B239" s="73" t="s">
        <v>468</v>
      </c>
      <c r="C239" s="66" t="s">
        <v>469</v>
      </c>
      <c r="D239" s="67">
        <v>0.2174</v>
      </c>
      <c r="E239" s="68"/>
      <c r="F239" s="69">
        <v>1</v>
      </c>
      <c r="G239" s="70"/>
      <c r="H239" s="71">
        <v>0.5</v>
      </c>
    </row>
    <row r="240" ht="27.95" customHeight="1" spans="1:8">
      <c r="A240" s="64"/>
      <c r="B240" s="73" t="s">
        <v>470</v>
      </c>
      <c r="C240" s="66" t="s">
        <v>471</v>
      </c>
      <c r="D240" s="67">
        <v>0.2174</v>
      </c>
      <c r="E240" s="68"/>
      <c r="F240" s="69">
        <v>1</v>
      </c>
      <c r="G240" s="70"/>
      <c r="H240" s="71">
        <v>0.5</v>
      </c>
    </row>
    <row r="241" ht="27.95" customHeight="1" spans="1:8">
      <c r="A241" s="64"/>
      <c r="B241" s="73" t="s">
        <v>472</v>
      </c>
      <c r="C241" s="66" t="s">
        <v>473</v>
      </c>
      <c r="D241" s="67">
        <v>0.2174</v>
      </c>
      <c r="E241" s="68"/>
      <c r="F241" s="69">
        <v>1</v>
      </c>
      <c r="G241" s="70"/>
      <c r="H241" s="71">
        <v>0.5</v>
      </c>
    </row>
    <row r="242" ht="27.95" customHeight="1" spans="1:8">
      <c r="A242" s="64"/>
      <c r="B242" s="73" t="s">
        <v>474</v>
      </c>
      <c r="C242" s="66" t="s">
        <v>475</v>
      </c>
      <c r="D242" s="67">
        <v>0.2174</v>
      </c>
      <c r="E242" s="68"/>
      <c r="F242" s="69">
        <v>1</v>
      </c>
      <c r="G242" s="70"/>
      <c r="H242" s="71">
        <v>0.5</v>
      </c>
    </row>
    <row r="243" ht="27.95" customHeight="1" spans="1:8">
      <c r="A243" s="64"/>
      <c r="B243" s="103" t="s">
        <v>476</v>
      </c>
      <c r="C243" s="104" t="s">
        <v>477</v>
      </c>
      <c r="D243" s="67">
        <v>0.2174</v>
      </c>
      <c r="E243" s="68"/>
      <c r="F243" s="105">
        <v>1</v>
      </c>
      <c r="G243" s="106"/>
      <c r="H243" s="107">
        <v>0.5</v>
      </c>
    </row>
    <row r="244" ht="27.95" customHeight="1" spans="1:8">
      <c r="A244" s="64"/>
      <c r="B244" s="73" t="s">
        <v>478</v>
      </c>
      <c r="C244" s="66" t="s">
        <v>479</v>
      </c>
      <c r="D244" s="67">
        <v>0.2174</v>
      </c>
      <c r="E244" s="68"/>
      <c r="F244" s="69">
        <v>1</v>
      </c>
      <c r="G244" s="70"/>
      <c r="H244" s="71">
        <v>0.5</v>
      </c>
    </row>
    <row r="245" ht="27.95" customHeight="1" spans="1:8">
      <c r="A245" s="64"/>
      <c r="B245" s="73" t="s">
        <v>480</v>
      </c>
      <c r="C245" s="66" t="s">
        <v>481</v>
      </c>
      <c r="D245" s="67">
        <v>0.2174</v>
      </c>
      <c r="E245" s="68"/>
      <c r="F245" s="69">
        <v>1</v>
      </c>
      <c r="G245" s="70"/>
      <c r="H245" s="71">
        <v>0.5</v>
      </c>
    </row>
    <row r="246" ht="27.95" customHeight="1" spans="1:8">
      <c r="A246" s="64"/>
      <c r="B246" s="73" t="s">
        <v>482</v>
      </c>
      <c r="C246" s="66" t="s">
        <v>483</v>
      </c>
      <c r="D246" s="67">
        <v>0.2174</v>
      </c>
      <c r="E246" s="68"/>
      <c r="F246" s="69">
        <v>1</v>
      </c>
      <c r="G246" s="70"/>
      <c r="H246" s="71">
        <v>0.5</v>
      </c>
    </row>
    <row r="247" ht="27.95" customHeight="1" spans="1:8">
      <c r="A247" s="64"/>
      <c r="B247" s="73" t="s">
        <v>484</v>
      </c>
      <c r="C247" s="66" t="s">
        <v>485</v>
      </c>
      <c r="D247" s="67">
        <v>0.2174</v>
      </c>
      <c r="E247" s="68"/>
      <c r="F247" s="69">
        <v>1</v>
      </c>
      <c r="G247" s="70"/>
      <c r="H247" s="71">
        <v>0.5</v>
      </c>
    </row>
    <row r="248" ht="27.95" customHeight="1" spans="1:8">
      <c r="A248" s="64"/>
      <c r="B248" s="73" t="s">
        <v>486</v>
      </c>
      <c r="C248" s="66" t="s">
        <v>487</v>
      </c>
      <c r="D248" s="67">
        <v>0.2174</v>
      </c>
      <c r="E248" s="68"/>
      <c r="F248" s="69">
        <v>1</v>
      </c>
      <c r="G248" s="70"/>
      <c r="H248" s="71">
        <v>0.5</v>
      </c>
    </row>
    <row r="249" ht="27.95" customHeight="1" spans="1:8">
      <c r="A249" s="64"/>
      <c r="B249" s="73" t="s">
        <v>488</v>
      </c>
      <c r="C249" s="66" t="s">
        <v>489</v>
      </c>
      <c r="D249" s="67">
        <v>0.2174</v>
      </c>
      <c r="E249" s="68"/>
      <c r="F249" s="69">
        <v>1</v>
      </c>
      <c r="G249" s="70"/>
      <c r="H249" s="71">
        <v>0.5</v>
      </c>
    </row>
    <row r="250" ht="27.95" customHeight="1" spans="1:8">
      <c r="A250" s="64"/>
      <c r="B250" s="73" t="s">
        <v>490</v>
      </c>
      <c r="C250" s="66" t="s">
        <v>491</v>
      </c>
      <c r="D250" s="67">
        <v>0.2174</v>
      </c>
      <c r="E250" s="68"/>
      <c r="F250" s="69">
        <v>1</v>
      </c>
      <c r="G250" s="70"/>
      <c r="H250" s="71">
        <v>0.5</v>
      </c>
    </row>
    <row r="251" ht="27.95" customHeight="1" spans="1:8">
      <c r="A251" s="64"/>
      <c r="B251" s="73" t="s">
        <v>492</v>
      </c>
      <c r="C251" s="66" t="s">
        <v>493</v>
      </c>
      <c r="D251" s="67">
        <v>0.2174</v>
      </c>
      <c r="E251" s="68"/>
      <c r="F251" s="69">
        <v>1</v>
      </c>
      <c r="G251" s="70"/>
      <c r="H251" s="71">
        <v>0.5</v>
      </c>
    </row>
    <row r="252" ht="27.95" customHeight="1" spans="1:8">
      <c r="A252" s="64"/>
      <c r="B252" s="73" t="s">
        <v>494</v>
      </c>
      <c r="C252" s="66" t="s">
        <v>495</v>
      </c>
      <c r="D252" s="67">
        <v>0.2174</v>
      </c>
      <c r="E252" s="68"/>
      <c r="F252" s="69">
        <v>1</v>
      </c>
      <c r="G252" s="70"/>
      <c r="H252" s="71">
        <v>0.5</v>
      </c>
    </row>
    <row r="253" ht="27.95" customHeight="1" spans="1:8">
      <c r="A253" s="64"/>
      <c r="B253" s="73" t="s">
        <v>496</v>
      </c>
      <c r="C253" s="66" t="s">
        <v>497</v>
      </c>
      <c r="D253" s="67">
        <v>0.2174</v>
      </c>
      <c r="E253" s="68"/>
      <c r="F253" s="69">
        <v>1</v>
      </c>
      <c r="G253" s="70"/>
      <c r="H253" s="71">
        <v>0.5</v>
      </c>
    </row>
    <row r="254" ht="27.95" customHeight="1" spans="1:8">
      <c r="A254" s="64"/>
      <c r="B254" s="73" t="s">
        <v>498</v>
      </c>
      <c r="C254" s="66" t="s">
        <v>499</v>
      </c>
      <c r="D254" s="67">
        <v>0.2174</v>
      </c>
      <c r="E254" s="68"/>
      <c r="F254" s="69">
        <v>1</v>
      </c>
      <c r="G254" s="70"/>
      <c r="H254" s="71">
        <v>0.5</v>
      </c>
    </row>
    <row r="255" ht="27.95" customHeight="1" spans="1:8">
      <c r="A255" s="64"/>
      <c r="B255" s="73" t="s">
        <v>500</v>
      </c>
      <c r="C255" s="66" t="s">
        <v>501</v>
      </c>
      <c r="D255" s="67">
        <v>0.2174</v>
      </c>
      <c r="E255" s="68"/>
      <c r="F255" s="69">
        <v>1</v>
      </c>
      <c r="G255" s="70"/>
      <c r="H255" s="71">
        <v>0.5</v>
      </c>
    </row>
    <row r="256" ht="27.95" customHeight="1" spans="1:8">
      <c r="A256" s="64"/>
      <c r="B256" s="73" t="s">
        <v>502</v>
      </c>
      <c r="C256" s="66" t="s">
        <v>503</v>
      </c>
      <c r="D256" s="67">
        <v>0.3043</v>
      </c>
      <c r="E256" s="68"/>
      <c r="F256" s="69">
        <v>1</v>
      </c>
      <c r="G256" s="70"/>
      <c r="H256" s="71">
        <v>0.7</v>
      </c>
    </row>
    <row r="257" ht="27.95" customHeight="1" spans="1:8">
      <c r="A257" s="64"/>
      <c r="B257" s="103" t="s">
        <v>504</v>
      </c>
      <c r="C257" s="113" t="s">
        <v>505</v>
      </c>
      <c r="D257" s="67">
        <v>0.5217</v>
      </c>
      <c r="E257" s="68"/>
      <c r="F257" s="105">
        <v>2</v>
      </c>
      <c r="G257" s="106"/>
      <c r="H257" s="107">
        <v>1.2</v>
      </c>
    </row>
    <row r="258" ht="27.95" customHeight="1" spans="1:8">
      <c r="A258" s="64"/>
      <c r="B258" s="73" t="s">
        <v>506</v>
      </c>
      <c r="C258" s="66" t="s">
        <v>507</v>
      </c>
      <c r="D258" s="67">
        <v>2.5217</v>
      </c>
      <c r="E258" s="68"/>
      <c r="F258" s="69">
        <v>9</v>
      </c>
      <c r="G258" s="70"/>
      <c r="H258" s="71">
        <v>5.8</v>
      </c>
    </row>
    <row r="259" ht="27.95" customHeight="1" spans="1:8">
      <c r="A259" s="64"/>
      <c r="B259" s="103" t="s">
        <v>508</v>
      </c>
      <c r="C259" s="104" t="s">
        <v>509</v>
      </c>
      <c r="D259" s="67">
        <v>0.6522</v>
      </c>
      <c r="E259" s="68"/>
      <c r="F259" s="105">
        <v>2.5</v>
      </c>
      <c r="G259" s="106"/>
      <c r="H259" s="107">
        <v>1.5</v>
      </c>
    </row>
    <row r="260" ht="27.95" customHeight="1" spans="1:8">
      <c r="A260" s="64"/>
      <c r="B260" s="73" t="s">
        <v>510</v>
      </c>
      <c r="C260" s="66" t="s">
        <v>511</v>
      </c>
      <c r="D260" s="82">
        <v>33.913</v>
      </c>
      <c r="E260" s="83"/>
      <c r="F260" s="69">
        <v>125</v>
      </c>
      <c r="G260" s="70"/>
      <c r="H260" s="71">
        <v>78</v>
      </c>
    </row>
    <row r="261" ht="27.95" customHeight="1" spans="1:8">
      <c r="A261" s="64"/>
      <c r="B261" s="103" t="s">
        <v>512</v>
      </c>
      <c r="C261" s="104" t="s">
        <v>513</v>
      </c>
      <c r="D261" s="67">
        <v>0.5652</v>
      </c>
      <c r="E261" s="68"/>
      <c r="F261" s="105">
        <v>3</v>
      </c>
      <c r="G261" s="106"/>
      <c r="H261" s="107">
        <v>1.3</v>
      </c>
    </row>
    <row r="262" ht="27.95" customHeight="1" spans="1:8">
      <c r="A262" s="64"/>
      <c r="B262" s="73" t="s">
        <v>514</v>
      </c>
      <c r="C262" s="66" t="s">
        <v>515</v>
      </c>
      <c r="D262" s="67">
        <v>0.2174</v>
      </c>
      <c r="E262" s="68"/>
      <c r="F262" s="69">
        <v>1</v>
      </c>
      <c r="G262" s="70"/>
      <c r="H262" s="71">
        <v>0.5</v>
      </c>
    </row>
    <row r="263" ht="27.95" customHeight="1" spans="1:8">
      <c r="A263" s="64"/>
      <c r="B263" s="73" t="s">
        <v>516</v>
      </c>
      <c r="C263" s="66" t="s">
        <v>517</v>
      </c>
      <c r="D263" s="67">
        <v>0.2174</v>
      </c>
      <c r="E263" s="68"/>
      <c r="F263" s="69">
        <v>1</v>
      </c>
      <c r="G263" s="70"/>
      <c r="H263" s="71">
        <v>0.5</v>
      </c>
    </row>
    <row r="264" ht="27.95" customHeight="1" spans="1:8">
      <c r="A264" s="64"/>
      <c r="B264" s="73" t="s">
        <v>518</v>
      </c>
      <c r="C264" s="66" t="s">
        <v>519</v>
      </c>
      <c r="D264" s="67">
        <v>0.2174</v>
      </c>
      <c r="E264" s="68"/>
      <c r="F264" s="69">
        <v>1</v>
      </c>
      <c r="G264" s="70"/>
      <c r="H264" s="71">
        <v>0.5</v>
      </c>
    </row>
    <row r="265" ht="27.95" customHeight="1" spans="1:8">
      <c r="A265" s="64"/>
      <c r="B265" s="73" t="s">
        <v>520</v>
      </c>
      <c r="C265" s="66" t="s">
        <v>521</v>
      </c>
      <c r="D265" s="67">
        <v>0.2174</v>
      </c>
      <c r="E265" s="68"/>
      <c r="F265" s="69">
        <v>1</v>
      </c>
      <c r="G265" s="70"/>
      <c r="H265" s="71">
        <v>0.5</v>
      </c>
    </row>
    <row r="266" ht="27.95" customHeight="1" spans="1:8">
      <c r="A266" s="64"/>
      <c r="B266" s="73" t="s">
        <v>522</v>
      </c>
      <c r="C266" s="66" t="s">
        <v>523</v>
      </c>
      <c r="D266" s="67">
        <v>0.2174</v>
      </c>
      <c r="E266" s="68"/>
      <c r="F266" s="69">
        <v>1</v>
      </c>
      <c r="G266" s="70"/>
      <c r="H266" s="71">
        <v>0.5</v>
      </c>
    </row>
    <row r="267" ht="27.95" customHeight="1" spans="1:8">
      <c r="A267" s="64"/>
      <c r="B267" s="73" t="s">
        <v>524</v>
      </c>
      <c r="C267" s="66" t="s">
        <v>525</v>
      </c>
      <c r="D267" s="67">
        <v>0.2174</v>
      </c>
      <c r="E267" s="68"/>
      <c r="F267" s="69">
        <v>1</v>
      </c>
      <c r="G267" s="70"/>
      <c r="H267" s="71">
        <v>0.5</v>
      </c>
    </row>
    <row r="268" ht="27.95" customHeight="1" spans="1:8">
      <c r="A268" s="64"/>
      <c r="B268" s="73" t="s">
        <v>526</v>
      </c>
      <c r="C268" s="66" t="s">
        <v>527</v>
      </c>
      <c r="D268" s="67">
        <v>0.2174</v>
      </c>
      <c r="E268" s="68"/>
      <c r="F268" s="69">
        <v>1</v>
      </c>
      <c r="G268" s="70"/>
      <c r="H268" s="71">
        <v>0.5</v>
      </c>
    </row>
    <row r="269" ht="27.95" customHeight="1" spans="1:8">
      <c r="A269" s="64"/>
      <c r="B269" s="73" t="s">
        <v>528</v>
      </c>
      <c r="C269" s="66" t="s">
        <v>529</v>
      </c>
      <c r="D269" s="67">
        <v>0.2174</v>
      </c>
      <c r="E269" s="68"/>
      <c r="F269" s="69">
        <v>1</v>
      </c>
      <c r="G269" s="70"/>
      <c r="H269" s="71">
        <v>0.5</v>
      </c>
    </row>
    <row r="270" ht="27.95" customHeight="1" spans="1:8">
      <c r="A270" s="64"/>
      <c r="B270" s="73" t="s">
        <v>530</v>
      </c>
      <c r="C270" s="66" t="s">
        <v>531</v>
      </c>
      <c r="D270" s="67">
        <v>0.2174</v>
      </c>
      <c r="E270" s="68"/>
      <c r="F270" s="69">
        <v>1</v>
      </c>
      <c r="G270" s="70"/>
      <c r="H270" s="71">
        <v>0.5</v>
      </c>
    </row>
    <row r="271" ht="27.95" customHeight="1" spans="1:8">
      <c r="A271" s="64"/>
      <c r="B271" s="73" t="s">
        <v>532</v>
      </c>
      <c r="C271" s="66" t="s">
        <v>533</v>
      </c>
      <c r="D271" s="67">
        <v>0.2174</v>
      </c>
      <c r="E271" s="68"/>
      <c r="F271" s="69">
        <v>1</v>
      </c>
      <c r="G271" s="70"/>
      <c r="H271" s="71">
        <v>0.5</v>
      </c>
    </row>
    <row r="272" ht="27.95" customHeight="1" spans="1:8">
      <c r="A272" s="64"/>
      <c r="B272" s="73" t="s">
        <v>534</v>
      </c>
      <c r="C272" s="66" t="s">
        <v>535</v>
      </c>
      <c r="D272" s="67">
        <v>0.2174</v>
      </c>
      <c r="E272" s="68"/>
      <c r="F272" s="69">
        <v>1</v>
      </c>
      <c r="G272" s="70"/>
      <c r="H272" s="71">
        <v>0.5</v>
      </c>
    </row>
    <row r="273" ht="27.95" customHeight="1" spans="1:8">
      <c r="A273" s="64"/>
      <c r="B273" s="73" t="s">
        <v>536</v>
      </c>
      <c r="C273" s="66" t="s">
        <v>537</v>
      </c>
      <c r="D273" s="67">
        <v>0.2174</v>
      </c>
      <c r="E273" s="68"/>
      <c r="F273" s="69">
        <v>1</v>
      </c>
      <c r="G273" s="70"/>
      <c r="H273" s="71">
        <v>0.5</v>
      </c>
    </row>
    <row r="274" ht="27.95" customHeight="1" spans="1:8">
      <c r="A274" s="64"/>
      <c r="B274" s="73" t="s">
        <v>538</v>
      </c>
      <c r="C274" s="66" t="s">
        <v>539</v>
      </c>
      <c r="D274" s="67">
        <v>0.2174</v>
      </c>
      <c r="E274" s="68"/>
      <c r="F274" s="69">
        <v>1</v>
      </c>
      <c r="G274" s="70"/>
      <c r="H274" s="71">
        <v>0.5</v>
      </c>
    </row>
    <row r="275" ht="27.95" customHeight="1" spans="1:8">
      <c r="A275" s="64"/>
      <c r="B275" s="73" t="s">
        <v>540</v>
      </c>
      <c r="C275" s="66" t="s">
        <v>541</v>
      </c>
      <c r="D275" s="67">
        <v>0.2174</v>
      </c>
      <c r="E275" s="68"/>
      <c r="F275" s="69">
        <v>1</v>
      </c>
      <c r="G275" s="70"/>
      <c r="H275" s="71">
        <v>0.5</v>
      </c>
    </row>
    <row r="276" ht="27.95" customHeight="1" spans="1:8">
      <c r="A276" s="64"/>
      <c r="B276" s="73" t="s">
        <v>542</v>
      </c>
      <c r="C276" s="66" t="s">
        <v>543</v>
      </c>
      <c r="D276" s="67">
        <v>0.2174</v>
      </c>
      <c r="E276" s="68"/>
      <c r="F276" s="69">
        <v>1</v>
      </c>
      <c r="G276" s="70"/>
      <c r="H276" s="71">
        <v>0.5</v>
      </c>
    </row>
    <row r="277" ht="27.95" customHeight="1" spans="1:8">
      <c r="A277" s="64"/>
      <c r="B277" s="73" t="s">
        <v>544</v>
      </c>
      <c r="C277" s="66" t="s">
        <v>545</v>
      </c>
      <c r="D277" s="67">
        <v>0.2174</v>
      </c>
      <c r="E277" s="68"/>
      <c r="F277" s="69">
        <v>1</v>
      </c>
      <c r="G277" s="70"/>
      <c r="H277" s="71">
        <v>0.5</v>
      </c>
    </row>
    <row r="278" ht="27.95" customHeight="1" spans="1:8">
      <c r="A278" s="64"/>
      <c r="B278" s="73" t="s">
        <v>546</v>
      </c>
      <c r="C278" s="66" t="s">
        <v>547</v>
      </c>
      <c r="D278" s="67">
        <v>0.2174</v>
      </c>
      <c r="E278" s="68"/>
      <c r="F278" s="69">
        <v>1</v>
      </c>
      <c r="G278" s="70"/>
      <c r="H278" s="71">
        <v>0.5</v>
      </c>
    </row>
    <row r="279" ht="27.95" customHeight="1" spans="1:8">
      <c r="A279" s="64"/>
      <c r="B279" s="73" t="s">
        <v>548</v>
      </c>
      <c r="C279" s="66" t="s">
        <v>549</v>
      </c>
      <c r="D279" s="67">
        <v>0.2174</v>
      </c>
      <c r="E279" s="68"/>
      <c r="F279" s="69">
        <v>1</v>
      </c>
      <c r="G279" s="70"/>
      <c r="H279" s="71">
        <v>0.5</v>
      </c>
    </row>
    <row r="280" ht="27.95" customHeight="1" spans="1:8">
      <c r="A280" s="64"/>
      <c r="B280" s="73" t="s">
        <v>550</v>
      </c>
      <c r="C280" s="66" t="s">
        <v>551</v>
      </c>
      <c r="D280" s="67">
        <v>0.2174</v>
      </c>
      <c r="E280" s="68"/>
      <c r="F280" s="69">
        <v>1</v>
      </c>
      <c r="G280" s="70"/>
      <c r="H280" s="71">
        <v>0.5</v>
      </c>
    </row>
    <row r="281" ht="27.95" customHeight="1" spans="1:8">
      <c r="A281" s="64"/>
      <c r="B281" s="73" t="s">
        <v>552</v>
      </c>
      <c r="C281" s="66" t="s">
        <v>553</v>
      </c>
      <c r="D281" s="67">
        <v>0.2174</v>
      </c>
      <c r="E281" s="68"/>
      <c r="F281" s="69">
        <v>1</v>
      </c>
      <c r="G281" s="70"/>
      <c r="H281" s="71">
        <v>0.5</v>
      </c>
    </row>
    <row r="282" ht="27.95" customHeight="1" spans="1:8">
      <c r="A282" s="64"/>
      <c r="B282" s="73" t="s">
        <v>554</v>
      </c>
      <c r="C282" s="66" t="s">
        <v>555</v>
      </c>
      <c r="D282" s="67">
        <v>0.2174</v>
      </c>
      <c r="E282" s="68"/>
      <c r="F282" s="69">
        <v>1</v>
      </c>
      <c r="G282" s="70"/>
      <c r="H282" s="71">
        <v>0.5</v>
      </c>
    </row>
    <row r="283" ht="27.95" customHeight="1" spans="1:8">
      <c r="A283" s="64"/>
      <c r="B283" s="73" t="s">
        <v>556</v>
      </c>
      <c r="C283" s="66" t="s">
        <v>557</v>
      </c>
      <c r="D283" s="67">
        <v>0.2174</v>
      </c>
      <c r="E283" s="68"/>
      <c r="F283" s="69">
        <v>1</v>
      </c>
      <c r="G283" s="70"/>
      <c r="H283" s="71">
        <v>0.5</v>
      </c>
    </row>
    <row r="284" ht="27.95" customHeight="1" spans="1:8">
      <c r="A284" s="64"/>
      <c r="B284" s="73" t="s">
        <v>558</v>
      </c>
      <c r="C284" s="66" t="s">
        <v>559</v>
      </c>
      <c r="D284" s="67">
        <v>0.2174</v>
      </c>
      <c r="E284" s="68"/>
      <c r="F284" s="69">
        <v>1</v>
      </c>
      <c r="G284" s="70"/>
      <c r="H284" s="71">
        <v>0.5</v>
      </c>
    </row>
    <row r="285" ht="27.95" customHeight="1" spans="1:8">
      <c r="A285" s="64"/>
      <c r="B285" s="73" t="s">
        <v>560</v>
      </c>
      <c r="C285" s="66" t="s">
        <v>561</v>
      </c>
      <c r="D285" s="67">
        <v>0.2174</v>
      </c>
      <c r="E285" s="68"/>
      <c r="F285" s="69">
        <v>1</v>
      </c>
      <c r="G285" s="70"/>
      <c r="H285" s="71">
        <v>0.5</v>
      </c>
    </row>
    <row r="286" ht="27.95" customHeight="1" spans="1:8">
      <c r="A286" s="64"/>
      <c r="B286" s="73" t="s">
        <v>562</v>
      </c>
      <c r="C286" s="66" t="s">
        <v>563</v>
      </c>
      <c r="D286" s="67">
        <v>0.2174</v>
      </c>
      <c r="E286" s="68"/>
      <c r="F286" s="69">
        <v>1</v>
      </c>
      <c r="G286" s="70"/>
      <c r="H286" s="71">
        <v>0.5</v>
      </c>
    </row>
    <row r="287" ht="27.95" customHeight="1" spans="1:8">
      <c r="A287" s="64"/>
      <c r="B287" s="73" t="s">
        <v>564</v>
      </c>
      <c r="C287" s="66" t="s">
        <v>565</v>
      </c>
      <c r="D287" s="67">
        <v>0.2174</v>
      </c>
      <c r="E287" s="68"/>
      <c r="F287" s="69">
        <v>1</v>
      </c>
      <c r="G287" s="70"/>
      <c r="H287" s="71">
        <v>0.5</v>
      </c>
    </row>
    <row r="288" ht="27.95" customHeight="1" spans="1:8">
      <c r="A288" s="64"/>
      <c r="B288" s="73" t="s">
        <v>566</v>
      </c>
      <c r="C288" s="66" t="s">
        <v>567</v>
      </c>
      <c r="D288" s="67">
        <v>0.2174</v>
      </c>
      <c r="E288" s="68"/>
      <c r="F288" s="69">
        <v>1</v>
      </c>
      <c r="G288" s="70"/>
      <c r="H288" s="71">
        <v>0.5</v>
      </c>
    </row>
    <row r="289" ht="27.95" customHeight="1" spans="1:8">
      <c r="A289" s="64"/>
      <c r="B289" s="73" t="s">
        <v>568</v>
      </c>
      <c r="C289" s="66" t="s">
        <v>569</v>
      </c>
      <c r="D289" s="67">
        <v>0.2174</v>
      </c>
      <c r="E289" s="68"/>
      <c r="F289" s="69">
        <v>1</v>
      </c>
      <c r="G289" s="70"/>
      <c r="H289" s="71">
        <v>0.5</v>
      </c>
    </row>
    <row r="290" ht="27.95" customHeight="1" spans="1:8">
      <c r="A290" s="64"/>
      <c r="B290" s="73" t="s">
        <v>570</v>
      </c>
      <c r="C290" s="66" t="s">
        <v>571</v>
      </c>
      <c r="D290" s="67">
        <v>0.2174</v>
      </c>
      <c r="E290" s="68"/>
      <c r="F290" s="69">
        <v>1</v>
      </c>
      <c r="G290" s="70"/>
      <c r="H290" s="71">
        <v>0.5</v>
      </c>
    </row>
    <row r="291" ht="27.95" customHeight="1" spans="1:8">
      <c r="A291" s="64"/>
      <c r="B291" s="73" t="s">
        <v>572</v>
      </c>
      <c r="C291" s="66" t="s">
        <v>573</v>
      </c>
      <c r="D291" s="67">
        <v>0.2174</v>
      </c>
      <c r="E291" s="68"/>
      <c r="F291" s="69">
        <v>1</v>
      </c>
      <c r="G291" s="70"/>
      <c r="H291" s="71">
        <v>0.5</v>
      </c>
    </row>
    <row r="292" ht="27.95" customHeight="1" spans="1:8">
      <c r="A292" s="64"/>
      <c r="B292" s="73" t="s">
        <v>574</v>
      </c>
      <c r="C292" s="66" t="s">
        <v>575</v>
      </c>
      <c r="D292" s="67">
        <v>0.2174</v>
      </c>
      <c r="E292" s="68"/>
      <c r="F292" s="69">
        <v>1</v>
      </c>
      <c r="G292" s="70"/>
      <c r="H292" s="71">
        <v>0.5</v>
      </c>
    </row>
    <row r="293" ht="27.95" customHeight="1" spans="1:8">
      <c r="A293" s="64"/>
      <c r="B293" s="73" t="s">
        <v>576</v>
      </c>
      <c r="C293" s="66" t="s">
        <v>577</v>
      </c>
      <c r="D293" s="67">
        <v>0.2174</v>
      </c>
      <c r="E293" s="68"/>
      <c r="F293" s="69">
        <v>1</v>
      </c>
      <c r="G293" s="70"/>
      <c r="H293" s="71">
        <v>0.5</v>
      </c>
    </row>
    <row r="294" ht="27.95" customHeight="1" spans="1:8">
      <c r="A294" s="64"/>
      <c r="B294" s="73" t="s">
        <v>578</v>
      </c>
      <c r="C294" s="66" t="s">
        <v>579</v>
      </c>
      <c r="D294" s="67">
        <v>0.2174</v>
      </c>
      <c r="E294" s="68"/>
      <c r="F294" s="69">
        <v>1</v>
      </c>
      <c r="G294" s="70"/>
      <c r="H294" s="71">
        <v>0.5</v>
      </c>
    </row>
    <row r="295" ht="27.95" customHeight="1" spans="1:8">
      <c r="A295" s="64"/>
      <c r="B295" s="73" t="s">
        <v>580</v>
      </c>
      <c r="C295" s="66" t="s">
        <v>581</v>
      </c>
      <c r="D295" s="67">
        <v>0.2174</v>
      </c>
      <c r="E295" s="68"/>
      <c r="F295" s="69">
        <v>1</v>
      </c>
      <c r="G295" s="70"/>
      <c r="H295" s="71">
        <v>0.5</v>
      </c>
    </row>
    <row r="296" ht="27.95" customHeight="1" spans="1:8">
      <c r="A296" s="64"/>
      <c r="B296" s="73" t="s">
        <v>582</v>
      </c>
      <c r="C296" s="66" t="s">
        <v>583</v>
      </c>
      <c r="D296" s="67">
        <v>0.2174</v>
      </c>
      <c r="E296" s="68"/>
      <c r="F296" s="69">
        <v>1</v>
      </c>
      <c r="G296" s="70"/>
      <c r="H296" s="71">
        <v>0.5</v>
      </c>
    </row>
    <row r="297" ht="27.95" customHeight="1" spans="1:8">
      <c r="A297" s="64"/>
      <c r="B297" s="73" t="s">
        <v>584</v>
      </c>
      <c r="C297" s="66" t="s">
        <v>585</v>
      </c>
      <c r="D297" s="67">
        <v>0.2174</v>
      </c>
      <c r="E297" s="68"/>
      <c r="F297" s="69">
        <v>1</v>
      </c>
      <c r="G297" s="70"/>
      <c r="H297" s="71">
        <v>0.5</v>
      </c>
    </row>
    <row r="298" ht="27.95" customHeight="1" spans="1:8">
      <c r="A298" s="64"/>
      <c r="B298" s="73" t="s">
        <v>586</v>
      </c>
      <c r="C298" s="66" t="s">
        <v>587</v>
      </c>
      <c r="D298" s="67">
        <v>0.2174</v>
      </c>
      <c r="E298" s="68"/>
      <c r="F298" s="69">
        <v>1</v>
      </c>
      <c r="G298" s="70"/>
      <c r="H298" s="71">
        <v>0.5</v>
      </c>
    </row>
    <row r="299" ht="27.95" customHeight="1" spans="1:8">
      <c r="A299" s="64"/>
      <c r="B299" s="73" t="s">
        <v>588</v>
      </c>
      <c r="C299" s="66" t="s">
        <v>589</v>
      </c>
      <c r="D299" s="67">
        <v>0.2174</v>
      </c>
      <c r="E299" s="68"/>
      <c r="F299" s="69">
        <v>1</v>
      </c>
      <c r="G299" s="70"/>
      <c r="H299" s="71">
        <v>0.5</v>
      </c>
    </row>
    <row r="300" ht="27.95" customHeight="1" spans="1:8">
      <c r="A300" s="64"/>
      <c r="B300" s="73" t="s">
        <v>590</v>
      </c>
      <c r="C300" s="66" t="s">
        <v>591</v>
      </c>
      <c r="D300" s="67">
        <v>0.2174</v>
      </c>
      <c r="E300" s="68"/>
      <c r="F300" s="69">
        <v>1</v>
      </c>
      <c r="G300" s="70"/>
      <c r="H300" s="71">
        <v>0.5</v>
      </c>
    </row>
    <row r="301" ht="27.95" customHeight="1" spans="1:8">
      <c r="A301" s="64"/>
      <c r="B301" s="73" t="s">
        <v>592</v>
      </c>
      <c r="C301" s="66" t="s">
        <v>593</v>
      </c>
      <c r="D301" s="67">
        <v>0.2174</v>
      </c>
      <c r="E301" s="68"/>
      <c r="F301" s="69">
        <v>1</v>
      </c>
      <c r="G301" s="70"/>
      <c r="H301" s="71">
        <v>0.5</v>
      </c>
    </row>
    <row r="302" ht="27.95" customHeight="1" spans="1:8">
      <c r="A302" s="64"/>
      <c r="B302" s="73" t="s">
        <v>594</v>
      </c>
      <c r="C302" s="66" t="s">
        <v>595</v>
      </c>
      <c r="D302" s="67">
        <v>0.2174</v>
      </c>
      <c r="E302" s="68"/>
      <c r="F302" s="69">
        <v>1</v>
      </c>
      <c r="G302" s="70"/>
      <c r="H302" s="71">
        <v>0.5</v>
      </c>
    </row>
    <row r="303" ht="27.95" customHeight="1" spans="1:8">
      <c r="A303" s="64"/>
      <c r="B303" s="73" t="s">
        <v>596</v>
      </c>
      <c r="C303" s="66" t="s">
        <v>597</v>
      </c>
      <c r="D303" s="67">
        <v>0.2174</v>
      </c>
      <c r="E303" s="68"/>
      <c r="F303" s="69">
        <v>1</v>
      </c>
      <c r="G303" s="70"/>
      <c r="H303" s="71">
        <v>0.5</v>
      </c>
    </row>
    <row r="304" ht="27.95" customHeight="1" spans="1:8">
      <c r="A304" s="64"/>
      <c r="B304" s="73" t="s">
        <v>598</v>
      </c>
      <c r="C304" s="66" t="s">
        <v>599</v>
      </c>
      <c r="D304" s="67">
        <v>0.2174</v>
      </c>
      <c r="E304" s="68"/>
      <c r="F304" s="69">
        <v>1</v>
      </c>
      <c r="G304" s="70"/>
      <c r="H304" s="71">
        <v>0.5</v>
      </c>
    </row>
    <row r="305" ht="27.95" customHeight="1" spans="1:8">
      <c r="A305" s="64"/>
      <c r="B305" s="73" t="s">
        <v>600</v>
      </c>
      <c r="C305" s="66" t="s">
        <v>601</v>
      </c>
      <c r="D305" s="67">
        <v>0.2174</v>
      </c>
      <c r="E305" s="68"/>
      <c r="F305" s="69">
        <v>1</v>
      </c>
      <c r="G305" s="70"/>
      <c r="H305" s="71">
        <v>0.5</v>
      </c>
    </row>
    <row r="306" ht="27.95" customHeight="1" spans="1:8">
      <c r="A306" s="64"/>
      <c r="B306" s="73" t="s">
        <v>602</v>
      </c>
      <c r="C306" s="66" t="s">
        <v>603</v>
      </c>
      <c r="D306" s="67">
        <v>0.2174</v>
      </c>
      <c r="E306" s="68"/>
      <c r="F306" s="69">
        <v>1</v>
      </c>
      <c r="G306" s="70"/>
      <c r="H306" s="71">
        <v>0.5</v>
      </c>
    </row>
    <row r="307" ht="27.95" customHeight="1" spans="1:8">
      <c r="A307" s="64"/>
      <c r="B307" s="73" t="s">
        <v>604</v>
      </c>
      <c r="C307" s="66" t="s">
        <v>605</v>
      </c>
      <c r="D307" s="67">
        <v>0.2174</v>
      </c>
      <c r="E307" s="68"/>
      <c r="F307" s="69">
        <v>1</v>
      </c>
      <c r="G307" s="70"/>
      <c r="H307" s="71">
        <v>0.5</v>
      </c>
    </row>
    <row r="308" ht="27.95" customHeight="1" spans="1:8">
      <c r="A308" s="64"/>
      <c r="B308" s="73" t="s">
        <v>606</v>
      </c>
      <c r="C308" s="66" t="s">
        <v>607</v>
      </c>
      <c r="D308" s="67">
        <v>0.2174</v>
      </c>
      <c r="E308" s="68"/>
      <c r="F308" s="69">
        <v>1</v>
      </c>
      <c r="G308" s="70"/>
      <c r="H308" s="71">
        <v>0.5</v>
      </c>
    </row>
    <row r="309" ht="27.95" customHeight="1" spans="1:8">
      <c r="A309" s="64"/>
      <c r="B309" s="73" t="s">
        <v>608</v>
      </c>
      <c r="C309" s="66" t="s">
        <v>609</v>
      </c>
      <c r="D309" s="67">
        <v>0.2174</v>
      </c>
      <c r="E309" s="68"/>
      <c r="F309" s="69">
        <v>1</v>
      </c>
      <c r="G309" s="70"/>
      <c r="H309" s="71">
        <v>0.5</v>
      </c>
    </row>
    <row r="310" ht="27.95" customHeight="1" spans="1:8">
      <c r="A310" s="64"/>
      <c r="B310" s="73" t="s">
        <v>610</v>
      </c>
      <c r="C310" s="66" t="s">
        <v>611</v>
      </c>
      <c r="D310" s="67">
        <v>0.2174</v>
      </c>
      <c r="E310" s="68"/>
      <c r="F310" s="69">
        <v>1</v>
      </c>
      <c r="G310" s="70"/>
      <c r="H310" s="71">
        <v>0.5</v>
      </c>
    </row>
    <row r="311" ht="27.95" customHeight="1" spans="1:8">
      <c r="A311" s="64"/>
      <c r="B311" s="73" t="s">
        <v>612</v>
      </c>
      <c r="C311" s="66" t="s">
        <v>613</v>
      </c>
      <c r="D311" s="67">
        <v>0.2174</v>
      </c>
      <c r="E311" s="68"/>
      <c r="F311" s="69">
        <v>1</v>
      </c>
      <c r="G311" s="70"/>
      <c r="H311" s="71">
        <v>0.5</v>
      </c>
    </row>
    <row r="312" ht="27.95" customHeight="1" spans="1:8">
      <c r="A312" s="64"/>
      <c r="B312" s="73" t="s">
        <v>614</v>
      </c>
      <c r="C312" s="66" t="s">
        <v>615</v>
      </c>
      <c r="D312" s="67">
        <v>0.2174</v>
      </c>
      <c r="E312" s="68"/>
      <c r="F312" s="69">
        <v>1</v>
      </c>
      <c r="G312" s="70"/>
      <c r="H312" s="71">
        <v>0.5</v>
      </c>
    </row>
    <row r="313" ht="27.95" customHeight="1" spans="1:8">
      <c r="A313" s="64"/>
      <c r="B313" s="73" t="s">
        <v>616</v>
      </c>
      <c r="C313" s="66" t="s">
        <v>617</v>
      </c>
      <c r="D313" s="67">
        <v>0.2174</v>
      </c>
      <c r="E313" s="68"/>
      <c r="F313" s="69">
        <v>1</v>
      </c>
      <c r="G313" s="70"/>
      <c r="H313" s="71">
        <v>0.5</v>
      </c>
    </row>
    <row r="314" ht="27.95" customHeight="1" spans="1:8">
      <c r="A314" s="64"/>
      <c r="B314" s="73" t="s">
        <v>618</v>
      </c>
      <c r="C314" s="66" t="s">
        <v>619</v>
      </c>
      <c r="D314" s="67">
        <v>0.2174</v>
      </c>
      <c r="E314" s="68"/>
      <c r="F314" s="69">
        <v>1</v>
      </c>
      <c r="G314" s="70"/>
      <c r="H314" s="71">
        <v>0.5</v>
      </c>
    </row>
    <row r="315" ht="27.95" customHeight="1" spans="1:8">
      <c r="A315" s="64"/>
      <c r="B315" s="73" t="s">
        <v>620</v>
      </c>
      <c r="C315" s="66" t="s">
        <v>621</v>
      </c>
      <c r="D315" s="67">
        <v>0.2174</v>
      </c>
      <c r="E315" s="68"/>
      <c r="F315" s="69">
        <v>1</v>
      </c>
      <c r="G315" s="70"/>
      <c r="H315" s="71">
        <v>0.5</v>
      </c>
    </row>
    <row r="316" ht="27.95" customHeight="1" spans="1:8">
      <c r="A316" s="64"/>
      <c r="B316" s="73" t="s">
        <v>622</v>
      </c>
      <c r="C316" s="66" t="s">
        <v>623</v>
      </c>
      <c r="D316" s="67">
        <v>0.2174</v>
      </c>
      <c r="E316" s="68"/>
      <c r="F316" s="69">
        <v>1</v>
      </c>
      <c r="G316" s="70"/>
      <c r="H316" s="71">
        <v>0.5</v>
      </c>
    </row>
    <row r="317" ht="27.95" customHeight="1" spans="1:8">
      <c r="A317" s="64"/>
      <c r="B317" s="73" t="s">
        <v>624</v>
      </c>
      <c r="C317" s="66" t="s">
        <v>625</v>
      </c>
      <c r="D317" s="67">
        <v>0.2174</v>
      </c>
      <c r="E317" s="68"/>
      <c r="F317" s="69">
        <v>1</v>
      </c>
      <c r="G317" s="70"/>
      <c r="H317" s="71">
        <v>0.5</v>
      </c>
    </row>
    <row r="318" ht="27.95" customHeight="1" spans="1:8">
      <c r="A318" s="64"/>
      <c r="B318" s="73" t="s">
        <v>626</v>
      </c>
      <c r="C318" s="66" t="s">
        <v>627</v>
      </c>
      <c r="D318" s="67">
        <v>0.2174</v>
      </c>
      <c r="E318" s="68"/>
      <c r="F318" s="69">
        <v>1</v>
      </c>
      <c r="G318" s="70"/>
      <c r="H318" s="71">
        <v>0.5</v>
      </c>
    </row>
    <row r="319" ht="27.95" customHeight="1" spans="1:8">
      <c r="A319" s="64"/>
      <c r="B319" s="73" t="s">
        <v>628</v>
      </c>
      <c r="C319" s="66" t="s">
        <v>629</v>
      </c>
      <c r="D319" s="67">
        <v>0.2174</v>
      </c>
      <c r="E319" s="68"/>
      <c r="F319" s="69">
        <v>1</v>
      </c>
      <c r="G319" s="70"/>
      <c r="H319" s="71">
        <v>0.5</v>
      </c>
    </row>
    <row r="320" ht="27.95" customHeight="1" spans="1:8">
      <c r="A320" s="64"/>
      <c r="B320" s="73" t="s">
        <v>630</v>
      </c>
      <c r="C320" s="66" t="s">
        <v>631</v>
      </c>
      <c r="D320" s="67">
        <v>0.2174</v>
      </c>
      <c r="E320" s="68"/>
      <c r="F320" s="69">
        <v>1</v>
      </c>
      <c r="G320" s="70"/>
      <c r="H320" s="71">
        <v>0.5</v>
      </c>
    </row>
    <row r="321" ht="27.95" customHeight="1" spans="1:8">
      <c r="A321" s="64"/>
      <c r="B321" s="73" t="s">
        <v>632</v>
      </c>
      <c r="C321" s="66" t="s">
        <v>633</v>
      </c>
      <c r="D321" s="67">
        <v>0.2174</v>
      </c>
      <c r="E321" s="68"/>
      <c r="F321" s="69">
        <v>1</v>
      </c>
      <c r="G321" s="70"/>
      <c r="H321" s="71">
        <v>0.5</v>
      </c>
    </row>
    <row r="322" ht="27.95" customHeight="1" spans="1:8">
      <c r="A322" s="64"/>
      <c r="B322" s="73" t="s">
        <v>634</v>
      </c>
      <c r="C322" s="66" t="s">
        <v>635</v>
      </c>
      <c r="D322" s="67">
        <v>0.2174</v>
      </c>
      <c r="E322" s="68"/>
      <c r="F322" s="69">
        <v>1</v>
      </c>
      <c r="G322" s="70"/>
      <c r="H322" s="71">
        <v>0.5</v>
      </c>
    </row>
    <row r="323" ht="27.95" customHeight="1" spans="1:8">
      <c r="A323" s="64"/>
      <c r="B323" s="73" t="s">
        <v>636</v>
      </c>
      <c r="C323" s="66" t="s">
        <v>637</v>
      </c>
      <c r="D323" s="67">
        <v>0.2174</v>
      </c>
      <c r="E323" s="68"/>
      <c r="F323" s="69">
        <v>1</v>
      </c>
      <c r="G323" s="70"/>
      <c r="H323" s="71">
        <v>0.5</v>
      </c>
    </row>
    <row r="324" ht="27.95" customHeight="1" spans="1:8">
      <c r="A324" s="64"/>
      <c r="B324" s="73" t="s">
        <v>638</v>
      </c>
      <c r="C324" s="66" t="s">
        <v>639</v>
      </c>
      <c r="D324" s="67">
        <v>0.2174</v>
      </c>
      <c r="E324" s="68"/>
      <c r="F324" s="69">
        <v>1</v>
      </c>
      <c r="G324" s="70"/>
      <c r="H324" s="71">
        <v>0.5</v>
      </c>
    </row>
    <row r="325" ht="27.95" customHeight="1" spans="1:8">
      <c r="A325" s="64"/>
      <c r="B325" s="73" t="s">
        <v>640</v>
      </c>
      <c r="C325" s="66" t="s">
        <v>641</v>
      </c>
      <c r="D325" s="67">
        <v>0.2174</v>
      </c>
      <c r="E325" s="68"/>
      <c r="F325" s="69">
        <v>1</v>
      </c>
      <c r="G325" s="70"/>
      <c r="H325" s="71">
        <v>0.5</v>
      </c>
    </row>
    <row r="326" ht="27.95" customHeight="1" spans="1:8">
      <c r="A326" s="64"/>
      <c r="B326" s="103" t="s">
        <v>642</v>
      </c>
      <c r="C326" s="104" t="s">
        <v>643</v>
      </c>
      <c r="D326" s="67">
        <v>0.7826</v>
      </c>
      <c r="E326" s="68"/>
      <c r="F326" s="105">
        <v>3</v>
      </c>
      <c r="G326" s="106"/>
      <c r="H326" s="107">
        <v>1.8</v>
      </c>
    </row>
    <row r="327" ht="27.95" customHeight="1" spans="1:8">
      <c r="A327" s="64"/>
      <c r="B327" s="73" t="s">
        <v>644</v>
      </c>
      <c r="C327" s="66" t="s">
        <v>645</v>
      </c>
      <c r="D327" s="67">
        <v>0.4348</v>
      </c>
      <c r="E327" s="68"/>
      <c r="F327" s="69">
        <v>1</v>
      </c>
      <c r="G327" s="70">
        <v>1</v>
      </c>
      <c r="H327" s="71">
        <v>0.5</v>
      </c>
    </row>
    <row r="328" ht="27.95" customHeight="1" spans="1:8">
      <c r="A328" s="64"/>
      <c r="B328" s="65">
        <v>2459</v>
      </c>
      <c r="C328" s="66" t="s">
        <v>646</v>
      </c>
      <c r="D328" s="67">
        <v>0.4348</v>
      </c>
      <c r="E328" s="68"/>
      <c r="F328" s="69">
        <v>1</v>
      </c>
      <c r="G328" s="70">
        <v>1</v>
      </c>
      <c r="H328" s="71">
        <v>0.5</v>
      </c>
    </row>
    <row r="329" ht="27.95" customHeight="1" spans="1:8">
      <c r="A329" s="64"/>
      <c r="B329" s="103" t="s">
        <v>647</v>
      </c>
      <c r="C329" s="104" t="s">
        <v>648</v>
      </c>
      <c r="D329" s="67">
        <v>0.087</v>
      </c>
      <c r="E329" s="68"/>
      <c r="F329" s="105">
        <v>0.3</v>
      </c>
      <c r="G329" s="106"/>
      <c r="H329" s="107">
        <v>0.2</v>
      </c>
    </row>
    <row r="330" ht="27.95" customHeight="1" spans="1:8">
      <c r="A330" s="64"/>
      <c r="B330" s="103" t="s">
        <v>649</v>
      </c>
      <c r="C330" s="104" t="s">
        <v>650</v>
      </c>
      <c r="D330" s="67">
        <v>0.0435</v>
      </c>
      <c r="E330" s="68"/>
      <c r="F330" s="105">
        <v>0.2</v>
      </c>
      <c r="G330" s="106"/>
      <c r="H330" s="107">
        <v>0.1</v>
      </c>
    </row>
    <row r="331" ht="27.95" customHeight="1" spans="1:8">
      <c r="A331" s="64"/>
      <c r="B331" s="103" t="s">
        <v>651</v>
      </c>
      <c r="C331" s="104" t="s">
        <v>652</v>
      </c>
      <c r="D331" s="67">
        <v>0.0435</v>
      </c>
      <c r="E331" s="68"/>
      <c r="F331" s="105">
        <v>0.2</v>
      </c>
      <c r="G331" s="106"/>
      <c r="H331" s="107">
        <v>0.1</v>
      </c>
    </row>
    <row r="332" ht="27.95" customHeight="1" spans="1:8">
      <c r="A332" s="64"/>
      <c r="B332" s="103" t="s">
        <v>653</v>
      </c>
      <c r="C332" s="104" t="s">
        <v>654</v>
      </c>
      <c r="D332" s="67">
        <v>4.5217</v>
      </c>
      <c r="E332" s="68"/>
      <c r="F332" s="105">
        <v>15</v>
      </c>
      <c r="G332" s="106"/>
      <c r="H332" s="107">
        <v>10.4</v>
      </c>
    </row>
    <row r="333" ht="27.95" customHeight="1" spans="1:8">
      <c r="A333" s="64"/>
      <c r="B333" s="65">
        <v>6931347136913</v>
      </c>
      <c r="C333" s="66" t="s">
        <v>655</v>
      </c>
      <c r="D333" s="67">
        <v>0.3478</v>
      </c>
      <c r="E333" s="68"/>
      <c r="F333" s="69">
        <v>0.8</v>
      </c>
      <c r="G333" s="70"/>
      <c r="H333" s="71">
        <v>0.4</v>
      </c>
    </row>
    <row r="334" ht="27.95" customHeight="1" spans="1:8">
      <c r="A334" s="64"/>
      <c r="B334" s="65">
        <v>6970932052009</v>
      </c>
      <c r="C334" s="66" t="s">
        <v>656</v>
      </c>
      <c r="D334" s="67">
        <v>0.8696</v>
      </c>
      <c r="E334" s="68"/>
      <c r="F334" s="69">
        <v>2</v>
      </c>
      <c r="G334" s="70"/>
      <c r="H334" s="71">
        <v>1.5</v>
      </c>
    </row>
    <row r="335" ht="27.95" customHeight="1" spans="1:8">
      <c r="A335" s="64"/>
      <c r="B335" s="65">
        <v>6970932052405</v>
      </c>
      <c r="C335" s="66" t="s">
        <v>657</v>
      </c>
      <c r="D335" s="67">
        <v>0.8696</v>
      </c>
      <c r="E335" s="68"/>
      <c r="F335" s="69">
        <v>2</v>
      </c>
      <c r="G335" s="70">
        <v>2</v>
      </c>
      <c r="H335" s="71">
        <v>1.5</v>
      </c>
    </row>
    <row r="336" ht="27.95" customHeight="1" spans="1:8">
      <c r="A336" s="74"/>
      <c r="B336" s="65">
        <v>6970932051996</v>
      </c>
      <c r="C336" s="66" t="s">
        <v>658</v>
      </c>
      <c r="D336" s="67">
        <v>0.8696</v>
      </c>
      <c r="E336" s="68"/>
      <c r="F336" s="69">
        <v>2</v>
      </c>
      <c r="G336" s="70">
        <v>2</v>
      </c>
      <c r="H336" s="71">
        <v>1.5</v>
      </c>
    </row>
    <row r="337" ht="27.95" customHeight="1" spans="1:8">
      <c r="A337" s="75"/>
      <c r="B337" s="65">
        <v>6970932052375</v>
      </c>
      <c r="C337" s="66" t="s">
        <v>658</v>
      </c>
      <c r="D337" s="67">
        <v>0.8696</v>
      </c>
      <c r="E337" s="68"/>
      <c r="F337" s="69">
        <v>2</v>
      </c>
      <c r="G337" s="70">
        <v>2</v>
      </c>
      <c r="H337" s="71">
        <v>1.5</v>
      </c>
    </row>
    <row r="338" ht="27.95" customHeight="1" spans="1:8">
      <c r="A338" s="64"/>
      <c r="B338" s="65">
        <v>6970932052351</v>
      </c>
      <c r="C338" s="66" t="s">
        <v>659</v>
      </c>
      <c r="D338" s="67">
        <v>0.8696</v>
      </c>
      <c r="E338" s="68"/>
      <c r="F338" s="69">
        <v>2</v>
      </c>
      <c r="G338" s="70">
        <v>2</v>
      </c>
      <c r="H338" s="71">
        <v>1.5</v>
      </c>
    </row>
    <row r="339" ht="27.95" customHeight="1" spans="1:8">
      <c r="A339" s="64"/>
      <c r="B339" s="65">
        <v>6970932052504</v>
      </c>
      <c r="C339" s="66" t="s">
        <v>660</v>
      </c>
      <c r="D339" s="67">
        <v>0.8696</v>
      </c>
      <c r="E339" s="68"/>
      <c r="F339" s="69">
        <v>2</v>
      </c>
      <c r="G339" s="70">
        <v>2</v>
      </c>
      <c r="H339" s="71">
        <v>1.5</v>
      </c>
    </row>
    <row r="340" ht="27.95" customHeight="1" spans="1:8">
      <c r="A340" s="64"/>
      <c r="B340" s="73" t="s">
        <v>661</v>
      </c>
      <c r="C340" s="66" t="s">
        <v>662</v>
      </c>
      <c r="D340" s="67">
        <v>1.5217</v>
      </c>
      <c r="E340" s="68"/>
      <c r="F340" s="69">
        <v>3.5</v>
      </c>
      <c r="G340" s="70">
        <v>3.5</v>
      </c>
      <c r="H340" s="71">
        <v>2.5</v>
      </c>
    </row>
    <row r="341" ht="27.95" customHeight="1" spans="1:8">
      <c r="A341" s="64"/>
      <c r="B341" s="73" t="s">
        <v>663</v>
      </c>
      <c r="C341" s="66" t="s">
        <v>662</v>
      </c>
      <c r="D341" s="67">
        <v>1.7391</v>
      </c>
      <c r="E341" s="68"/>
      <c r="F341" s="69">
        <v>4</v>
      </c>
      <c r="G341" s="70">
        <v>4</v>
      </c>
      <c r="H341" s="71">
        <v>2.5</v>
      </c>
    </row>
    <row r="342" ht="27.95" customHeight="1" spans="1:8">
      <c r="A342" s="64"/>
      <c r="B342" s="73" t="s">
        <v>664</v>
      </c>
      <c r="C342" s="66" t="s">
        <v>665</v>
      </c>
      <c r="D342" s="67">
        <v>1.3043</v>
      </c>
      <c r="E342" s="68"/>
      <c r="F342" s="69">
        <v>3</v>
      </c>
      <c r="G342" s="70">
        <v>3</v>
      </c>
      <c r="H342" s="71">
        <v>2.5</v>
      </c>
    </row>
    <row r="343" ht="27.95" customHeight="1" spans="1:8">
      <c r="A343" s="64"/>
      <c r="B343" s="73" t="s">
        <v>666</v>
      </c>
      <c r="C343" s="66" t="s">
        <v>667</v>
      </c>
      <c r="D343" s="67">
        <v>1.087</v>
      </c>
      <c r="E343" s="68"/>
      <c r="F343" s="69">
        <v>2.5</v>
      </c>
      <c r="G343" s="70">
        <v>2.5</v>
      </c>
      <c r="H343" s="71">
        <v>1.5</v>
      </c>
    </row>
    <row r="344" ht="27.95" customHeight="1" spans="1:8">
      <c r="A344" s="74"/>
      <c r="B344" s="73" t="s">
        <v>668</v>
      </c>
      <c r="C344" s="66" t="s">
        <v>669</v>
      </c>
      <c r="D344" s="67">
        <v>0.087</v>
      </c>
      <c r="E344" s="68"/>
      <c r="F344" s="69">
        <v>0.2</v>
      </c>
      <c r="G344" s="70">
        <v>0.2</v>
      </c>
      <c r="H344" s="71">
        <v>0.1</v>
      </c>
    </row>
    <row r="345" ht="27.95" customHeight="1" spans="1:8">
      <c r="A345" s="75"/>
      <c r="B345" s="73" t="s">
        <v>670</v>
      </c>
      <c r="C345" s="66" t="s">
        <v>669</v>
      </c>
      <c r="D345" s="67">
        <v>0.6087</v>
      </c>
      <c r="E345" s="68"/>
      <c r="F345" s="69">
        <v>2</v>
      </c>
      <c r="G345" s="70"/>
      <c r="H345" s="71">
        <v>1.4</v>
      </c>
    </row>
    <row r="346" ht="27.95" customHeight="1" spans="1:8">
      <c r="A346" s="64"/>
      <c r="B346" s="65">
        <v>6970932052016</v>
      </c>
      <c r="C346" s="66" t="s">
        <v>671</v>
      </c>
      <c r="D346" s="67">
        <v>0.8696</v>
      </c>
      <c r="E346" s="68"/>
      <c r="F346" s="69">
        <v>2</v>
      </c>
      <c r="G346" s="70">
        <v>2</v>
      </c>
      <c r="H346" s="71">
        <v>1.5</v>
      </c>
    </row>
    <row r="347" ht="27.95" customHeight="1" spans="1:8">
      <c r="A347" s="64"/>
      <c r="B347" s="65">
        <v>6970932052382</v>
      </c>
      <c r="C347" s="66" t="s">
        <v>672</v>
      </c>
      <c r="D347" s="67">
        <v>0.8696</v>
      </c>
      <c r="E347" s="68"/>
      <c r="F347" s="69">
        <v>2</v>
      </c>
      <c r="G347" s="70">
        <v>2</v>
      </c>
      <c r="H347" s="71">
        <v>1.5</v>
      </c>
    </row>
    <row r="348" ht="27.95" customHeight="1" spans="1:8">
      <c r="A348" s="64"/>
      <c r="B348" s="103" t="s">
        <v>673</v>
      </c>
      <c r="C348" s="104" t="s">
        <v>674</v>
      </c>
      <c r="D348" s="67">
        <v>0.6957</v>
      </c>
      <c r="E348" s="68"/>
      <c r="F348" s="105">
        <v>2.5</v>
      </c>
      <c r="G348" s="106"/>
      <c r="H348" s="107">
        <v>1.6</v>
      </c>
    </row>
    <row r="349" ht="27.95" customHeight="1" spans="1:8">
      <c r="A349" s="64"/>
      <c r="B349" s="103" t="s">
        <v>675</v>
      </c>
      <c r="C349" s="104" t="s">
        <v>676</v>
      </c>
      <c r="D349" s="67">
        <v>1.3478</v>
      </c>
      <c r="E349" s="68"/>
      <c r="F349" s="105">
        <v>5</v>
      </c>
      <c r="G349" s="106"/>
      <c r="H349" s="107">
        <v>3.1</v>
      </c>
    </row>
    <row r="350" ht="27.95" customHeight="1" spans="1:8">
      <c r="A350" s="64"/>
      <c r="B350" s="103" t="s">
        <v>677</v>
      </c>
      <c r="C350" s="104" t="s">
        <v>678</v>
      </c>
      <c r="D350" s="67">
        <v>0.2609</v>
      </c>
      <c r="E350" s="68"/>
      <c r="F350" s="105">
        <v>1</v>
      </c>
      <c r="G350" s="106"/>
      <c r="H350" s="107">
        <v>0.6</v>
      </c>
    </row>
    <row r="351" ht="27.95" customHeight="1" spans="1:8">
      <c r="A351" s="64"/>
      <c r="B351" s="73" t="s">
        <v>679</v>
      </c>
      <c r="C351" s="66" t="s">
        <v>680</v>
      </c>
      <c r="D351" s="67">
        <v>0.6522</v>
      </c>
      <c r="E351" s="68"/>
      <c r="F351" s="69">
        <v>2</v>
      </c>
      <c r="G351" s="70"/>
      <c r="H351" s="71">
        <v>1.5</v>
      </c>
    </row>
    <row r="352" ht="27.95" customHeight="1" spans="1:8">
      <c r="A352" s="64"/>
      <c r="B352" s="103" t="s">
        <v>681</v>
      </c>
      <c r="C352" s="104" t="s">
        <v>682</v>
      </c>
      <c r="D352" s="67">
        <v>0.5217</v>
      </c>
      <c r="E352" s="68"/>
      <c r="F352" s="105">
        <v>2</v>
      </c>
      <c r="G352" s="106"/>
      <c r="H352" s="107">
        <v>1.2</v>
      </c>
    </row>
    <row r="353" ht="27.95" customHeight="1" spans="1:8">
      <c r="A353" s="64"/>
      <c r="B353" s="103" t="s">
        <v>683</v>
      </c>
      <c r="C353" s="104" t="s">
        <v>684</v>
      </c>
      <c r="D353" s="67">
        <v>0.6087</v>
      </c>
      <c r="E353" s="68"/>
      <c r="F353" s="105">
        <v>2.5</v>
      </c>
      <c r="G353" s="106"/>
      <c r="H353" s="107">
        <v>1.4</v>
      </c>
    </row>
    <row r="354" ht="27.95" customHeight="1" spans="1:8">
      <c r="A354" s="64"/>
      <c r="B354" s="103" t="s">
        <v>685</v>
      </c>
      <c r="C354" s="104" t="s">
        <v>686</v>
      </c>
      <c r="D354" s="67">
        <v>0.2174</v>
      </c>
      <c r="E354" s="68"/>
      <c r="F354" s="105">
        <v>1</v>
      </c>
      <c r="G354" s="106"/>
      <c r="H354" s="107">
        <v>0.5</v>
      </c>
    </row>
    <row r="355" ht="27.95" customHeight="1" spans="1:8">
      <c r="A355" s="64"/>
      <c r="B355" s="103" t="s">
        <v>687</v>
      </c>
      <c r="C355" s="104" t="s">
        <v>688</v>
      </c>
      <c r="D355" s="67">
        <v>0.4783</v>
      </c>
      <c r="E355" s="68"/>
      <c r="F355" s="105">
        <v>2</v>
      </c>
      <c r="G355" s="106"/>
      <c r="H355" s="107">
        <v>1.1</v>
      </c>
    </row>
    <row r="356" ht="27.95" customHeight="1" spans="1:8">
      <c r="A356" s="64"/>
      <c r="B356" s="103" t="s">
        <v>689</v>
      </c>
      <c r="C356" s="104" t="s">
        <v>690</v>
      </c>
      <c r="D356" s="67">
        <v>0.7391</v>
      </c>
      <c r="E356" s="68"/>
      <c r="F356" s="105">
        <v>3</v>
      </c>
      <c r="G356" s="106"/>
      <c r="H356" s="107">
        <v>1.7</v>
      </c>
    </row>
    <row r="357" ht="27.95" customHeight="1" spans="1:8">
      <c r="A357" s="64"/>
      <c r="B357" s="103" t="s">
        <v>691</v>
      </c>
      <c r="C357" s="104" t="s">
        <v>692</v>
      </c>
      <c r="D357" s="67">
        <v>0.4348</v>
      </c>
      <c r="E357" s="68"/>
      <c r="F357" s="105">
        <v>1.5</v>
      </c>
      <c r="G357" s="106"/>
      <c r="H357" s="107">
        <v>1</v>
      </c>
    </row>
    <row r="358" ht="27.95" customHeight="1" spans="1:8">
      <c r="A358" s="64"/>
      <c r="B358" s="103" t="s">
        <v>693</v>
      </c>
      <c r="C358" s="104" t="s">
        <v>694</v>
      </c>
      <c r="D358" s="67">
        <v>0.0391</v>
      </c>
      <c r="E358" s="68"/>
      <c r="F358" s="105">
        <v>1.5</v>
      </c>
      <c r="G358" s="106"/>
      <c r="H358" s="107">
        <v>0.09</v>
      </c>
    </row>
    <row r="359" ht="27.95" customHeight="1" spans="1:8">
      <c r="A359" s="64"/>
      <c r="B359" s="73" t="s">
        <v>695</v>
      </c>
      <c r="C359" s="66" t="s">
        <v>696</v>
      </c>
      <c r="D359" s="67">
        <v>0.6522</v>
      </c>
      <c r="E359" s="68"/>
      <c r="F359" s="69">
        <v>2.5</v>
      </c>
      <c r="G359" s="70"/>
      <c r="H359" s="71">
        <v>1.5</v>
      </c>
    </row>
    <row r="360" ht="27.95" customHeight="1" spans="1:8">
      <c r="A360" s="64"/>
      <c r="B360" s="103" t="s">
        <v>697</v>
      </c>
      <c r="C360" s="104" t="s">
        <v>698</v>
      </c>
      <c r="D360" s="67">
        <v>0.087</v>
      </c>
      <c r="E360" s="68"/>
      <c r="F360" s="105">
        <v>0.5</v>
      </c>
      <c r="G360" s="106"/>
      <c r="H360" s="107">
        <v>0.2</v>
      </c>
    </row>
    <row r="361" ht="27.95" customHeight="1" spans="1:8">
      <c r="A361" s="64"/>
      <c r="B361" s="73" t="s">
        <v>699</v>
      </c>
      <c r="C361" s="66" t="s">
        <v>700</v>
      </c>
      <c r="D361" s="67">
        <v>0.6957</v>
      </c>
      <c r="E361" s="68"/>
      <c r="F361" s="69">
        <v>2.6</v>
      </c>
      <c r="G361" s="70"/>
      <c r="H361" s="71">
        <v>1.6</v>
      </c>
    </row>
    <row r="362" ht="27.95" customHeight="1" spans="1:8">
      <c r="A362" s="64"/>
      <c r="B362" s="103" t="s">
        <v>701</v>
      </c>
      <c r="C362" s="104" t="s">
        <v>702</v>
      </c>
      <c r="D362" s="67">
        <v>0.7391</v>
      </c>
      <c r="E362" s="68"/>
      <c r="F362" s="105">
        <v>2.7</v>
      </c>
      <c r="G362" s="106"/>
      <c r="H362" s="107">
        <v>1.7</v>
      </c>
    </row>
    <row r="363" ht="27.95" customHeight="1" spans="1:8">
      <c r="A363" s="64"/>
      <c r="B363" s="103" t="s">
        <v>703</v>
      </c>
      <c r="C363" s="104" t="s">
        <v>704</v>
      </c>
      <c r="D363" s="67">
        <v>0.3043</v>
      </c>
      <c r="E363" s="68"/>
      <c r="F363" s="105">
        <v>1</v>
      </c>
      <c r="G363" s="106"/>
      <c r="H363" s="107">
        <v>0.7</v>
      </c>
    </row>
    <row r="364" ht="27.95" customHeight="1" spans="1:8">
      <c r="A364" s="64"/>
      <c r="B364" s="103" t="s">
        <v>705</v>
      </c>
      <c r="C364" s="104" t="s">
        <v>706</v>
      </c>
      <c r="D364" s="67">
        <v>0.3478</v>
      </c>
      <c r="E364" s="68"/>
      <c r="F364" s="105">
        <v>1.2</v>
      </c>
      <c r="G364" s="106"/>
      <c r="H364" s="107">
        <v>0.8</v>
      </c>
    </row>
    <row r="365" ht="27.95" customHeight="1" spans="1:8">
      <c r="A365" s="64"/>
      <c r="B365" s="73" t="s">
        <v>707</v>
      </c>
      <c r="C365" s="66" t="s">
        <v>708</v>
      </c>
      <c r="D365" s="67">
        <v>0.3478</v>
      </c>
      <c r="E365" s="68"/>
      <c r="F365" s="69">
        <v>1.3</v>
      </c>
      <c r="G365" s="70"/>
      <c r="H365" s="71">
        <v>0.8</v>
      </c>
    </row>
    <row r="366" ht="27.95" customHeight="1" spans="1:8">
      <c r="A366" s="64"/>
      <c r="B366" s="73" t="s">
        <v>709</v>
      </c>
      <c r="C366" s="66" t="s">
        <v>710</v>
      </c>
      <c r="D366" s="67">
        <v>0.3478</v>
      </c>
      <c r="E366" s="68"/>
      <c r="F366" s="69">
        <v>1</v>
      </c>
      <c r="G366" s="70"/>
      <c r="H366" s="71">
        <v>0.8</v>
      </c>
    </row>
    <row r="367" ht="27.95" customHeight="1" spans="1:8">
      <c r="A367" s="64"/>
      <c r="B367" s="103" t="s">
        <v>711</v>
      </c>
      <c r="C367" s="104" t="s">
        <v>712</v>
      </c>
      <c r="D367" s="67">
        <v>0.4348</v>
      </c>
      <c r="E367" s="68"/>
      <c r="F367" s="105">
        <v>1.5</v>
      </c>
      <c r="G367" s="106"/>
      <c r="H367" s="107">
        <v>1</v>
      </c>
    </row>
    <row r="368" ht="27.95" customHeight="1" spans="1:8">
      <c r="A368" s="64"/>
      <c r="B368" s="73" t="s">
        <v>713</v>
      </c>
      <c r="C368" s="66" t="s">
        <v>714</v>
      </c>
      <c r="D368" s="67">
        <v>0.5217</v>
      </c>
      <c r="E368" s="68"/>
      <c r="F368" s="69">
        <v>2.5</v>
      </c>
      <c r="G368" s="70"/>
      <c r="H368" s="71">
        <v>1.2</v>
      </c>
    </row>
    <row r="369" ht="27.95" customHeight="1" spans="1:8">
      <c r="A369" s="64"/>
      <c r="B369" s="73" t="s">
        <v>715</v>
      </c>
      <c r="C369" s="66" t="s">
        <v>716</v>
      </c>
      <c r="D369" s="67">
        <v>0.5217</v>
      </c>
      <c r="E369" s="68"/>
      <c r="F369" s="69">
        <v>2.5</v>
      </c>
      <c r="G369" s="70"/>
      <c r="H369" s="71">
        <v>1.2</v>
      </c>
    </row>
    <row r="370" ht="27.95" customHeight="1" spans="1:8">
      <c r="A370" s="64"/>
      <c r="B370" s="73" t="s">
        <v>717</v>
      </c>
      <c r="C370" s="66" t="s">
        <v>718</v>
      </c>
      <c r="D370" s="67">
        <v>0.5217</v>
      </c>
      <c r="E370" s="68"/>
      <c r="F370" s="69">
        <v>2.5</v>
      </c>
      <c r="G370" s="70"/>
      <c r="H370" s="71">
        <v>1.2</v>
      </c>
    </row>
    <row r="371" ht="27.95" customHeight="1" spans="1:8">
      <c r="A371" s="64"/>
      <c r="B371" s="73" t="s">
        <v>719</v>
      </c>
      <c r="C371" s="66" t="s">
        <v>720</v>
      </c>
      <c r="D371" s="67">
        <v>0.5217</v>
      </c>
      <c r="E371" s="68"/>
      <c r="F371" s="69">
        <v>2.5</v>
      </c>
      <c r="G371" s="70"/>
      <c r="H371" s="71">
        <v>1.2</v>
      </c>
    </row>
    <row r="372" ht="27.95" customHeight="1" spans="1:8">
      <c r="A372" s="64"/>
      <c r="B372" s="73" t="s">
        <v>721</v>
      </c>
      <c r="C372" s="66" t="s">
        <v>722</v>
      </c>
      <c r="D372" s="67">
        <v>0.5217</v>
      </c>
      <c r="E372" s="68"/>
      <c r="F372" s="69">
        <v>2</v>
      </c>
      <c r="G372" s="70"/>
      <c r="H372" s="71">
        <v>1.2</v>
      </c>
    </row>
    <row r="373" ht="27.95" customHeight="1" spans="1:8">
      <c r="A373" s="64"/>
      <c r="B373" s="73" t="s">
        <v>723</v>
      </c>
      <c r="C373" s="66" t="s">
        <v>724</v>
      </c>
      <c r="D373" s="67">
        <v>0.0435</v>
      </c>
      <c r="E373" s="68"/>
      <c r="F373" s="69">
        <v>0.1</v>
      </c>
      <c r="G373" s="70">
        <v>0.1</v>
      </c>
      <c r="H373" s="71">
        <v>0.05</v>
      </c>
    </row>
    <row r="374" ht="27.95" customHeight="1" spans="1:8">
      <c r="A374" s="64"/>
      <c r="B374" s="73" t="s">
        <v>725</v>
      </c>
      <c r="C374" s="66" t="s">
        <v>726</v>
      </c>
      <c r="D374" s="67">
        <v>0.1087</v>
      </c>
      <c r="E374" s="68"/>
      <c r="F374" s="69">
        <v>0.25</v>
      </c>
      <c r="G374" s="70">
        <v>0.25</v>
      </c>
      <c r="H374" s="71">
        <v>0.21</v>
      </c>
    </row>
    <row r="375" ht="27.95" customHeight="1" spans="1:8">
      <c r="A375" s="64"/>
      <c r="B375" s="73" t="s">
        <v>727</v>
      </c>
      <c r="C375" s="66" t="s">
        <v>728</v>
      </c>
      <c r="D375" s="67">
        <v>0.1739</v>
      </c>
      <c r="E375" s="68"/>
      <c r="F375" s="69">
        <v>0.6</v>
      </c>
      <c r="G375" s="70"/>
      <c r="H375" s="71">
        <v>0.4</v>
      </c>
    </row>
    <row r="376" ht="27.95" customHeight="1" spans="1:8">
      <c r="A376" s="64"/>
      <c r="B376" s="73" t="s">
        <v>729</v>
      </c>
      <c r="C376" s="66" t="s">
        <v>730</v>
      </c>
      <c r="D376" s="67">
        <v>0.1304</v>
      </c>
      <c r="E376" s="68"/>
      <c r="F376" s="69">
        <v>0.5</v>
      </c>
      <c r="G376" s="70"/>
      <c r="H376" s="71">
        <v>0.3</v>
      </c>
    </row>
    <row r="377" ht="27.95" customHeight="1" spans="1:8">
      <c r="A377" s="64"/>
      <c r="B377" s="73" t="s">
        <v>731</v>
      </c>
      <c r="C377" s="66" t="s">
        <v>732</v>
      </c>
      <c r="D377" s="67">
        <v>8.1304</v>
      </c>
      <c r="E377" s="68"/>
      <c r="F377" s="69">
        <v>21</v>
      </c>
      <c r="G377" s="70"/>
      <c r="H377" s="71">
        <v>18.7</v>
      </c>
    </row>
    <row r="378" ht="27.95" customHeight="1" spans="1:8">
      <c r="A378" s="64"/>
      <c r="B378" s="73" t="s">
        <v>733</v>
      </c>
      <c r="C378" s="66" t="s">
        <v>734</v>
      </c>
      <c r="D378" s="67">
        <v>1</v>
      </c>
      <c r="E378" s="68"/>
      <c r="F378" s="69">
        <v>5</v>
      </c>
      <c r="G378" s="70"/>
      <c r="H378" s="71">
        <v>2.3</v>
      </c>
    </row>
    <row r="379" ht="27.95" customHeight="1" spans="1:8">
      <c r="A379" s="64"/>
      <c r="B379" s="73" t="s">
        <v>735</v>
      </c>
      <c r="C379" s="66" t="s">
        <v>736</v>
      </c>
      <c r="D379" s="67">
        <v>1</v>
      </c>
      <c r="E379" s="68"/>
      <c r="F379" s="69">
        <v>5</v>
      </c>
      <c r="G379" s="70"/>
      <c r="H379" s="71">
        <v>2.3</v>
      </c>
    </row>
    <row r="380" ht="27.95" customHeight="1" spans="1:8">
      <c r="A380" s="64"/>
      <c r="B380" s="73" t="s">
        <v>737</v>
      </c>
      <c r="C380" s="66" t="s">
        <v>738</v>
      </c>
      <c r="D380" s="67">
        <v>1</v>
      </c>
      <c r="E380" s="68"/>
      <c r="F380" s="69">
        <v>5</v>
      </c>
      <c r="G380" s="70"/>
      <c r="H380" s="71">
        <v>2.3</v>
      </c>
    </row>
    <row r="381" ht="27.95" customHeight="1" spans="1:8">
      <c r="A381" s="64"/>
      <c r="B381" s="73" t="s">
        <v>739</v>
      </c>
      <c r="C381" s="66" t="s">
        <v>740</v>
      </c>
      <c r="D381" s="67">
        <v>0.7826</v>
      </c>
      <c r="E381" s="68"/>
      <c r="F381" s="69">
        <v>5</v>
      </c>
      <c r="G381" s="70"/>
      <c r="H381" s="71">
        <v>1.8</v>
      </c>
    </row>
    <row r="382" ht="27.95" customHeight="1" spans="1:8">
      <c r="A382" s="64"/>
      <c r="B382" s="73" t="s">
        <v>741</v>
      </c>
      <c r="C382" s="66" t="s">
        <v>742</v>
      </c>
      <c r="D382" s="67">
        <v>0.913</v>
      </c>
      <c r="E382" s="68"/>
      <c r="F382" s="69">
        <v>3.3</v>
      </c>
      <c r="G382" s="70"/>
      <c r="H382" s="71">
        <v>2.1</v>
      </c>
    </row>
    <row r="383" ht="27.95" customHeight="1" spans="1:8">
      <c r="A383" s="64"/>
      <c r="B383" s="103" t="s">
        <v>743</v>
      </c>
      <c r="C383" s="104" t="s">
        <v>744</v>
      </c>
      <c r="D383" s="67">
        <v>0.6957</v>
      </c>
      <c r="E383" s="68"/>
      <c r="F383" s="105">
        <v>2.6</v>
      </c>
      <c r="G383" s="106"/>
      <c r="H383" s="107">
        <v>1.6</v>
      </c>
    </row>
    <row r="384" ht="27.95" customHeight="1" spans="1:8">
      <c r="A384" s="64"/>
      <c r="B384" s="103" t="s">
        <v>745</v>
      </c>
      <c r="C384" s="104" t="s">
        <v>746</v>
      </c>
      <c r="D384" s="67">
        <v>0.3478</v>
      </c>
      <c r="E384" s="68"/>
      <c r="F384" s="105">
        <v>1</v>
      </c>
      <c r="G384" s="106"/>
      <c r="H384" s="107">
        <v>0.8</v>
      </c>
    </row>
    <row r="385" ht="27.95" customHeight="1" spans="1:8">
      <c r="A385" s="64"/>
      <c r="B385" s="103" t="s">
        <v>747</v>
      </c>
      <c r="C385" s="104" t="s">
        <v>748</v>
      </c>
      <c r="D385" s="67">
        <v>0.5652</v>
      </c>
      <c r="E385" s="68"/>
      <c r="F385" s="105">
        <v>2</v>
      </c>
      <c r="G385" s="106"/>
      <c r="H385" s="107">
        <v>1.3</v>
      </c>
    </row>
    <row r="386" ht="27.95" customHeight="1" spans="1:8">
      <c r="A386" s="64"/>
      <c r="B386" s="103" t="s">
        <v>749</v>
      </c>
      <c r="C386" s="104" t="s">
        <v>750</v>
      </c>
      <c r="D386" s="67">
        <v>0.6087</v>
      </c>
      <c r="E386" s="68"/>
      <c r="F386" s="105">
        <v>2</v>
      </c>
      <c r="G386" s="106"/>
      <c r="H386" s="107">
        <v>1.4</v>
      </c>
    </row>
    <row r="387" ht="27.95" customHeight="1" spans="1:8">
      <c r="A387" s="64"/>
      <c r="B387" s="73" t="s">
        <v>751</v>
      </c>
      <c r="C387" s="66" t="s">
        <v>752</v>
      </c>
      <c r="D387" s="67">
        <v>0.2609</v>
      </c>
      <c r="E387" s="68"/>
      <c r="F387" s="69">
        <v>1</v>
      </c>
      <c r="G387" s="70"/>
      <c r="H387" s="71">
        <v>0.6</v>
      </c>
    </row>
    <row r="388" ht="27.95" customHeight="1" spans="1:8">
      <c r="A388" s="64"/>
      <c r="B388" s="73" t="s">
        <v>753</v>
      </c>
      <c r="C388" s="66" t="s">
        <v>754</v>
      </c>
      <c r="D388" s="67">
        <v>0.3913</v>
      </c>
      <c r="E388" s="68"/>
      <c r="F388" s="69">
        <v>1.4</v>
      </c>
      <c r="G388" s="70"/>
      <c r="H388" s="71">
        <v>0.9</v>
      </c>
    </row>
    <row r="389" ht="27.95" customHeight="1" spans="1:8">
      <c r="A389" s="64"/>
      <c r="B389" s="103" t="s">
        <v>755</v>
      </c>
      <c r="C389" s="104" t="s">
        <v>756</v>
      </c>
      <c r="D389" s="67">
        <v>0.8696</v>
      </c>
      <c r="E389" s="68"/>
      <c r="F389" s="105">
        <v>2.6</v>
      </c>
      <c r="G389" s="106"/>
      <c r="H389" s="107">
        <v>2</v>
      </c>
    </row>
    <row r="390" ht="27.95" customHeight="1" spans="1:8">
      <c r="A390" s="64"/>
      <c r="B390" s="73" t="s">
        <v>757</v>
      </c>
      <c r="C390" s="66" t="s">
        <v>758</v>
      </c>
      <c r="D390" s="67">
        <v>0.6522</v>
      </c>
      <c r="E390" s="68"/>
      <c r="F390" s="69">
        <v>2</v>
      </c>
      <c r="G390" s="70"/>
      <c r="H390" s="71">
        <v>1.5</v>
      </c>
    </row>
    <row r="391" ht="27.95" customHeight="1" spans="1:8">
      <c r="A391" s="64"/>
      <c r="B391" s="103" t="s">
        <v>759</v>
      </c>
      <c r="C391" s="104" t="s">
        <v>760</v>
      </c>
      <c r="D391" s="67">
        <v>0.4348</v>
      </c>
      <c r="E391" s="68"/>
      <c r="F391" s="105">
        <v>1.6</v>
      </c>
      <c r="G391" s="106"/>
      <c r="H391" s="107">
        <v>1</v>
      </c>
    </row>
    <row r="392" ht="27.95" customHeight="1" spans="1:8">
      <c r="A392" s="64"/>
      <c r="B392" s="103" t="s">
        <v>761</v>
      </c>
      <c r="C392" s="104" t="s">
        <v>762</v>
      </c>
      <c r="D392" s="67">
        <v>0.3043</v>
      </c>
      <c r="E392" s="68"/>
      <c r="F392" s="105">
        <v>1</v>
      </c>
      <c r="G392" s="106"/>
      <c r="H392" s="107">
        <v>0.7</v>
      </c>
    </row>
    <row r="393" ht="27.95" customHeight="1" spans="1:8">
      <c r="A393" s="64"/>
      <c r="B393" s="103" t="s">
        <v>763</v>
      </c>
      <c r="C393" s="104" t="s">
        <v>764</v>
      </c>
      <c r="D393" s="67">
        <v>0.5217</v>
      </c>
      <c r="E393" s="68"/>
      <c r="F393" s="105">
        <v>2</v>
      </c>
      <c r="G393" s="106"/>
      <c r="H393" s="107">
        <v>1.2</v>
      </c>
    </row>
    <row r="394" ht="27.95" customHeight="1" spans="1:8">
      <c r="A394" s="64"/>
      <c r="B394" s="103" t="s">
        <v>765</v>
      </c>
      <c r="C394" s="104" t="s">
        <v>766</v>
      </c>
      <c r="D394" s="67">
        <v>0.6522</v>
      </c>
      <c r="E394" s="68"/>
      <c r="F394" s="105">
        <v>2</v>
      </c>
      <c r="G394" s="106"/>
      <c r="H394" s="107">
        <v>1.5</v>
      </c>
    </row>
    <row r="395" ht="27.95" customHeight="1" spans="1:8">
      <c r="A395" s="64"/>
      <c r="B395" s="103" t="s">
        <v>767</v>
      </c>
      <c r="C395" s="104" t="s">
        <v>768</v>
      </c>
      <c r="D395" s="67">
        <v>0.3478</v>
      </c>
      <c r="E395" s="68"/>
      <c r="F395" s="105">
        <v>1</v>
      </c>
      <c r="G395" s="106"/>
      <c r="H395" s="107">
        <v>0.8</v>
      </c>
    </row>
    <row r="396" ht="27.95" customHeight="1" spans="1:8">
      <c r="A396" s="64"/>
      <c r="B396" s="73" t="s">
        <v>769</v>
      </c>
      <c r="C396" s="66" t="s">
        <v>770</v>
      </c>
      <c r="D396" s="67">
        <v>1.3043</v>
      </c>
      <c r="E396" s="68"/>
      <c r="F396" s="69">
        <v>3</v>
      </c>
      <c r="G396" s="70">
        <v>3</v>
      </c>
      <c r="H396" s="71">
        <v>1.55</v>
      </c>
    </row>
    <row r="397" ht="27.95" customHeight="1" spans="1:8">
      <c r="A397" s="64"/>
      <c r="B397" s="73" t="s">
        <v>771</v>
      </c>
      <c r="C397" s="66" t="s">
        <v>772</v>
      </c>
      <c r="D397" s="67">
        <v>1.1739</v>
      </c>
      <c r="E397" s="68"/>
      <c r="F397" s="69">
        <v>2.7</v>
      </c>
      <c r="G397" s="70">
        <v>2.7</v>
      </c>
      <c r="H397" s="71">
        <v>2.25</v>
      </c>
    </row>
    <row r="398" ht="27.95" customHeight="1" spans="1:8">
      <c r="A398" s="64"/>
      <c r="B398" s="73" t="s">
        <v>773</v>
      </c>
      <c r="C398" s="66" t="s">
        <v>774</v>
      </c>
      <c r="D398" s="67">
        <v>1.7391</v>
      </c>
      <c r="E398" s="68"/>
      <c r="F398" s="69">
        <v>4</v>
      </c>
      <c r="G398" s="70">
        <v>4</v>
      </c>
      <c r="H398" s="71">
        <v>2.07</v>
      </c>
    </row>
    <row r="399" ht="27.95" customHeight="1" spans="1:8">
      <c r="A399" s="64"/>
      <c r="B399" s="103" t="s">
        <v>775</v>
      </c>
      <c r="C399" s="104" t="s">
        <v>776</v>
      </c>
      <c r="D399" s="67">
        <v>0.1739</v>
      </c>
      <c r="E399" s="68"/>
      <c r="F399" s="105">
        <v>0.6</v>
      </c>
      <c r="G399" s="106"/>
      <c r="H399" s="107">
        <v>0.4</v>
      </c>
    </row>
    <row r="400" ht="27.95" customHeight="1" spans="1:8">
      <c r="A400" s="64"/>
      <c r="B400" s="73" t="s">
        <v>777</v>
      </c>
      <c r="C400" s="66" t="s">
        <v>778</v>
      </c>
      <c r="D400" s="67">
        <v>0.2174</v>
      </c>
      <c r="E400" s="68"/>
      <c r="F400" s="69">
        <v>0.6</v>
      </c>
      <c r="G400" s="70"/>
      <c r="H400" s="71">
        <v>0.5</v>
      </c>
    </row>
    <row r="401" ht="27.95" customHeight="1" spans="1:8">
      <c r="A401" s="64"/>
      <c r="B401" s="73" t="s">
        <v>779</v>
      </c>
      <c r="C401" s="66" t="s">
        <v>780</v>
      </c>
      <c r="D401" s="67">
        <v>2.6522</v>
      </c>
      <c r="E401" s="68"/>
      <c r="F401" s="69">
        <v>9</v>
      </c>
      <c r="G401" s="70"/>
      <c r="H401" s="71">
        <v>6.1</v>
      </c>
    </row>
    <row r="402" ht="27.95" customHeight="1" spans="1:8">
      <c r="A402" s="64"/>
      <c r="B402" s="103" t="s">
        <v>781</v>
      </c>
      <c r="C402" s="104" t="s">
        <v>782</v>
      </c>
      <c r="D402" s="67">
        <v>2.4348</v>
      </c>
      <c r="E402" s="68"/>
      <c r="F402" s="105">
        <v>9</v>
      </c>
      <c r="G402" s="106"/>
      <c r="H402" s="107">
        <v>5.6</v>
      </c>
    </row>
    <row r="403" ht="27.95" customHeight="1" spans="1:8">
      <c r="A403" s="64"/>
      <c r="B403" s="103" t="s">
        <v>783</v>
      </c>
      <c r="C403" s="104" t="s">
        <v>784</v>
      </c>
      <c r="D403" s="67">
        <v>2.7391</v>
      </c>
      <c r="E403" s="68"/>
      <c r="F403" s="105">
        <v>9</v>
      </c>
      <c r="G403" s="106"/>
      <c r="H403" s="107">
        <v>6.3</v>
      </c>
    </row>
    <row r="404" ht="27.95" customHeight="1" spans="1:8">
      <c r="A404" s="64"/>
      <c r="B404" s="73" t="s">
        <v>785</v>
      </c>
      <c r="C404" s="66" t="s">
        <v>786</v>
      </c>
      <c r="D404" s="67">
        <v>2.7826</v>
      </c>
      <c r="E404" s="68"/>
      <c r="F404" s="69">
        <v>9</v>
      </c>
      <c r="G404" s="70"/>
      <c r="H404" s="71">
        <v>6.4</v>
      </c>
    </row>
    <row r="405" ht="27.95" customHeight="1" spans="1:8">
      <c r="A405" s="64"/>
      <c r="B405" s="73" t="s">
        <v>787</v>
      </c>
      <c r="C405" s="66" t="s">
        <v>788</v>
      </c>
      <c r="D405" s="67">
        <v>2.4348</v>
      </c>
      <c r="E405" s="68"/>
      <c r="F405" s="69">
        <v>9</v>
      </c>
      <c r="G405" s="70"/>
      <c r="H405" s="71">
        <v>5.6</v>
      </c>
    </row>
    <row r="406" ht="27.95" customHeight="1" spans="1:8">
      <c r="A406" s="64"/>
      <c r="B406" s="103" t="s">
        <v>789</v>
      </c>
      <c r="C406" s="104" t="s">
        <v>790</v>
      </c>
      <c r="D406" s="67">
        <v>2.8696</v>
      </c>
      <c r="E406" s="68"/>
      <c r="F406" s="105">
        <v>9</v>
      </c>
      <c r="G406" s="106"/>
      <c r="H406" s="107">
        <v>6.6</v>
      </c>
    </row>
    <row r="407" ht="27.95" customHeight="1" spans="1:8">
      <c r="A407" s="64"/>
      <c r="B407" s="103" t="s">
        <v>791</v>
      </c>
      <c r="C407" s="104" t="s">
        <v>792</v>
      </c>
      <c r="D407" s="67">
        <v>2.3478</v>
      </c>
      <c r="E407" s="68"/>
      <c r="F407" s="105">
        <v>9</v>
      </c>
      <c r="G407" s="106"/>
      <c r="H407" s="107">
        <v>5.4</v>
      </c>
    </row>
    <row r="408" ht="27.95" customHeight="1" spans="1:8">
      <c r="A408" s="64"/>
      <c r="B408" s="103" t="s">
        <v>793</v>
      </c>
      <c r="C408" s="104" t="s">
        <v>794</v>
      </c>
      <c r="D408" s="67">
        <v>2.5652</v>
      </c>
      <c r="E408" s="68"/>
      <c r="F408" s="105">
        <v>8</v>
      </c>
      <c r="G408" s="106"/>
      <c r="H408" s="107">
        <v>5.9</v>
      </c>
    </row>
    <row r="409" ht="27.95" customHeight="1" spans="1:8">
      <c r="A409" s="64"/>
      <c r="B409" s="65">
        <v>6988855668863</v>
      </c>
      <c r="C409" s="66" t="s">
        <v>795</v>
      </c>
      <c r="D409" s="67">
        <v>0.6522</v>
      </c>
      <c r="E409" s="68"/>
      <c r="F409" s="69">
        <v>3</v>
      </c>
      <c r="G409" s="70"/>
      <c r="H409" s="71">
        <v>2.5</v>
      </c>
    </row>
    <row r="410" ht="27.95" customHeight="1" spans="1:8">
      <c r="A410" s="74"/>
      <c r="B410" s="114">
        <v>6931348410630</v>
      </c>
      <c r="C410" s="104" t="s">
        <v>796</v>
      </c>
      <c r="D410" s="67">
        <v>0.1739</v>
      </c>
      <c r="E410" s="68"/>
      <c r="F410" s="105">
        <v>1</v>
      </c>
      <c r="G410" s="106"/>
      <c r="H410" s="107">
        <v>0.4</v>
      </c>
    </row>
    <row r="411" ht="27.95" customHeight="1" spans="1:8">
      <c r="A411" s="75"/>
      <c r="B411" s="73" t="s">
        <v>797</v>
      </c>
      <c r="C411" s="66" t="s">
        <v>796</v>
      </c>
      <c r="D411" s="67">
        <v>0.1739</v>
      </c>
      <c r="E411" s="68"/>
      <c r="F411" s="69">
        <v>0.6</v>
      </c>
      <c r="G411" s="70"/>
      <c r="H411" s="71">
        <v>0.4</v>
      </c>
    </row>
    <row r="412" ht="27.95" customHeight="1" spans="1:8">
      <c r="A412" s="64"/>
      <c r="B412" s="114">
        <v>4624321544133</v>
      </c>
      <c r="C412" s="104" t="s">
        <v>798</v>
      </c>
      <c r="D412" s="67">
        <v>0.2174</v>
      </c>
      <c r="E412" s="68"/>
      <c r="F412" s="105">
        <v>1.25</v>
      </c>
      <c r="G412" s="106"/>
      <c r="H412" s="107">
        <v>0.5</v>
      </c>
    </row>
    <row r="413" ht="27.95" customHeight="1" spans="1:8">
      <c r="A413" s="64"/>
      <c r="B413" s="73" t="s">
        <v>799</v>
      </c>
      <c r="C413" s="66" t="s">
        <v>800</v>
      </c>
      <c r="D413" s="67">
        <v>1.087</v>
      </c>
      <c r="E413" s="68"/>
      <c r="F413" s="69">
        <v>4</v>
      </c>
      <c r="G413" s="70"/>
      <c r="H413" s="71">
        <v>2.5</v>
      </c>
    </row>
    <row r="414" ht="27.95" customHeight="1" spans="1:8">
      <c r="A414" s="64"/>
      <c r="B414" s="108" t="s">
        <v>801</v>
      </c>
      <c r="C414" s="109" t="s">
        <v>802</v>
      </c>
      <c r="D414" s="67">
        <v>0.2174</v>
      </c>
      <c r="E414" s="68"/>
      <c r="F414" s="110">
        <v>1</v>
      </c>
      <c r="G414" s="111"/>
      <c r="H414" s="112">
        <v>0.5</v>
      </c>
    </row>
    <row r="415" ht="27.95" customHeight="1" spans="1:8">
      <c r="A415" s="64"/>
      <c r="B415" s="73" t="s">
        <v>803</v>
      </c>
      <c r="C415" s="66" t="s">
        <v>804</v>
      </c>
      <c r="D415" s="67">
        <v>0.5217</v>
      </c>
      <c r="E415" s="68"/>
      <c r="F415" s="69">
        <v>2.5</v>
      </c>
      <c r="G415" s="70"/>
      <c r="H415" s="71">
        <v>1.2</v>
      </c>
    </row>
    <row r="416" ht="27.95" customHeight="1" spans="1:8">
      <c r="A416" s="64"/>
      <c r="B416" s="73" t="s">
        <v>805</v>
      </c>
      <c r="C416" s="66" t="s">
        <v>806</v>
      </c>
      <c r="D416" s="67">
        <v>0.2609</v>
      </c>
      <c r="E416" s="68"/>
      <c r="F416" s="69">
        <v>1</v>
      </c>
      <c r="G416" s="70"/>
      <c r="H416" s="71">
        <v>0.6</v>
      </c>
    </row>
    <row r="417" ht="27.95" customHeight="1" spans="1:8">
      <c r="A417" s="74"/>
      <c r="B417" s="73" t="s">
        <v>807</v>
      </c>
      <c r="C417" s="66" t="s">
        <v>808</v>
      </c>
      <c r="D417" s="67">
        <v>0.2174</v>
      </c>
      <c r="E417" s="68"/>
      <c r="F417" s="69">
        <v>1.5</v>
      </c>
      <c r="G417" s="70"/>
      <c r="H417" s="71">
        <v>0.5</v>
      </c>
    </row>
    <row r="418" ht="27.95" customHeight="1" spans="1:8">
      <c r="A418" s="75"/>
      <c r="B418" s="73" t="s">
        <v>809</v>
      </c>
      <c r="C418" s="66" t="s">
        <v>808</v>
      </c>
      <c r="D418" s="67">
        <v>0.4348</v>
      </c>
      <c r="E418" s="68"/>
      <c r="F418" s="69">
        <v>1.5</v>
      </c>
      <c r="G418" s="70"/>
      <c r="H418" s="71">
        <v>1</v>
      </c>
    </row>
    <row r="419" ht="27.95" customHeight="1" spans="1:8">
      <c r="A419" s="74"/>
      <c r="B419" s="73" t="s">
        <v>810</v>
      </c>
      <c r="C419" s="66" t="s">
        <v>811</v>
      </c>
      <c r="D419" s="67">
        <v>0.3478</v>
      </c>
      <c r="E419" s="68"/>
      <c r="F419" s="69">
        <v>1</v>
      </c>
      <c r="G419" s="70"/>
      <c r="H419" s="71">
        <v>0.8</v>
      </c>
    </row>
    <row r="420" ht="27.95" customHeight="1" spans="1:8">
      <c r="A420" s="84"/>
      <c r="B420" s="73" t="s">
        <v>812</v>
      </c>
      <c r="C420" s="66" t="s">
        <v>811</v>
      </c>
      <c r="D420" s="67">
        <v>0.3478</v>
      </c>
      <c r="E420" s="68"/>
      <c r="F420" s="69">
        <v>1.2</v>
      </c>
      <c r="G420" s="70"/>
      <c r="H420" s="71">
        <v>0.8</v>
      </c>
    </row>
    <row r="421" ht="27.95" customHeight="1" spans="1:8">
      <c r="A421" s="84"/>
      <c r="B421" s="73" t="s">
        <v>813</v>
      </c>
      <c r="C421" s="66" t="s">
        <v>811</v>
      </c>
      <c r="D421" s="67">
        <v>0.4348</v>
      </c>
      <c r="E421" s="68"/>
      <c r="F421" s="69">
        <v>2</v>
      </c>
      <c r="G421" s="70"/>
      <c r="H421" s="71">
        <v>1</v>
      </c>
    </row>
    <row r="422" ht="27.95" customHeight="1" spans="1:8">
      <c r="A422" s="84"/>
      <c r="B422" s="73" t="s">
        <v>814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</row>
    <row r="423" ht="27.95" customHeight="1" spans="1:8">
      <c r="A423" s="75"/>
      <c r="B423" s="73" t="s">
        <v>815</v>
      </c>
      <c r="C423" s="66" t="s">
        <v>811</v>
      </c>
      <c r="D423" s="67">
        <v>0.3478</v>
      </c>
      <c r="E423" s="68"/>
      <c r="F423" s="69">
        <v>1.2</v>
      </c>
      <c r="G423" s="70"/>
      <c r="H423" s="71">
        <v>0.8</v>
      </c>
    </row>
    <row r="424" ht="27.95" customHeight="1" spans="1:8">
      <c r="A424" s="64"/>
      <c r="B424" s="73" t="s">
        <v>816</v>
      </c>
      <c r="C424" s="66" t="s">
        <v>817</v>
      </c>
      <c r="D424" s="67">
        <v>0.3478</v>
      </c>
      <c r="E424" s="68"/>
      <c r="F424" s="69">
        <v>1</v>
      </c>
      <c r="G424" s="70"/>
      <c r="H424" s="71">
        <v>0.8</v>
      </c>
    </row>
    <row r="425" ht="27.95" customHeight="1" spans="1:8">
      <c r="A425" s="74"/>
      <c r="B425" s="73" t="s">
        <v>818</v>
      </c>
      <c r="C425" s="66" t="s">
        <v>819</v>
      </c>
      <c r="D425" s="67">
        <v>0.3913</v>
      </c>
      <c r="E425" s="68"/>
      <c r="F425" s="69">
        <v>1.4</v>
      </c>
      <c r="G425" s="70"/>
      <c r="H425" s="71">
        <v>0.9</v>
      </c>
    </row>
    <row r="426" ht="27.95" customHeight="1" spans="1:8">
      <c r="A426" s="84"/>
      <c r="B426" s="73" t="s">
        <v>820</v>
      </c>
      <c r="C426" s="66" t="s">
        <v>819</v>
      </c>
      <c r="D426" s="67">
        <v>0.3478</v>
      </c>
      <c r="E426" s="68"/>
      <c r="F426" s="69">
        <v>1.5</v>
      </c>
      <c r="G426" s="70"/>
      <c r="H426" s="71">
        <v>0.8</v>
      </c>
    </row>
    <row r="427" ht="27.95" customHeight="1" spans="1:8">
      <c r="A427" s="84"/>
      <c r="B427" s="103" t="s">
        <v>821</v>
      </c>
      <c r="C427" s="104" t="s">
        <v>819</v>
      </c>
      <c r="D427" s="67">
        <v>0.3913</v>
      </c>
      <c r="E427" s="68"/>
      <c r="F427" s="105">
        <v>1</v>
      </c>
      <c r="G427" s="106"/>
      <c r="H427" s="107">
        <v>0.9</v>
      </c>
    </row>
    <row r="428" ht="27.95" customHeight="1" spans="1:8">
      <c r="A428" s="84"/>
      <c r="B428" s="73" t="s">
        <v>822</v>
      </c>
      <c r="C428" s="66" t="s">
        <v>819</v>
      </c>
      <c r="D428" s="67">
        <v>0.3478</v>
      </c>
      <c r="E428" s="68"/>
      <c r="F428" s="69">
        <v>1.5</v>
      </c>
      <c r="G428" s="70"/>
      <c r="H428" s="71">
        <v>0.8</v>
      </c>
    </row>
    <row r="429" ht="27.95" customHeight="1" spans="1:8">
      <c r="A429" s="84"/>
      <c r="B429" s="73" t="s">
        <v>823</v>
      </c>
      <c r="C429" s="66" t="s">
        <v>819</v>
      </c>
      <c r="D429" s="67">
        <v>0.3043</v>
      </c>
      <c r="E429" s="68"/>
      <c r="F429" s="69">
        <v>1</v>
      </c>
      <c r="G429" s="70"/>
      <c r="H429" s="71">
        <v>0.7</v>
      </c>
    </row>
    <row r="430" ht="27.95" customHeight="1" spans="1:8">
      <c r="A430" s="84"/>
      <c r="B430" s="73" t="s">
        <v>824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</row>
    <row r="431" ht="27.95" customHeight="1" spans="1:8">
      <c r="A431" s="84"/>
      <c r="B431" s="73" t="s">
        <v>825</v>
      </c>
      <c r="C431" s="66" t="s">
        <v>819</v>
      </c>
      <c r="D431" s="67">
        <v>0.3913</v>
      </c>
      <c r="E431" s="68"/>
      <c r="F431" s="69">
        <v>1.4</v>
      </c>
      <c r="G431" s="70"/>
      <c r="H431" s="71">
        <v>0.9</v>
      </c>
    </row>
    <row r="432" ht="27.95" customHeight="1" spans="1:8">
      <c r="A432" s="84"/>
      <c r="B432" s="73" t="s">
        <v>826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</row>
    <row r="433" ht="27.95" customHeight="1" spans="1:8">
      <c r="A433" s="84"/>
      <c r="B433" s="73" t="s">
        <v>827</v>
      </c>
      <c r="C433" s="66" t="s">
        <v>819</v>
      </c>
      <c r="D433" s="67">
        <v>0.5217</v>
      </c>
      <c r="E433" s="68"/>
      <c r="F433" s="69">
        <v>2</v>
      </c>
      <c r="G433" s="70"/>
      <c r="H433" s="71">
        <v>1.2</v>
      </c>
    </row>
    <row r="434" ht="27.95" customHeight="1" spans="1:8">
      <c r="A434" s="84"/>
      <c r="B434" s="73" t="s">
        <v>828</v>
      </c>
      <c r="C434" s="66" t="s">
        <v>819</v>
      </c>
      <c r="D434" s="67">
        <v>0.3043</v>
      </c>
      <c r="E434" s="68"/>
      <c r="F434" s="69">
        <v>1.1</v>
      </c>
      <c r="G434" s="70"/>
      <c r="H434" s="71">
        <v>0.7</v>
      </c>
    </row>
    <row r="435" ht="27.95" customHeight="1" spans="1:8">
      <c r="A435" s="84"/>
      <c r="B435" s="103" t="s">
        <v>829</v>
      </c>
      <c r="C435" s="104" t="s">
        <v>819</v>
      </c>
      <c r="D435" s="67">
        <v>0.3043</v>
      </c>
      <c r="E435" s="68"/>
      <c r="F435" s="105">
        <v>1.1</v>
      </c>
      <c r="G435" s="106"/>
      <c r="H435" s="107">
        <v>0.7</v>
      </c>
    </row>
    <row r="436" ht="27.95" customHeight="1" spans="1:8">
      <c r="A436" s="75"/>
      <c r="B436" s="73" t="s">
        <v>830</v>
      </c>
      <c r="C436" s="66" t="s">
        <v>819</v>
      </c>
      <c r="D436" s="67">
        <v>0.3043</v>
      </c>
      <c r="E436" s="68"/>
      <c r="F436" s="69">
        <v>1</v>
      </c>
      <c r="G436" s="70"/>
      <c r="H436" s="71">
        <v>0.7</v>
      </c>
    </row>
    <row r="437" ht="27.95" customHeight="1" spans="1:8">
      <c r="A437" s="74"/>
      <c r="B437" s="73" t="s">
        <v>831</v>
      </c>
      <c r="C437" s="66" t="s">
        <v>819</v>
      </c>
      <c r="D437" s="67">
        <v>0.3478</v>
      </c>
      <c r="E437" s="68"/>
      <c r="F437" s="69">
        <v>1</v>
      </c>
      <c r="G437" s="70"/>
      <c r="H437" s="71">
        <v>0.8</v>
      </c>
    </row>
    <row r="438" ht="27.95" customHeight="1" spans="1:8">
      <c r="A438" s="84"/>
      <c r="B438" s="73" t="s">
        <v>832</v>
      </c>
      <c r="C438" s="66" t="s">
        <v>819</v>
      </c>
      <c r="D438" s="67">
        <v>0.3043</v>
      </c>
      <c r="E438" s="68"/>
      <c r="F438" s="69">
        <v>1</v>
      </c>
      <c r="G438" s="70"/>
      <c r="H438" s="71">
        <v>0.7</v>
      </c>
    </row>
    <row r="439" ht="27.95" customHeight="1" spans="1:8">
      <c r="A439" s="84"/>
      <c r="B439" s="73" t="s">
        <v>833</v>
      </c>
      <c r="C439" s="66" t="s">
        <v>819</v>
      </c>
      <c r="D439" s="67">
        <v>0.3043</v>
      </c>
      <c r="E439" s="68"/>
      <c r="F439" s="69">
        <v>1.5</v>
      </c>
      <c r="G439" s="70"/>
      <c r="H439" s="71">
        <v>0.7</v>
      </c>
    </row>
    <row r="440" ht="27.95" customHeight="1" spans="1:8">
      <c r="A440" s="75"/>
      <c r="B440" s="73" t="s">
        <v>834</v>
      </c>
      <c r="C440" s="66" t="s">
        <v>819</v>
      </c>
      <c r="D440" s="67">
        <v>0.3043</v>
      </c>
      <c r="E440" s="68"/>
      <c r="F440" s="69">
        <v>1.1</v>
      </c>
      <c r="G440" s="70"/>
      <c r="H440" s="71">
        <v>0.7</v>
      </c>
    </row>
    <row r="441" ht="27.95" customHeight="1" spans="1:8">
      <c r="A441" s="74"/>
      <c r="B441" s="73" t="s">
        <v>835</v>
      </c>
      <c r="C441" s="66" t="s">
        <v>836</v>
      </c>
      <c r="D441" s="67">
        <v>0.4348</v>
      </c>
      <c r="E441" s="68"/>
      <c r="F441" s="69">
        <v>1.5</v>
      </c>
      <c r="G441" s="70"/>
      <c r="H441" s="71">
        <v>1</v>
      </c>
    </row>
    <row r="442" ht="27.95" customHeight="1" spans="1:8">
      <c r="A442" s="75"/>
      <c r="B442" s="73" t="s">
        <v>837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</row>
    <row r="443" ht="27.95" customHeight="1" spans="1:8">
      <c r="A443" s="64"/>
      <c r="B443" s="73" t="s">
        <v>838</v>
      </c>
      <c r="C443" s="66" t="s">
        <v>839</v>
      </c>
      <c r="D443" s="67">
        <v>1.0435</v>
      </c>
      <c r="E443" s="68"/>
      <c r="F443" s="69">
        <v>4</v>
      </c>
      <c r="G443" s="70"/>
      <c r="H443" s="71">
        <v>2.4</v>
      </c>
    </row>
    <row r="444" ht="27.95" customHeight="1" spans="1:8">
      <c r="A444" s="64"/>
      <c r="B444" s="103" t="s">
        <v>840</v>
      </c>
      <c r="C444" s="104" t="s">
        <v>841</v>
      </c>
      <c r="D444" s="67">
        <v>0.6087</v>
      </c>
      <c r="E444" s="68"/>
      <c r="F444" s="105">
        <v>2.2</v>
      </c>
      <c r="G444" s="106"/>
      <c r="H444" s="107">
        <v>1.4</v>
      </c>
    </row>
    <row r="445" ht="27.95" customHeight="1" spans="1:8">
      <c r="A445" s="64"/>
      <c r="B445" s="73" t="s">
        <v>842</v>
      </c>
      <c r="C445" s="66" t="s">
        <v>843</v>
      </c>
      <c r="D445" s="67">
        <v>0.1304</v>
      </c>
      <c r="E445" s="68"/>
      <c r="F445" s="69">
        <v>0.5</v>
      </c>
      <c r="G445" s="70"/>
      <c r="H445" s="71">
        <v>0.3</v>
      </c>
    </row>
    <row r="446" ht="27.95" customHeight="1" spans="1:8">
      <c r="A446" s="64"/>
      <c r="B446" s="103" t="s">
        <v>844</v>
      </c>
      <c r="C446" s="104" t="s">
        <v>845</v>
      </c>
      <c r="D446" s="67">
        <v>0.1304</v>
      </c>
      <c r="E446" s="68"/>
      <c r="F446" s="105">
        <v>0.5</v>
      </c>
      <c r="G446" s="106"/>
      <c r="H446" s="107">
        <v>0.3</v>
      </c>
    </row>
    <row r="447" ht="27.95" customHeight="1" spans="1:8">
      <c r="A447" s="64"/>
      <c r="B447" s="73" t="s">
        <v>846</v>
      </c>
      <c r="C447" s="66" t="s">
        <v>847</v>
      </c>
      <c r="D447" s="67">
        <v>0.1304</v>
      </c>
      <c r="E447" s="68"/>
      <c r="F447" s="69">
        <v>0.5</v>
      </c>
      <c r="G447" s="70"/>
      <c r="H447" s="71">
        <v>0.3</v>
      </c>
    </row>
    <row r="448" ht="27.95" customHeight="1" spans="1:8">
      <c r="A448" s="64"/>
      <c r="B448" s="103" t="s">
        <v>848</v>
      </c>
      <c r="C448" s="104" t="s">
        <v>849</v>
      </c>
      <c r="D448" s="67">
        <v>0.1304</v>
      </c>
      <c r="E448" s="68"/>
      <c r="F448" s="105">
        <v>0.5</v>
      </c>
      <c r="G448" s="106"/>
      <c r="H448" s="107">
        <v>0.3</v>
      </c>
    </row>
    <row r="449" ht="27.95" customHeight="1" spans="1:8">
      <c r="A449" s="64"/>
      <c r="B449" s="115" t="s">
        <v>850</v>
      </c>
      <c r="C449" s="116" t="s">
        <v>851</v>
      </c>
      <c r="D449" s="67">
        <v>0.1304</v>
      </c>
      <c r="E449" s="68"/>
      <c r="F449" s="117">
        <v>0.5</v>
      </c>
      <c r="G449" s="118"/>
      <c r="H449" s="119">
        <v>0.3</v>
      </c>
    </row>
    <row r="450" ht="27.95" customHeight="1" spans="1:8">
      <c r="A450" s="64"/>
      <c r="B450" s="103" t="s">
        <v>852</v>
      </c>
      <c r="C450" s="104" t="s">
        <v>853</v>
      </c>
      <c r="D450" s="67">
        <v>1.4348</v>
      </c>
      <c r="E450" s="68"/>
      <c r="F450" s="105">
        <v>5</v>
      </c>
      <c r="G450" s="106"/>
      <c r="H450" s="107">
        <v>3.3</v>
      </c>
    </row>
    <row r="451" ht="27.95" customHeight="1" spans="1:8">
      <c r="A451" s="74"/>
      <c r="B451" s="73" t="s">
        <v>854</v>
      </c>
      <c r="C451" s="66" t="s">
        <v>855</v>
      </c>
      <c r="D451" s="67">
        <v>2.4348</v>
      </c>
      <c r="E451" s="68"/>
      <c r="F451" s="69">
        <v>9</v>
      </c>
      <c r="G451" s="70"/>
      <c r="H451" s="71">
        <v>5.6</v>
      </c>
    </row>
    <row r="452" ht="27.95" customHeight="1" spans="1:8">
      <c r="A452" s="75"/>
      <c r="B452" s="73" t="s">
        <v>856</v>
      </c>
      <c r="C452" s="66" t="s">
        <v>855</v>
      </c>
      <c r="D452" s="67">
        <v>2.6957</v>
      </c>
      <c r="E452" s="68"/>
      <c r="F452" s="69">
        <v>9.9</v>
      </c>
      <c r="G452" s="70"/>
      <c r="H452" s="71">
        <v>6.2</v>
      </c>
    </row>
    <row r="453" ht="27.95" customHeight="1" spans="1:8">
      <c r="A453" s="64"/>
      <c r="B453" s="73" t="s">
        <v>857</v>
      </c>
      <c r="C453" s="66" t="s">
        <v>858</v>
      </c>
      <c r="D453" s="67">
        <v>4.6957</v>
      </c>
      <c r="E453" s="68"/>
      <c r="F453" s="69">
        <v>17.2</v>
      </c>
      <c r="G453" s="70"/>
      <c r="H453" s="71">
        <v>10.8</v>
      </c>
    </row>
    <row r="454" ht="27.95" customHeight="1" spans="1:8">
      <c r="A454" s="64"/>
      <c r="B454" s="73" t="s">
        <v>859</v>
      </c>
      <c r="C454" s="66" t="s">
        <v>860</v>
      </c>
      <c r="D454" s="67">
        <v>0.2174</v>
      </c>
      <c r="E454" s="68"/>
      <c r="F454" s="69">
        <v>0.8</v>
      </c>
      <c r="G454" s="70"/>
      <c r="H454" s="71">
        <v>0.5</v>
      </c>
    </row>
    <row r="455" ht="27.95" customHeight="1" spans="1:8">
      <c r="A455" s="64"/>
      <c r="B455" s="73" t="s">
        <v>861</v>
      </c>
      <c r="C455" s="66" t="s">
        <v>862</v>
      </c>
      <c r="D455" s="67">
        <v>3.4783</v>
      </c>
      <c r="E455" s="68"/>
      <c r="F455" s="69">
        <v>11.5</v>
      </c>
      <c r="G455" s="70"/>
      <c r="H455" s="71">
        <v>8</v>
      </c>
    </row>
    <row r="456" ht="27.95" customHeight="1" spans="1:8">
      <c r="A456" s="64"/>
      <c r="B456" s="73" t="s">
        <v>863</v>
      </c>
      <c r="C456" s="66" t="s">
        <v>864</v>
      </c>
      <c r="D456" s="67">
        <v>2.1739</v>
      </c>
      <c r="E456" s="68"/>
      <c r="F456" s="69">
        <v>8</v>
      </c>
      <c r="G456" s="70"/>
      <c r="H456" s="71">
        <v>5</v>
      </c>
    </row>
    <row r="457" ht="27.95" customHeight="1" spans="1:8">
      <c r="A457" s="64"/>
      <c r="B457" s="73" t="s">
        <v>865</v>
      </c>
      <c r="C457" s="66" t="s">
        <v>866</v>
      </c>
      <c r="D457" s="67">
        <v>1.3043</v>
      </c>
      <c r="E457" s="68"/>
      <c r="F457" s="69">
        <v>4.8</v>
      </c>
      <c r="G457" s="70"/>
      <c r="H457" s="71">
        <v>3</v>
      </c>
    </row>
    <row r="458" ht="27.95" customHeight="1" spans="1:8">
      <c r="A458" s="64"/>
      <c r="B458" s="103" t="s">
        <v>867</v>
      </c>
      <c r="C458" s="104" t="s">
        <v>868</v>
      </c>
      <c r="D458" s="67">
        <v>0.1304</v>
      </c>
      <c r="E458" s="68"/>
      <c r="F458" s="105">
        <v>1</v>
      </c>
      <c r="G458" s="106"/>
      <c r="H458" s="107">
        <v>0.3</v>
      </c>
    </row>
    <row r="459" ht="27.95" customHeight="1" spans="1:8">
      <c r="A459" s="64"/>
      <c r="B459" s="73" t="s">
        <v>869</v>
      </c>
      <c r="C459" s="66" t="s">
        <v>870</v>
      </c>
      <c r="D459" s="67">
        <v>0.1304</v>
      </c>
      <c r="E459" s="68"/>
      <c r="F459" s="69">
        <v>0.4</v>
      </c>
      <c r="G459" s="70"/>
      <c r="H459" s="71">
        <v>0.3</v>
      </c>
    </row>
    <row r="460" ht="27.95" customHeight="1" spans="1:8">
      <c r="A460" s="64"/>
      <c r="B460" s="73" t="s">
        <v>871</v>
      </c>
      <c r="C460" s="66" t="s">
        <v>872</v>
      </c>
      <c r="D460" s="67">
        <v>0.3043</v>
      </c>
      <c r="E460" s="68"/>
      <c r="F460" s="69">
        <v>1</v>
      </c>
      <c r="G460" s="70"/>
      <c r="H460" s="71">
        <v>0.7</v>
      </c>
    </row>
    <row r="461" ht="27.95" customHeight="1" spans="1:8">
      <c r="A461" s="64"/>
      <c r="B461" s="73" t="s">
        <v>873</v>
      </c>
      <c r="C461" s="66" t="s">
        <v>874</v>
      </c>
      <c r="D461" s="67">
        <v>0.3043</v>
      </c>
      <c r="E461" s="68"/>
      <c r="F461" s="69">
        <v>1</v>
      </c>
      <c r="G461" s="70"/>
      <c r="H461" s="71">
        <v>0.7</v>
      </c>
    </row>
    <row r="462" ht="27.95" customHeight="1" spans="1:8">
      <c r="A462" s="64"/>
      <c r="B462" s="73" t="s">
        <v>875</v>
      </c>
      <c r="C462" s="66" t="s">
        <v>876</v>
      </c>
      <c r="D462" s="67">
        <v>0.3043</v>
      </c>
      <c r="E462" s="68"/>
      <c r="F462" s="69">
        <v>1</v>
      </c>
      <c r="G462" s="70"/>
      <c r="H462" s="71">
        <v>0.7</v>
      </c>
    </row>
    <row r="463" ht="27.95" customHeight="1" spans="1:8">
      <c r="A463" s="64"/>
      <c r="B463" s="73" t="s">
        <v>877</v>
      </c>
      <c r="C463" s="66" t="s">
        <v>878</v>
      </c>
      <c r="D463" s="67">
        <v>7.2609</v>
      </c>
      <c r="E463" s="68"/>
      <c r="F463" s="69">
        <v>20.5</v>
      </c>
      <c r="G463" s="70"/>
      <c r="H463" s="71">
        <v>16.7</v>
      </c>
    </row>
    <row r="464" ht="27.95" customHeight="1" spans="1:8">
      <c r="A464" s="64"/>
      <c r="B464" s="73" t="s">
        <v>879</v>
      </c>
      <c r="C464" s="66" t="s">
        <v>880</v>
      </c>
      <c r="D464" s="67">
        <v>0.6087</v>
      </c>
      <c r="E464" s="68"/>
      <c r="F464" s="69">
        <v>2.5</v>
      </c>
      <c r="G464" s="70"/>
      <c r="H464" s="71">
        <v>1.4</v>
      </c>
    </row>
    <row r="465" ht="27.95" customHeight="1" spans="1:8">
      <c r="A465" s="64"/>
      <c r="B465" s="103" t="s">
        <v>881</v>
      </c>
      <c r="C465" s="104" t="s">
        <v>882</v>
      </c>
      <c r="D465" s="67">
        <v>0.913</v>
      </c>
      <c r="E465" s="68"/>
      <c r="F465" s="105">
        <v>3.5</v>
      </c>
      <c r="G465" s="106"/>
      <c r="H465" s="107">
        <v>2.1</v>
      </c>
    </row>
    <row r="466" ht="27.95" customHeight="1" spans="1:8">
      <c r="A466" s="64"/>
      <c r="B466" s="73" t="s">
        <v>883</v>
      </c>
      <c r="C466" s="66" t="s">
        <v>884</v>
      </c>
      <c r="D466" s="67">
        <v>1.7391</v>
      </c>
      <c r="E466" s="68"/>
      <c r="F466" s="69">
        <v>6.4</v>
      </c>
      <c r="G466" s="70"/>
      <c r="H466" s="71">
        <v>4</v>
      </c>
    </row>
    <row r="467" ht="27.95" customHeight="1" spans="1:8">
      <c r="A467" s="64"/>
      <c r="B467" s="73" t="s">
        <v>885</v>
      </c>
      <c r="C467" s="66" t="s">
        <v>886</v>
      </c>
      <c r="D467" s="67">
        <v>1.3913</v>
      </c>
      <c r="E467" s="68"/>
      <c r="F467" s="69">
        <v>5</v>
      </c>
      <c r="G467" s="70"/>
      <c r="H467" s="71">
        <v>3.2</v>
      </c>
    </row>
    <row r="468" ht="27.95" customHeight="1" spans="1:8">
      <c r="A468" s="64"/>
      <c r="B468" s="103" t="s">
        <v>887</v>
      </c>
      <c r="C468" s="104" t="s">
        <v>888</v>
      </c>
      <c r="D468" s="67">
        <v>1.3478</v>
      </c>
      <c r="E468" s="68"/>
      <c r="F468" s="105">
        <v>5</v>
      </c>
      <c r="G468" s="106"/>
      <c r="H468" s="107">
        <v>3.1</v>
      </c>
    </row>
    <row r="469" ht="27.95" customHeight="1" spans="1:8">
      <c r="A469" s="64"/>
      <c r="B469" s="73" t="s">
        <v>889</v>
      </c>
      <c r="C469" s="66" t="s">
        <v>890</v>
      </c>
      <c r="D469" s="67">
        <v>1.1304</v>
      </c>
      <c r="E469" s="68"/>
      <c r="F469" s="69">
        <v>4.2</v>
      </c>
      <c r="G469" s="70"/>
      <c r="H469" s="71">
        <v>2.6</v>
      </c>
    </row>
    <row r="470" ht="27.95" customHeight="1" spans="1:8">
      <c r="A470" s="64"/>
      <c r="B470" s="103" t="s">
        <v>891</v>
      </c>
      <c r="C470" s="104" t="s">
        <v>892</v>
      </c>
      <c r="D470" s="67">
        <v>1</v>
      </c>
      <c r="E470" s="68"/>
      <c r="F470" s="105">
        <v>3.6</v>
      </c>
      <c r="G470" s="106"/>
      <c r="H470" s="107">
        <v>2.3</v>
      </c>
    </row>
    <row r="471" ht="27.95" customHeight="1" spans="1:8">
      <c r="A471" s="64"/>
      <c r="B471" s="103" t="s">
        <v>893</v>
      </c>
      <c r="C471" s="104" t="s">
        <v>894</v>
      </c>
      <c r="D471" s="67">
        <v>1.1304</v>
      </c>
      <c r="E471" s="68"/>
      <c r="F471" s="105">
        <v>4</v>
      </c>
      <c r="G471" s="106"/>
      <c r="H471" s="107">
        <v>2.6</v>
      </c>
    </row>
    <row r="472" ht="27.95" customHeight="1" spans="1:8">
      <c r="A472" s="64"/>
      <c r="B472" s="73" t="s">
        <v>895</v>
      </c>
      <c r="C472" s="66" t="s">
        <v>896</v>
      </c>
      <c r="D472" s="67">
        <v>1.6957</v>
      </c>
      <c r="E472" s="68"/>
      <c r="F472" s="69">
        <v>6</v>
      </c>
      <c r="G472" s="70"/>
      <c r="H472" s="71">
        <v>3.9</v>
      </c>
    </row>
    <row r="473" ht="27.95" customHeight="1" spans="1:8">
      <c r="A473" s="64"/>
      <c r="B473" s="103" t="s">
        <v>897</v>
      </c>
      <c r="C473" s="104" t="s">
        <v>898</v>
      </c>
      <c r="D473" s="67">
        <v>1.2174</v>
      </c>
      <c r="E473" s="68"/>
      <c r="F473" s="105">
        <v>4.6</v>
      </c>
      <c r="G473" s="106"/>
      <c r="H473" s="107">
        <v>2.8</v>
      </c>
    </row>
    <row r="474" ht="27.95" customHeight="1" spans="1:8">
      <c r="A474" s="64"/>
      <c r="B474" s="73" t="s">
        <v>899</v>
      </c>
      <c r="C474" s="66" t="s">
        <v>900</v>
      </c>
      <c r="D474" s="67">
        <v>0.4348</v>
      </c>
      <c r="E474" s="68"/>
      <c r="F474" s="69">
        <v>1.5</v>
      </c>
      <c r="G474" s="70"/>
      <c r="H474" s="71">
        <v>1</v>
      </c>
    </row>
    <row r="475" ht="27.95" customHeight="1" spans="1:8">
      <c r="A475" s="64"/>
      <c r="B475" s="65">
        <v>6903072302192</v>
      </c>
      <c r="C475" s="66" t="s">
        <v>901</v>
      </c>
      <c r="D475" s="67">
        <v>0.5435</v>
      </c>
      <c r="E475" s="68"/>
      <c r="F475" s="69">
        <v>1.25</v>
      </c>
      <c r="G475" s="70"/>
      <c r="H475" s="71">
        <v>1</v>
      </c>
    </row>
    <row r="476" ht="27.95" customHeight="1" spans="1:8">
      <c r="A476" s="64"/>
      <c r="B476" s="73" t="s">
        <v>902</v>
      </c>
      <c r="C476" s="66" t="s">
        <v>903</v>
      </c>
      <c r="D476" s="67">
        <v>0.0435</v>
      </c>
      <c r="E476" s="68"/>
      <c r="F476" s="69">
        <v>0.2</v>
      </c>
      <c r="G476" s="70"/>
      <c r="H476" s="71">
        <v>0.1</v>
      </c>
    </row>
    <row r="477" ht="27.95" customHeight="1" spans="1:8">
      <c r="A477" s="64"/>
      <c r="B477" s="73" t="s">
        <v>904</v>
      </c>
      <c r="C477" s="66" t="s">
        <v>905</v>
      </c>
      <c r="D477" s="67">
        <v>0.0435</v>
      </c>
      <c r="E477" s="68"/>
      <c r="F477" s="69">
        <v>0.2</v>
      </c>
      <c r="G477" s="70"/>
      <c r="H477" s="71">
        <v>0.1</v>
      </c>
    </row>
    <row r="478" ht="27.95" customHeight="1" spans="1:8">
      <c r="A478" s="64"/>
      <c r="B478" s="108" t="s">
        <v>906</v>
      </c>
      <c r="C478" s="109" t="s">
        <v>907</v>
      </c>
      <c r="D478" s="67">
        <v>0.0435</v>
      </c>
      <c r="E478" s="68"/>
      <c r="F478" s="110">
        <v>0.2</v>
      </c>
      <c r="G478" s="111"/>
      <c r="H478" s="112">
        <v>0.1</v>
      </c>
    </row>
    <row r="479" ht="27.95" customHeight="1" spans="1:8">
      <c r="A479" s="64"/>
      <c r="B479" s="103" t="s">
        <v>908</v>
      </c>
      <c r="C479" s="104" t="s">
        <v>909</v>
      </c>
      <c r="D479" s="67">
        <v>0.2174</v>
      </c>
      <c r="E479" s="68"/>
      <c r="F479" s="105">
        <v>1</v>
      </c>
      <c r="G479" s="106"/>
      <c r="H479" s="107">
        <v>0.5</v>
      </c>
    </row>
    <row r="480" ht="27.95" customHeight="1" spans="1:8">
      <c r="A480" s="64"/>
      <c r="B480" s="73" t="s">
        <v>910</v>
      </c>
      <c r="C480" s="66" t="s">
        <v>911</v>
      </c>
      <c r="D480" s="67">
        <v>0.9565</v>
      </c>
      <c r="E480" s="68"/>
      <c r="F480" s="69">
        <v>3.4</v>
      </c>
      <c r="G480" s="70"/>
      <c r="H480" s="71">
        <v>2.2</v>
      </c>
    </row>
    <row r="481" ht="27.95" customHeight="1" spans="1:8">
      <c r="A481" s="64"/>
      <c r="B481" s="73" t="s">
        <v>912</v>
      </c>
      <c r="C481" s="66" t="s">
        <v>913</v>
      </c>
      <c r="D481" s="67">
        <v>2.6087</v>
      </c>
      <c r="E481" s="68"/>
      <c r="F481" s="69">
        <v>12</v>
      </c>
      <c r="G481" s="70"/>
      <c r="H481" s="71">
        <v>6</v>
      </c>
    </row>
    <row r="482" ht="27.95" customHeight="1" spans="1:8">
      <c r="A482" s="74"/>
      <c r="B482" s="114">
        <v>6950943200859</v>
      </c>
      <c r="C482" s="104" t="s">
        <v>914</v>
      </c>
      <c r="D482" s="67">
        <v>0.087</v>
      </c>
      <c r="E482" s="68"/>
      <c r="F482" s="105">
        <v>0.5</v>
      </c>
      <c r="G482" s="106"/>
      <c r="H482" s="107">
        <v>0.2</v>
      </c>
    </row>
    <row r="483" ht="27.95" customHeight="1" spans="1:8">
      <c r="A483" s="75"/>
      <c r="B483" s="73" t="s">
        <v>915</v>
      </c>
      <c r="C483" s="66" t="s">
        <v>914</v>
      </c>
      <c r="D483" s="67">
        <v>0.087</v>
      </c>
      <c r="E483" s="68"/>
      <c r="F483" s="69">
        <v>0.3</v>
      </c>
      <c r="G483" s="70"/>
      <c r="H483" s="71">
        <v>0.2</v>
      </c>
    </row>
    <row r="484" ht="27.95" customHeight="1" spans="1:8">
      <c r="A484" s="64"/>
      <c r="B484" s="73" t="s">
        <v>916</v>
      </c>
      <c r="C484" s="66" t="s">
        <v>917</v>
      </c>
      <c r="D484" s="67">
        <v>0.087</v>
      </c>
      <c r="E484" s="68"/>
      <c r="F484" s="69">
        <v>0.3</v>
      </c>
      <c r="G484" s="70"/>
      <c r="H484" s="71">
        <v>0.2</v>
      </c>
    </row>
    <row r="485" ht="27.95" customHeight="1" spans="1:8">
      <c r="A485" s="64"/>
      <c r="B485" s="73" t="s">
        <v>918</v>
      </c>
      <c r="C485" s="66" t="s">
        <v>919</v>
      </c>
      <c r="D485" s="67">
        <v>0.7826</v>
      </c>
      <c r="E485" s="68"/>
      <c r="F485" s="69">
        <v>2.9</v>
      </c>
      <c r="G485" s="70"/>
      <c r="H485" s="71">
        <v>1.8</v>
      </c>
    </row>
    <row r="486" ht="27.95" customHeight="1" spans="1:8">
      <c r="A486" s="64"/>
      <c r="B486" s="73" t="s">
        <v>920</v>
      </c>
      <c r="C486" s="66" t="s">
        <v>921</v>
      </c>
      <c r="D486" s="67">
        <v>0.8696</v>
      </c>
      <c r="E486" s="68"/>
      <c r="F486" s="69">
        <v>3.2</v>
      </c>
      <c r="G486" s="70"/>
      <c r="H486" s="71">
        <v>2</v>
      </c>
    </row>
    <row r="487" ht="27.95" customHeight="1" spans="1:8">
      <c r="A487" s="64"/>
      <c r="B487" s="73" t="s">
        <v>922</v>
      </c>
      <c r="C487" s="66" t="s">
        <v>923</v>
      </c>
      <c r="D487" s="67">
        <v>1.0435</v>
      </c>
      <c r="E487" s="68"/>
      <c r="F487" s="69">
        <v>3.8</v>
      </c>
      <c r="G487" s="70"/>
      <c r="H487" s="71">
        <v>2.4</v>
      </c>
    </row>
    <row r="488" ht="27.95" customHeight="1" spans="1:8">
      <c r="A488" s="64"/>
      <c r="B488" s="73" t="s">
        <v>924</v>
      </c>
      <c r="C488" s="66" t="s">
        <v>925</v>
      </c>
      <c r="D488" s="67">
        <v>3.087</v>
      </c>
      <c r="E488" s="68"/>
      <c r="F488" s="69">
        <v>11.4</v>
      </c>
      <c r="G488" s="70"/>
      <c r="H488" s="71">
        <v>7.1</v>
      </c>
    </row>
    <row r="489" ht="27.95" customHeight="1" spans="1:8">
      <c r="A489" s="64"/>
      <c r="B489" s="73" t="s">
        <v>926</v>
      </c>
      <c r="C489" s="66" t="s">
        <v>927</v>
      </c>
      <c r="D489" s="67">
        <v>0.3913</v>
      </c>
      <c r="E489" s="68"/>
      <c r="F489" s="69">
        <v>1.4</v>
      </c>
      <c r="G489" s="70"/>
      <c r="H489" s="71">
        <v>0.9</v>
      </c>
    </row>
    <row r="490" ht="27.95" customHeight="1" spans="1:8">
      <c r="A490" s="64"/>
      <c r="B490" s="73" t="s">
        <v>928</v>
      </c>
      <c r="C490" s="66" t="s">
        <v>929</v>
      </c>
      <c r="D490" s="82">
        <v>45.6522</v>
      </c>
      <c r="E490" s="83"/>
      <c r="F490" s="69">
        <v>168</v>
      </c>
      <c r="G490" s="70"/>
      <c r="H490" s="71">
        <v>105</v>
      </c>
    </row>
    <row r="491" ht="27.95" customHeight="1" spans="1:8">
      <c r="A491" s="64"/>
      <c r="B491" s="73" t="s">
        <v>930</v>
      </c>
      <c r="C491" s="66" t="s">
        <v>931</v>
      </c>
      <c r="D491" s="67">
        <v>0.4783</v>
      </c>
      <c r="E491" s="68"/>
      <c r="F491" s="69">
        <v>1.8</v>
      </c>
      <c r="G491" s="70"/>
      <c r="H491" s="71">
        <v>1.1</v>
      </c>
    </row>
    <row r="492" ht="27.95" customHeight="1" spans="1:8">
      <c r="A492" s="64"/>
      <c r="B492" s="103" t="s">
        <v>932</v>
      </c>
      <c r="C492" s="104" t="s">
        <v>933</v>
      </c>
      <c r="D492" s="67">
        <v>0.3043</v>
      </c>
      <c r="E492" s="68"/>
      <c r="F492" s="105">
        <v>1</v>
      </c>
      <c r="G492" s="106"/>
      <c r="H492" s="107">
        <v>0.6</v>
      </c>
    </row>
    <row r="493" ht="27.95" customHeight="1" spans="1:8">
      <c r="A493" s="64"/>
      <c r="B493" s="73" t="s">
        <v>934</v>
      </c>
      <c r="C493" s="66" t="s">
        <v>935</v>
      </c>
      <c r="D493" s="67">
        <v>1.4348</v>
      </c>
      <c r="E493" s="68"/>
      <c r="F493" s="69">
        <v>5.3</v>
      </c>
      <c r="G493" s="70"/>
      <c r="H493" s="71">
        <v>3.3</v>
      </c>
    </row>
    <row r="494" ht="27.95" customHeight="1" spans="1:8">
      <c r="A494" s="64"/>
      <c r="B494" s="73" t="s">
        <v>936</v>
      </c>
      <c r="C494" s="66" t="s">
        <v>937</v>
      </c>
      <c r="D494" s="67">
        <v>2.4348</v>
      </c>
      <c r="E494" s="68"/>
      <c r="F494" s="69">
        <v>9.5</v>
      </c>
      <c r="G494" s="70"/>
      <c r="H494" s="71">
        <v>5.6</v>
      </c>
    </row>
    <row r="495" ht="27.95" customHeight="1" spans="1:8">
      <c r="A495" s="64"/>
      <c r="B495" s="103" t="s">
        <v>938</v>
      </c>
      <c r="C495" s="104" t="s">
        <v>939</v>
      </c>
      <c r="D495" s="67">
        <v>3.3478</v>
      </c>
      <c r="E495" s="68"/>
      <c r="F495" s="105">
        <v>12.5</v>
      </c>
      <c r="G495" s="106"/>
      <c r="H495" s="107">
        <v>7.7</v>
      </c>
    </row>
    <row r="496" ht="27.95" customHeight="1" spans="1:8">
      <c r="A496" s="64"/>
      <c r="B496" s="103" t="s">
        <v>940</v>
      </c>
      <c r="C496" s="104" t="s">
        <v>941</v>
      </c>
      <c r="D496" s="67">
        <v>5.5652</v>
      </c>
      <c r="E496" s="68"/>
      <c r="F496" s="105">
        <v>13</v>
      </c>
      <c r="G496" s="106"/>
      <c r="H496" s="107">
        <v>12.8</v>
      </c>
    </row>
    <row r="497" ht="27.95" customHeight="1" spans="1:8">
      <c r="A497" s="64"/>
      <c r="B497" s="73" t="s">
        <v>942</v>
      </c>
      <c r="C497" s="66" t="s">
        <v>943</v>
      </c>
      <c r="D497" s="67">
        <v>0.0435</v>
      </c>
      <c r="E497" s="68"/>
      <c r="F497" s="69">
        <v>0.25</v>
      </c>
      <c r="G497" s="70"/>
      <c r="H497" s="71">
        <v>0.1</v>
      </c>
    </row>
    <row r="498" ht="27.95" customHeight="1" spans="1:8">
      <c r="A498" s="64"/>
      <c r="B498" s="73" t="s">
        <v>944</v>
      </c>
      <c r="C498" s="66" t="s">
        <v>945</v>
      </c>
      <c r="D498" s="67">
        <v>0.1304</v>
      </c>
      <c r="E498" s="68"/>
      <c r="F498" s="69">
        <v>0.5</v>
      </c>
      <c r="G498" s="70"/>
      <c r="H498" s="71">
        <v>0.3</v>
      </c>
    </row>
    <row r="499" ht="27.95" customHeight="1" spans="1:8">
      <c r="A499" s="64"/>
      <c r="B499" s="73" t="s">
        <v>946</v>
      </c>
      <c r="C499" s="66" t="s">
        <v>947</v>
      </c>
      <c r="D499" s="67">
        <v>0.0435</v>
      </c>
      <c r="E499" s="68"/>
      <c r="F499" s="69">
        <v>0.25</v>
      </c>
      <c r="G499" s="70"/>
      <c r="H499" s="71">
        <v>0.1</v>
      </c>
    </row>
    <row r="500" ht="27.95" customHeight="1" spans="1:8">
      <c r="A500" s="64"/>
      <c r="B500" s="103" t="s">
        <v>948</v>
      </c>
      <c r="C500" s="104" t="s">
        <v>949</v>
      </c>
      <c r="D500" s="67">
        <v>0.0435</v>
      </c>
      <c r="E500" s="68"/>
      <c r="F500" s="105">
        <v>0.25</v>
      </c>
      <c r="G500" s="106"/>
      <c r="H500" s="107">
        <v>0.1</v>
      </c>
    </row>
    <row r="501" ht="27.95" customHeight="1" spans="1:8">
      <c r="A501" s="64"/>
      <c r="B501" s="103" t="s">
        <v>950</v>
      </c>
      <c r="C501" s="104" t="s">
        <v>951</v>
      </c>
      <c r="D501" s="67">
        <v>0.0435</v>
      </c>
      <c r="E501" s="68"/>
      <c r="F501" s="105">
        <v>0.25</v>
      </c>
      <c r="G501" s="106"/>
      <c r="H501" s="107">
        <v>0.1</v>
      </c>
    </row>
    <row r="502" ht="27.95" customHeight="1" spans="1:8">
      <c r="A502" s="64"/>
      <c r="B502" s="73" t="s">
        <v>952</v>
      </c>
      <c r="C502" s="66" t="s">
        <v>953</v>
      </c>
      <c r="D502" s="67">
        <v>0.0435</v>
      </c>
      <c r="E502" s="68"/>
      <c r="F502" s="69">
        <v>0.25</v>
      </c>
      <c r="G502" s="70"/>
      <c r="H502" s="71">
        <v>0.1</v>
      </c>
    </row>
    <row r="503" ht="27.95" customHeight="1" spans="1:8">
      <c r="A503" s="64"/>
      <c r="B503" s="103" t="s">
        <v>954</v>
      </c>
      <c r="C503" s="104" t="s">
        <v>955</v>
      </c>
      <c r="D503" s="67">
        <v>0.0435</v>
      </c>
      <c r="E503" s="68"/>
      <c r="F503" s="105">
        <v>0.25</v>
      </c>
      <c r="G503" s="106"/>
      <c r="H503" s="107">
        <v>0.1</v>
      </c>
    </row>
    <row r="504" ht="27.95" customHeight="1" spans="1:8">
      <c r="A504" s="64"/>
      <c r="B504" s="103" t="s">
        <v>956</v>
      </c>
      <c r="C504" s="104" t="s">
        <v>957</v>
      </c>
      <c r="D504" s="67">
        <v>0.0435</v>
      </c>
      <c r="E504" s="68"/>
      <c r="F504" s="105">
        <v>0.2</v>
      </c>
      <c r="G504" s="106"/>
      <c r="H504" s="107">
        <v>0.1</v>
      </c>
    </row>
    <row r="505" ht="27.95" customHeight="1" spans="1:8">
      <c r="A505" s="64"/>
      <c r="B505" s="103" t="s">
        <v>958</v>
      </c>
      <c r="C505" s="104" t="s">
        <v>959</v>
      </c>
      <c r="D505" s="67">
        <v>0.087</v>
      </c>
      <c r="E505" s="68"/>
      <c r="F505" s="105">
        <v>0.3</v>
      </c>
      <c r="G505" s="106"/>
      <c r="H505" s="107">
        <v>0.2</v>
      </c>
    </row>
    <row r="506" ht="27.95" customHeight="1" spans="1:8">
      <c r="A506" s="64"/>
      <c r="B506" s="103" t="s">
        <v>960</v>
      </c>
      <c r="C506" s="104" t="s">
        <v>961</v>
      </c>
      <c r="D506" s="67">
        <v>0.0435</v>
      </c>
      <c r="E506" s="68"/>
      <c r="F506" s="105">
        <v>0.25</v>
      </c>
      <c r="G506" s="106"/>
      <c r="H506" s="107">
        <v>0.1</v>
      </c>
    </row>
    <row r="507" ht="27.95" customHeight="1" spans="1:8">
      <c r="A507" s="64"/>
      <c r="B507" s="65">
        <v>6972513826511</v>
      </c>
      <c r="C507" s="66" t="s">
        <v>962</v>
      </c>
      <c r="D507" s="67">
        <v>0.1087</v>
      </c>
      <c r="E507" s="68"/>
      <c r="F507" s="69">
        <v>0.5</v>
      </c>
      <c r="G507" s="70"/>
      <c r="H507" s="71">
        <v>0.25</v>
      </c>
    </row>
    <row r="508" ht="27.95" customHeight="1" spans="1:8">
      <c r="A508" s="64"/>
      <c r="B508" s="73" t="s">
        <v>963</v>
      </c>
      <c r="C508" s="66" t="s">
        <v>964</v>
      </c>
      <c r="D508" s="67">
        <v>0.1739</v>
      </c>
      <c r="E508" s="68"/>
      <c r="F508" s="69">
        <v>0.5</v>
      </c>
      <c r="G508" s="70"/>
      <c r="H508" s="71">
        <v>0.4</v>
      </c>
    </row>
    <row r="509" ht="27.75" customHeight="1" spans="1:8">
      <c r="A509" s="64"/>
      <c r="B509" s="103" t="s">
        <v>965</v>
      </c>
      <c r="C509" s="104" t="s">
        <v>966</v>
      </c>
      <c r="D509" s="67">
        <v>0.1739</v>
      </c>
      <c r="E509" s="68"/>
      <c r="F509" s="105">
        <v>0.7</v>
      </c>
      <c r="G509" s="106"/>
      <c r="H509" s="107">
        <v>0.4</v>
      </c>
    </row>
    <row r="510" ht="27.95" customHeight="1" spans="1:8">
      <c r="A510" s="64"/>
      <c r="B510" s="73" t="s">
        <v>967</v>
      </c>
      <c r="C510" s="66" t="s">
        <v>968</v>
      </c>
      <c r="D510" s="67">
        <v>0.1739</v>
      </c>
      <c r="E510" s="68"/>
      <c r="F510" s="69">
        <v>0.7</v>
      </c>
      <c r="G510" s="70"/>
      <c r="H510" s="71">
        <v>0.4</v>
      </c>
    </row>
    <row r="511" ht="27.95" customHeight="1" spans="1:8">
      <c r="A511" s="64"/>
      <c r="B511" s="103" t="s">
        <v>969</v>
      </c>
      <c r="C511" s="104" t="s">
        <v>970</v>
      </c>
      <c r="D511" s="67">
        <v>0.1304</v>
      </c>
      <c r="E511" s="68"/>
      <c r="F511" s="105">
        <v>0.5</v>
      </c>
      <c r="G511" s="106"/>
      <c r="H511" s="107">
        <v>0.3</v>
      </c>
    </row>
    <row r="512" ht="27.95" customHeight="1" spans="1:8">
      <c r="A512" s="64"/>
      <c r="B512" s="103" t="s">
        <v>971</v>
      </c>
      <c r="C512" s="104" t="s">
        <v>972</v>
      </c>
      <c r="D512" s="67">
        <v>0.2174</v>
      </c>
      <c r="E512" s="68"/>
      <c r="F512" s="105">
        <v>1</v>
      </c>
      <c r="G512" s="106"/>
      <c r="H512" s="107">
        <v>0.5</v>
      </c>
    </row>
    <row r="513" ht="27.95" customHeight="1" spans="1:8">
      <c r="A513" s="74"/>
      <c r="B513" s="73" t="s">
        <v>973</v>
      </c>
      <c r="C513" s="66" t="s">
        <v>974</v>
      </c>
      <c r="D513" s="67">
        <v>0.087</v>
      </c>
      <c r="E513" s="68"/>
      <c r="F513" s="69">
        <v>0.4</v>
      </c>
      <c r="G513" s="70"/>
      <c r="H513" s="71">
        <v>0.2</v>
      </c>
    </row>
    <row r="514" ht="27.95" customHeight="1" spans="1:8">
      <c r="A514" s="75"/>
      <c r="B514" s="73" t="s">
        <v>975</v>
      </c>
      <c r="C514" s="66" t="s">
        <v>974</v>
      </c>
      <c r="D514" s="67">
        <v>0.1304</v>
      </c>
      <c r="E514" s="68"/>
      <c r="F514" s="69">
        <v>0.4</v>
      </c>
      <c r="G514" s="70"/>
      <c r="H514" s="71">
        <v>0.3</v>
      </c>
    </row>
    <row r="515" ht="27.95" customHeight="1" spans="1:8">
      <c r="A515" s="64"/>
      <c r="B515" s="73" t="s">
        <v>976</v>
      </c>
      <c r="C515" s="66" t="s">
        <v>977</v>
      </c>
      <c r="D515" s="67">
        <v>0.2174</v>
      </c>
      <c r="E515" s="68"/>
      <c r="F515" s="69">
        <v>0.8</v>
      </c>
      <c r="G515" s="70"/>
      <c r="H515" s="71">
        <v>0.5</v>
      </c>
    </row>
    <row r="516" ht="27.95" customHeight="1" spans="1:8">
      <c r="A516" s="64"/>
      <c r="B516" s="103" t="s">
        <v>978</v>
      </c>
      <c r="C516" s="104" t="s">
        <v>979</v>
      </c>
      <c r="D516" s="67">
        <v>0.1304</v>
      </c>
      <c r="E516" s="68"/>
      <c r="F516" s="105">
        <v>0.5</v>
      </c>
      <c r="G516" s="106"/>
      <c r="H516" s="107">
        <v>0.3</v>
      </c>
    </row>
    <row r="517" ht="27.95" customHeight="1" spans="1:8">
      <c r="A517" s="64"/>
      <c r="B517" s="73" t="s">
        <v>980</v>
      </c>
      <c r="C517" s="66" t="s">
        <v>981</v>
      </c>
      <c r="D517" s="67">
        <v>0.2174</v>
      </c>
      <c r="E517" s="68"/>
      <c r="F517" s="69">
        <v>1</v>
      </c>
      <c r="G517" s="70"/>
      <c r="H517" s="71">
        <v>0.5</v>
      </c>
    </row>
    <row r="518" ht="27.95" customHeight="1" spans="1:8">
      <c r="A518" s="64"/>
      <c r="B518" s="73" t="s">
        <v>982</v>
      </c>
      <c r="C518" s="66" t="s">
        <v>983</v>
      </c>
      <c r="D518" s="67">
        <v>0.2609</v>
      </c>
      <c r="E518" s="68"/>
      <c r="F518" s="69">
        <v>0.9</v>
      </c>
      <c r="G518" s="70"/>
      <c r="H518" s="71">
        <v>0.6</v>
      </c>
    </row>
    <row r="519" ht="27.95" customHeight="1" spans="1:8">
      <c r="A519" s="64"/>
      <c r="B519" s="73" t="s">
        <v>984</v>
      </c>
      <c r="C519" s="66" t="s">
        <v>985</v>
      </c>
      <c r="D519" s="67">
        <v>0.2609</v>
      </c>
      <c r="E519" s="68"/>
      <c r="F519" s="69">
        <v>0.9</v>
      </c>
      <c r="G519" s="70"/>
      <c r="H519" s="71">
        <v>0.6</v>
      </c>
    </row>
    <row r="520" ht="27.95" customHeight="1" spans="1:8">
      <c r="A520" s="64"/>
      <c r="B520" s="73" t="s">
        <v>986</v>
      </c>
      <c r="C520" s="66" t="s">
        <v>987</v>
      </c>
      <c r="D520" s="67">
        <v>0.2174</v>
      </c>
      <c r="E520" s="68"/>
      <c r="F520" s="69">
        <v>0.7</v>
      </c>
      <c r="G520" s="70"/>
      <c r="H520" s="71">
        <v>0.5</v>
      </c>
    </row>
    <row r="521" ht="27.95" customHeight="1" spans="1:8">
      <c r="A521" s="64"/>
      <c r="B521" s="73" t="s">
        <v>988</v>
      </c>
      <c r="C521" s="66" t="s">
        <v>989</v>
      </c>
      <c r="D521" s="67">
        <v>0.2174</v>
      </c>
      <c r="E521" s="68"/>
      <c r="F521" s="69">
        <v>1</v>
      </c>
      <c r="G521" s="70"/>
      <c r="H521" s="71">
        <v>0.5</v>
      </c>
    </row>
    <row r="522" ht="27.95" customHeight="1" spans="1:8">
      <c r="A522" s="64"/>
      <c r="B522" s="73" t="s">
        <v>990</v>
      </c>
      <c r="C522" s="66" t="s">
        <v>991</v>
      </c>
      <c r="D522" s="67">
        <v>0.1739</v>
      </c>
      <c r="E522" s="68"/>
      <c r="F522" s="69">
        <v>0.7</v>
      </c>
      <c r="G522" s="70"/>
      <c r="H522" s="71">
        <v>0.4</v>
      </c>
    </row>
    <row r="523" ht="27.95" customHeight="1" spans="1:8">
      <c r="A523" s="64"/>
      <c r="B523" s="73" t="s">
        <v>992</v>
      </c>
      <c r="C523" s="66" t="s">
        <v>993</v>
      </c>
      <c r="D523" s="67">
        <v>0.2174</v>
      </c>
      <c r="E523" s="68"/>
      <c r="F523" s="69">
        <v>0.8</v>
      </c>
      <c r="G523" s="70"/>
      <c r="H523" s="71">
        <v>0.5</v>
      </c>
    </row>
    <row r="524" ht="27.95" customHeight="1" spans="1:8">
      <c r="A524" s="64"/>
      <c r="B524" s="73" t="s">
        <v>994</v>
      </c>
      <c r="C524" s="66" t="s">
        <v>995</v>
      </c>
      <c r="D524" s="67">
        <v>0.2174</v>
      </c>
      <c r="E524" s="68"/>
      <c r="F524" s="69">
        <v>1</v>
      </c>
      <c r="G524" s="70"/>
      <c r="H524" s="71">
        <v>0.5</v>
      </c>
    </row>
    <row r="525" ht="27.95" customHeight="1" spans="1:8">
      <c r="A525" s="64"/>
      <c r="B525" s="103" t="s">
        <v>996</v>
      </c>
      <c r="C525" s="104" t="s">
        <v>997</v>
      </c>
      <c r="D525" s="67">
        <v>0.2174</v>
      </c>
      <c r="E525" s="68"/>
      <c r="F525" s="105">
        <v>0.9</v>
      </c>
      <c r="G525" s="106"/>
      <c r="H525" s="107">
        <v>0.5</v>
      </c>
    </row>
    <row r="526" ht="27.95" customHeight="1" spans="1:8">
      <c r="A526" s="64"/>
      <c r="B526" s="73" t="s">
        <v>998</v>
      </c>
      <c r="C526" s="66" t="s">
        <v>999</v>
      </c>
      <c r="D526" s="67">
        <v>0.087</v>
      </c>
      <c r="E526" s="68"/>
      <c r="F526" s="69">
        <v>0.4</v>
      </c>
      <c r="G526" s="70"/>
      <c r="H526" s="71">
        <v>0.2</v>
      </c>
    </row>
    <row r="527" ht="27.95" customHeight="1" spans="1:8">
      <c r="A527" s="64"/>
      <c r="B527" s="103" t="s">
        <v>1000</v>
      </c>
      <c r="C527" s="104" t="s">
        <v>1001</v>
      </c>
      <c r="D527" s="67">
        <v>0.1739</v>
      </c>
      <c r="E527" s="68"/>
      <c r="F527" s="105">
        <v>0.6</v>
      </c>
      <c r="G527" s="106"/>
      <c r="H527" s="107">
        <v>0.4</v>
      </c>
    </row>
    <row r="528" ht="27.95" customHeight="1" spans="1:8">
      <c r="A528" s="64"/>
      <c r="B528" s="103" t="s">
        <v>1002</v>
      </c>
      <c r="C528" s="104" t="s">
        <v>1003</v>
      </c>
      <c r="D528" s="67">
        <v>0.2174</v>
      </c>
      <c r="E528" s="68"/>
      <c r="F528" s="105">
        <v>1</v>
      </c>
      <c r="G528" s="106"/>
      <c r="H528" s="107">
        <v>0.5</v>
      </c>
    </row>
    <row r="529" ht="27.95" customHeight="1" spans="1:8">
      <c r="A529" s="64"/>
      <c r="B529" s="103" t="s">
        <v>1004</v>
      </c>
      <c r="C529" s="104" t="s">
        <v>1005</v>
      </c>
      <c r="D529" s="67">
        <v>0.1739</v>
      </c>
      <c r="E529" s="68"/>
      <c r="F529" s="105">
        <v>1</v>
      </c>
      <c r="G529" s="106"/>
      <c r="H529" s="107">
        <v>0.5</v>
      </c>
    </row>
    <row r="530" ht="27.95" customHeight="1" spans="1:8">
      <c r="A530" s="64"/>
      <c r="B530" s="73" t="s">
        <v>1006</v>
      </c>
      <c r="C530" s="66" t="s">
        <v>1007</v>
      </c>
      <c r="D530" s="67">
        <v>0.5435</v>
      </c>
      <c r="E530" s="68"/>
      <c r="F530" s="69">
        <v>2.5</v>
      </c>
      <c r="G530" s="70"/>
      <c r="H530" s="71">
        <v>1.25</v>
      </c>
    </row>
    <row r="531" ht="27.95" customHeight="1" spans="1:8">
      <c r="A531" s="64"/>
      <c r="B531" s="73" t="s">
        <v>1008</v>
      </c>
      <c r="C531" s="66" t="s">
        <v>1009</v>
      </c>
      <c r="D531" s="67">
        <v>0.8696</v>
      </c>
      <c r="E531" s="68"/>
      <c r="F531" s="69">
        <v>2.5</v>
      </c>
      <c r="G531" s="70"/>
      <c r="H531" s="71">
        <v>2</v>
      </c>
    </row>
    <row r="532" ht="27.95" customHeight="1" spans="1:8">
      <c r="A532" s="64"/>
      <c r="B532" s="73" t="s">
        <v>1010</v>
      </c>
      <c r="C532" s="66" t="s">
        <v>1011</v>
      </c>
      <c r="D532" s="67">
        <v>0.5652</v>
      </c>
      <c r="E532" s="68"/>
      <c r="F532" s="69">
        <v>2.1</v>
      </c>
      <c r="G532" s="70"/>
      <c r="H532" s="71">
        <v>1.3</v>
      </c>
    </row>
    <row r="533" ht="27.95" customHeight="1" spans="1:8">
      <c r="A533" s="64"/>
      <c r="B533" s="73" t="s">
        <v>1012</v>
      </c>
      <c r="C533" s="66" t="s">
        <v>1013</v>
      </c>
      <c r="D533" s="67">
        <v>1.3043</v>
      </c>
      <c r="E533" s="68"/>
      <c r="F533" s="69">
        <v>3</v>
      </c>
      <c r="G533" s="70">
        <v>3</v>
      </c>
      <c r="H533" s="71">
        <v>2.5</v>
      </c>
    </row>
    <row r="534" ht="27.95" customHeight="1" spans="1:8">
      <c r="A534" s="64"/>
      <c r="B534" s="73" t="s">
        <v>1014</v>
      </c>
      <c r="C534" s="66" t="s">
        <v>1015</v>
      </c>
      <c r="D534" s="67">
        <v>1.087</v>
      </c>
      <c r="E534" s="68"/>
      <c r="F534" s="69">
        <v>2.5</v>
      </c>
      <c r="G534" s="70">
        <v>2.5</v>
      </c>
      <c r="H534" s="71">
        <v>2</v>
      </c>
    </row>
    <row r="535" ht="27.95" customHeight="1" spans="1:8">
      <c r="A535" s="64"/>
      <c r="B535" s="73" t="s">
        <v>1016</v>
      </c>
      <c r="C535" s="66" t="s">
        <v>1017</v>
      </c>
      <c r="D535" s="67">
        <v>0.6522</v>
      </c>
      <c r="E535" s="68"/>
      <c r="F535" s="69">
        <v>1.9</v>
      </c>
      <c r="G535" s="70"/>
      <c r="H535" s="71">
        <v>1.4</v>
      </c>
    </row>
    <row r="536" ht="27.95" customHeight="1" spans="1:8">
      <c r="A536" s="64"/>
      <c r="B536" s="73" t="s">
        <v>1018</v>
      </c>
      <c r="C536" s="66" t="s">
        <v>1019</v>
      </c>
      <c r="D536" s="67">
        <v>0.3913</v>
      </c>
      <c r="E536" s="68"/>
      <c r="F536" s="69">
        <v>1.5</v>
      </c>
      <c r="G536" s="70"/>
      <c r="H536" s="71">
        <v>0.9</v>
      </c>
    </row>
    <row r="537" ht="27.95" customHeight="1" spans="1:8">
      <c r="A537" s="64"/>
      <c r="B537" s="73" t="s">
        <v>1020</v>
      </c>
      <c r="C537" s="66" t="s">
        <v>1021</v>
      </c>
      <c r="D537" s="67">
        <v>0.4783</v>
      </c>
      <c r="E537" s="68"/>
      <c r="F537" s="69">
        <v>1.7</v>
      </c>
      <c r="G537" s="70"/>
      <c r="H537" s="71">
        <v>1.1</v>
      </c>
    </row>
    <row r="538" ht="27.95" customHeight="1" spans="1:8">
      <c r="A538" s="64"/>
      <c r="B538" s="73" t="s">
        <v>1022</v>
      </c>
      <c r="C538" s="66" t="s">
        <v>1023</v>
      </c>
      <c r="D538" s="67">
        <v>0.5217</v>
      </c>
      <c r="E538" s="68"/>
      <c r="F538" s="69">
        <v>1.9</v>
      </c>
      <c r="G538" s="70"/>
      <c r="H538" s="71">
        <v>1.2</v>
      </c>
    </row>
    <row r="539" ht="27.95" customHeight="1" spans="1:8">
      <c r="A539" s="74"/>
      <c r="B539" s="73" t="s">
        <v>1024</v>
      </c>
      <c r="C539" s="66" t="s">
        <v>1025</v>
      </c>
      <c r="D539" s="67">
        <v>0.4783</v>
      </c>
      <c r="E539" s="68"/>
      <c r="F539" s="69">
        <v>1.8</v>
      </c>
      <c r="G539" s="70"/>
      <c r="H539" s="71">
        <v>1.1</v>
      </c>
    </row>
    <row r="540" ht="27.95" customHeight="1" spans="1:8">
      <c r="A540" s="75"/>
      <c r="B540" s="73" t="s">
        <v>1026</v>
      </c>
      <c r="C540" s="66" t="s">
        <v>1025</v>
      </c>
      <c r="D540" s="67">
        <v>0.5217</v>
      </c>
      <c r="E540" s="68"/>
      <c r="F540" s="69">
        <v>2</v>
      </c>
      <c r="G540" s="70"/>
      <c r="H540" s="71">
        <v>1.2</v>
      </c>
    </row>
    <row r="541" ht="27.95" customHeight="1" spans="1:8">
      <c r="A541" s="64"/>
      <c r="B541" s="73" t="s">
        <v>1027</v>
      </c>
      <c r="C541" s="66" t="s">
        <v>1028</v>
      </c>
      <c r="D541" s="67">
        <v>0.5652</v>
      </c>
      <c r="E541" s="68"/>
      <c r="F541" s="69">
        <v>2</v>
      </c>
      <c r="G541" s="70"/>
      <c r="H541" s="71">
        <v>1.3</v>
      </c>
    </row>
    <row r="542" ht="27.95" customHeight="1" spans="1:8">
      <c r="A542" s="64"/>
      <c r="B542" s="73" t="s">
        <v>1029</v>
      </c>
      <c r="C542" s="66" t="s">
        <v>1030</v>
      </c>
      <c r="D542" s="67">
        <v>0.6087</v>
      </c>
      <c r="E542" s="68"/>
      <c r="F542" s="69">
        <v>2.5</v>
      </c>
      <c r="G542" s="70"/>
      <c r="H542" s="71">
        <v>1.4</v>
      </c>
    </row>
    <row r="543" ht="27.95" customHeight="1" spans="1:8">
      <c r="A543" s="64"/>
      <c r="B543" s="73" t="s">
        <v>1031</v>
      </c>
      <c r="C543" s="66" t="s">
        <v>1032</v>
      </c>
      <c r="D543" s="67">
        <v>0.5652</v>
      </c>
      <c r="E543" s="68"/>
      <c r="F543" s="69">
        <v>2</v>
      </c>
      <c r="G543" s="70"/>
      <c r="H543" s="71">
        <v>1.3</v>
      </c>
    </row>
    <row r="544" ht="27.95" customHeight="1" spans="1:8">
      <c r="A544" s="64"/>
      <c r="B544" s="73" t="s">
        <v>1033</v>
      </c>
      <c r="C544" s="66" t="s">
        <v>1034</v>
      </c>
      <c r="D544" s="67">
        <v>0.6522</v>
      </c>
      <c r="E544" s="68"/>
      <c r="F544" s="69">
        <v>2.5</v>
      </c>
      <c r="G544" s="70"/>
      <c r="H544" s="71">
        <v>1.5</v>
      </c>
    </row>
    <row r="545" ht="27.95" customHeight="1" spans="1:8">
      <c r="A545" s="64"/>
      <c r="B545" s="73" t="s">
        <v>1035</v>
      </c>
      <c r="C545" s="66" t="s">
        <v>1036</v>
      </c>
      <c r="D545" s="67">
        <v>0.6087</v>
      </c>
      <c r="E545" s="68"/>
      <c r="F545" s="69">
        <v>2.5</v>
      </c>
      <c r="G545" s="70"/>
      <c r="H545" s="71">
        <v>1.4</v>
      </c>
    </row>
    <row r="546" ht="27.95" customHeight="1" spans="1:8">
      <c r="A546" s="74"/>
      <c r="B546" s="73" t="s">
        <v>1037</v>
      </c>
      <c r="C546" s="66" t="s">
        <v>1038</v>
      </c>
      <c r="D546" s="67">
        <v>0.6087</v>
      </c>
      <c r="E546" s="68"/>
      <c r="F546" s="69">
        <v>2.3</v>
      </c>
      <c r="G546" s="70"/>
      <c r="H546" s="71">
        <v>1.4</v>
      </c>
    </row>
    <row r="547" ht="27.95" customHeight="1" spans="1:8">
      <c r="A547" s="84"/>
      <c r="B547" s="73" t="s">
        <v>1039</v>
      </c>
      <c r="C547" s="66" t="s">
        <v>1038</v>
      </c>
      <c r="D547" s="67">
        <v>0.5217</v>
      </c>
      <c r="E547" s="68"/>
      <c r="F547" s="69">
        <v>1.9</v>
      </c>
      <c r="G547" s="70"/>
      <c r="H547" s="71">
        <v>1.2</v>
      </c>
    </row>
    <row r="548" ht="27.95" customHeight="1" spans="1:8">
      <c r="A548" s="84"/>
      <c r="B548" s="73" t="s">
        <v>1040</v>
      </c>
      <c r="C548" s="66" t="s">
        <v>1038</v>
      </c>
      <c r="D548" s="67">
        <v>0.4348</v>
      </c>
      <c r="E548" s="68"/>
      <c r="F548" s="69">
        <v>1.6</v>
      </c>
      <c r="G548" s="70"/>
      <c r="H548" s="71">
        <v>1</v>
      </c>
    </row>
    <row r="549" ht="27.95" customHeight="1" spans="1:8">
      <c r="A549" s="84"/>
      <c r="B549" s="73" t="s">
        <v>1041</v>
      </c>
      <c r="C549" s="66" t="s">
        <v>1038</v>
      </c>
      <c r="D549" s="67">
        <v>0.6087</v>
      </c>
      <c r="E549" s="68"/>
      <c r="F549" s="69">
        <v>2.5</v>
      </c>
      <c r="G549" s="70"/>
      <c r="H549" s="71">
        <v>1.4</v>
      </c>
    </row>
    <row r="550" ht="27.95" customHeight="1" spans="1:8">
      <c r="A550" s="84"/>
      <c r="B550" s="73" t="s">
        <v>1042</v>
      </c>
      <c r="C550" s="66" t="s">
        <v>1038</v>
      </c>
      <c r="D550" s="67">
        <v>0.5217</v>
      </c>
      <c r="E550" s="68"/>
      <c r="F550" s="69">
        <v>2.5</v>
      </c>
      <c r="G550" s="70"/>
      <c r="H550" s="71">
        <v>1.2</v>
      </c>
    </row>
    <row r="551" ht="27.95" customHeight="1" spans="1:8">
      <c r="A551" s="84"/>
      <c r="B551" s="73" t="s">
        <v>1043</v>
      </c>
      <c r="C551" s="66" t="s">
        <v>1038</v>
      </c>
      <c r="D551" s="67">
        <v>0.3478</v>
      </c>
      <c r="E551" s="68"/>
      <c r="F551" s="69">
        <v>2.5</v>
      </c>
      <c r="G551" s="70"/>
      <c r="H551" s="71">
        <v>0.8</v>
      </c>
    </row>
    <row r="552" ht="27.95" customHeight="1" spans="1:8">
      <c r="A552" s="75"/>
      <c r="B552" s="73" t="s">
        <v>1044</v>
      </c>
      <c r="C552" s="66" t="s">
        <v>1038</v>
      </c>
      <c r="D552" s="67">
        <v>0.5652</v>
      </c>
      <c r="E552" s="68"/>
      <c r="F552" s="69">
        <v>2</v>
      </c>
      <c r="G552" s="70"/>
      <c r="H552" s="71">
        <v>1.3</v>
      </c>
    </row>
    <row r="553" ht="27.95" customHeight="1" spans="1:8">
      <c r="A553" s="64"/>
      <c r="B553" s="103" t="s">
        <v>1045</v>
      </c>
      <c r="C553" s="104" t="s">
        <v>1046</v>
      </c>
      <c r="D553" s="67">
        <v>1.7826</v>
      </c>
      <c r="E553" s="68"/>
      <c r="F553" s="105">
        <v>6</v>
      </c>
      <c r="G553" s="106"/>
      <c r="H553" s="107">
        <v>4.1</v>
      </c>
    </row>
    <row r="554" ht="27.95" customHeight="1" spans="1:8">
      <c r="A554" s="64"/>
      <c r="B554" s="73" t="s">
        <v>1047</v>
      </c>
      <c r="C554" s="66" t="s">
        <v>1048</v>
      </c>
      <c r="D554" s="67">
        <v>0.6522</v>
      </c>
      <c r="E554" s="68"/>
      <c r="F554" s="69">
        <v>2.4</v>
      </c>
      <c r="G554" s="70"/>
      <c r="H554" s="71">
        <v>1.5</v>
      </c>
    </row>
    <row r="555" ht="27.95" customHeight="1" spans="1:8">
      <c r="A555" s="64"/>
      <c r="B555" s="73" t="s">
        <v>1049</v>
      </c>
      <c r="C555" s="66" t="s">
        <v>1050</v>
      </c>
      <c r="D555" s="67">
        <v>2.2174</v>
      </c>
      <c r="E555" s="68"/>
      <c r="F555" s="69">
        <v>8.2</v>
      </c>
      <c r="G555" s="70"/>
      <c r="H555" s="71">
        <v>5.1</v>
      </c>
    </row>
    <row r="556" ht="27.95" customHeight="1" spans="1:8">
      <c r="A556" s="64"/>
      <c r="B556" s="73" t="s">
        <v>1051</v>
      </c>
      <c r="C556" s="66" t="s">
        <v>1052</v>
      </c>
      <c r="D556" s="67">
        <v>2.3913</v>
      </c>
      <c r="E556" s="68"/>
      <c r="F556" s="69">
        <v>8.8</v>
      </c>
      <c r="G556" s="70"/>
      <c r="H556" s="71">
        <v>5.5</v>
      </c>
    </row>
    <row r="557" customHeight="1" spans="1:8">
      <c r="A557" s="64"/>
      <c r="B557" s="73" t="s">
        <v>1053</v>
      </c>
      <c r="C557" s="66" t="s">
        <v>1054</v>
      </c>
      <c r="D557" s="67">
        <v>0.0435</v>
      </c>
      <c r="E557" s="68"/>
      <c r="F557" s="69">
        <v>0.2</v>
      </c>
      <c r="G557" s="70"/>
      <c r="H557" s="71">
        <v>0.1</v>
      </c>
    </row>
    <row r="558" customHeight="1" spans="1:8">
      <c r="A558" s="64"/>
      <c r="B558" s="103" t="s">
        <v>1055</v>
      </c>
      <c r="C558" s="104" t="s">
        <v>1056</v>
      </c>
      <c r="D558" s="67">
        <v>0.2174</v>
      </c>
      <c r="E558" s="68"/>
      <c r="F558" s="105">
        <v>1</v>
      </c>
      <c r="G558" s="106"/>
      <c r="H558" s="107">
        <v>0.5</v>
      </c>
    </row>
    <row r="559" customHeight="1" spans="1:8">
      <c r="A559" s="64"/>
      <c r="B559" s="114">
        <v>6971273966826</v>
      </c>
      <c r="C559" s="104" t="s">
        <v>1057</v>
      </c>
      <c r="D559" s="67">
        <v>0.2174</v>
      </c>
      <c r="E559" s="68"/>
      <c r="F559" s="105">
        <v>0.8</v>
      </c>
      <c r="G559" s="106"/>
      <c r="H559" s="107">
        <v>0.5</v>
      </c>
    </row>
    <row r="560" customHeight="1" spans="1:8">
      <c r="A560" s="64"/>
      <c r="B560" s="73" t="s">
        <v>1058</v>
      </c>
      <c r="C560" s="66" t="s">
        <v>1059</v>
      </c>
      <c r="D560" s="67">
        <v>0.1739</v>
      </c>
      <c r="E560" s="68"/>
      <c r="F560" s="69">
        <v>0.6</v>
      </c>
      <c r="G560" s="70"/>
      <c r="H560" s="71">
        <v>0.4</v>
      </c>
    </row>
    <row r="561" customHeight="1" spans="1:8">
      <c r="A561" s="64"/>
      <c r="B561" s="73" t="s">
        <v>1060</v>
      </c>
      <c r="C561" s="66" t="s">
        <v>1061</v>
      </c>
      <c r="D561" s="67">
        <v>0.1304</v>
      </c>
      <c r="E561" s="68"/>
      <c r="F561" s="69">
        <v>0.5</v>
      </c>
      <c r="G561" s="70"/>
      <c r="H561" s="71">
        <v>0.3</v>
      </c>
    </row>
    <row r="562" customHeight="1" spans="1:8">
      <c r="A562" s="64"/>
      <c r="B562" s="103" t="s">
        <v>1062</v>
      </c>
      <c r="C562" s="104" t="s">
        <v>1063</v>
      </c>
      <c r="D562" s="67">
        <v>0.9565</v>
      </c>
      <c r="E562" s="68"/>
      <c r="F562" s="105">
        <v>4</v>
      </c>
      <c r="G562" s="106"/>
      <c r="H562" s="107">
        <v>2.2</v>
      </c>
    </row>
    <row r="563" ht="25.5" customHeight="1" spans="1:8">
      <c r="A563" s="64"/>
      <c r="B563" s="73" t="s">
        <v>1064</v>
      </c>
      <c r="C563" s="66" t="s">
        <v>1065</v>
      </c>
      <c r="D563" s="67">
        <v>1.087</v>
      </c>
      <c r="E563" s="68"/>
      <c r="F563" s="69">
        <v>5</v>
      </c>
      <c r="G563" s="70"/>
      <c r="H563" s="71">
        <v>2.5</v>
      </c>
    </row>
    <row r="564" customHeight="1" spans="1:8">
      <c r="A564" s="64"/>
      <c r="B564" s="73" t="s">
        <v>1066</v>
      </c>
      <c r="C564" s="66" t="s">
        <v>1067</v>
      </c>
      <c r="D564" s="67">
        <v>2.4783</v>
      </c>
      <c r="E564" s="68"/>
      <c r="F564" s="69">
        <v>9.2</v>
      </c>
      <c r="G564" s="70"/>
      <c r="H564" s="71">
        <v>5.7</v>
      </c>
    </row>
    <row r="565" customHeight="1" spans="1:8">
      <c r="A565" s="64"/>
      <c r="B565" s="103" t="s">
        <v>1068</v>
      </c>
      <c r="C565" s="104" t="s">
        <v>1069</v>
      </c>
      <c r="D565" s="67">
        <v>0.9565</v>
      </c>
      <c r="E565" s="68"/>
      <c r="F565" s="105">
        <v>3</v>
      </c>
      <c r="G565" s="106"/>
      <c r="H565" s="107">
        <v>2.2</v>
      </c>
    </row>
    <row r="566" customHeight="1" spans="1:8">
      <c r="A566" s="64"/>
      <c r="B566" s="73" t="s">
        <v>1070</v>
      </c>
      <c r="C566" s="66" t="s">
        <v>1071</v>
      </c>
      <c r="D566" s="67">
        <v>0.2174</v>
      </c>
      <c r="E566" s="68"/>
      <c r="F566" s="69">
        <v>1</v>
      </c>
      <c r="G566" s="70"/>
      <c r="H566" s="71">
        <v>0.5</v>
      </c>
    </row>
    <row r="567" spans="1:8">
      <c r="A567" s="74"/>
      <c r="B567" s="73" t="s">
        <v>1072</v>
      </c>
      <c r="C567" s="66" t="s">
        <v>1073</v>
      </c>
      <c r="D567" s="67">
        <v>0.8696</v>
      </c>
      <c r="E567" s="68"/>
      <c r="F567" s="69">
        <v>2</v>
      </c>
      <c r="G567" s="70"/>
      <c r="H567" s="71">
        <v>1.67</v>
      </c>
    </row>
    <row r="568" customHeight="1" spans="1:8">
      <c r="A568" s="75"/>
      <c r="B568" s="73" t="s">
        <v>1074</v>
      </c>
      <c r="C568" s="66" t="s">
        <v>1073</v>
      </c>
      <c r="D568" s="67">
        <v>0.6522</v>
      </c>
      <c r="E568" s="68"/>
      <c r="F568" s="69">
        <v>2.5</v>
      </c>
      <c r="G568" s="70"/>
      <c r="H568" s="71">
        <v>1.5</v>
      </c>
    </row>
    <row r="569" customHeight="1" spans="1:8">
      <c r="A569" s="64"/>
      <c r="B569" s="73" t="s">
        <v>1075</v>
      </c>
      <c r="C569" s="66" t="s">
        <v>1076</v>
      </c>
      <c r="D569" s="67">
        <v>0.5217</v>
      </c>
      <c r="E569" s="68"/>
      <c r="F569" s="69">
        <v>2</v>
      </c>
      <c r="G569" s="70"/>
      <c r="H569" s="71">
        <v>1.2</v>
      </c>
    </row>
    <row r="570" customHeight="1" spans="1:8">
      <c r="A570" s="64"/>
      <c r="B570" s="73" t="s">
        <v>1077</v>
      </c>
      <c r="C570" s="66" t="s">
        <v>1078</v>
      </c>
      <c r="D570" s="67">
        <v>0.5217</v>
      </c>
      <c r="E570" s="68"/>
      <c r="F570" s="69">
        <v>2</v>
      </c>
      <c r="G570" s="70"/>
      <c r="H570" s="71">
        <v>1.2</v>
      </c>
    </row>
    <row r="571" customHeight="1" spans="1:8">
      <c r="A571" s="64"/>
      <c r="B571" s="73" t="s">
        <v>1079</v>
      </c>
      <c r="C571" s="66" t="s">
        <v>1080</v>
      </c>
      <c r="D571" s="67">
        <v>0.5652</v>
      </c>
      <c r="E571" s="68"/>
      <c r="F571" s="69">
        <v>2</v>
      </c>
      <c r="G571" s="70"/>
      <c r="H571" s="71">
        <v>1.3</v>
      </c>
    </row>
    <row r="572" customHeight="1" spans="1:8">
      <c r="A572" s="64"/>
      <c r="B572" s="103" t="s">
        <v>1081</v>
      </c>
      <c r="C572" s="104" t="s">
        <v>1082</v>
      </c>
      <c r="D572" s="67">
        <v>1.1304</v>
      </c>
      <c r="E572" s="68"/>
      <c r="F572" s="105">
        <v>4.1</v>
      </c>
      <c r="G572" s="106"/>
      <c r="H572" s="107">
        <v>2.6</v>
      </c>
    </row>
    <row r="573" customHeight="1" spans="1:8">
      <c r="A573" s="64"/>
      <c r="B573" s="73" t="s">
        <v>1083</v>
      </c>
      <c r="C573" s="66" t="s">
        <v>1084</v>
      </c>
      <c r="D573" s="67">
        <v>1.6957</v>
      </c>
      <c r="E573" s="68"/>
      <c r="F573" s="69">
        <v>6</v>
      </c>
      <c r="G573" s="70"/>
      <c r="H573" s="71">
        <v>3.9</v>
      </c>
    </row>
    <row r="574" customHeight="1" spans="1:8">
      <c r="A574" s="64"/>
      <c r="B574" s="103" t="s">
        <v>1085</v>
      </c>
      <c r="C574" s="104" t="s">
        <v>1086</v>
      </c>
      <c r="D574" s="67">
        <v>2.5652</v>
      </c>
      <c r="E574" s="68"/>
      <c r="F574" s="105">
        <v>9</v>
      </c>
      <c r="G574" s="106"/>
      <c r="H574" s="107">
        <v>5.9</v>
      </c>
    </row>
    <row r="575" customHeight="1" spans="1:8">
      <c r="A575" s="64"/>
      <c r="B575" s="103" t="s">
        <v>1087</v>
      </c>
      <c r="C575" s="104" t="s">
        <v>1088</v>
      </c>
      <c r="D575" s="67">
        <v>5.0435</v>
      </c>
      <c r="E575" s="68"/>
      <c r="F575" s="105">
        <v>18.5</v>
      </c>
      <c r="G575" s="106"/>
      <c r="H575" s="107">
        <v>11.6</v>
      </c>
    </row>
    <row r="576" customHeight="1" spans="1:8">
      <c r="A576" s="64"/>
      <c r="B576" s="103" t="s">
        <v>1089</v>
      </c>
      <c r="C576" s="104" t="s">
        <v>1090</v>
      </c>
      <c r="D576" s="67">
        <v>5.5652</v>
      </c>
      <c r="E576" s="68"/>
      <c r="F576" s="105">
        <v>20.5</v>
      </c>
      <c r="G576" s="106"/>
      <c r="H576" s="107">
        <v>12.8</v>
      </c>
    </row>
    <row r="577" customHeight="1" spans="1:8">
      <c r="A577" s="64"/>
      <c r="B577" s="73" t="s">
        <v>1091</v>
      </c>
      <c r="C577" s="66" t="s">
        <v>1092</v>
      </c>
      <c r="D577" s="67">
        <v>0.2174</v>
      </c>
      <c r="E577" s="68"/>
      <c r="F577" s="69">
        <v>0.5</v>
      </c>
      <c r="G577" s="70"/>
      <c r="H577" s="71">
        <v>0.5</v>
      </c>
    </row>
    <row r="578" customHeight="1" spans="1:8">
      <c r="A578" s="64"/>
      <c r="B578" s="73" t="s">
        <v>1093</v>
      </c>
      <c r="C578" s="66" t="s">
        <v>1094</v>
      </c>
      <c r="D578" s="67">
        <v>0.2609</v>
      </c>
      <c r="E578" s="68"/>
      <c r="F578" s="69">
        <v>1</v>
      </c>
      <c r="G578" s="70"/>
      <c r="H578" s="71">
        <v>0.6</v>
      </c>
    </row>
    <row r="579" customHeight="1" spans="1:8">
      <c r="A579" s="64"/>
      <c r="B579" s="103" t="s">
        <v>1095</v>
      </c>
      <c r="C579" s="104" t="s">
        <v>1096</v>
      </c>
      <c r="D579" s="67">
        <v>0.3478</v>
      </c>
      <c r="E579" s="68"/>
      <c r="F579" s="105">
        <v>1.2</v>
      </c>
      <c r="G579" s="106"/>
      <c r="H579" s="107">
        <v>0.8</v>
      </c>
    </row>
    <row r="580" customHeight="1" spans="1:8">
      <c r="A580" s="64"/>
      <c r="B580" s="103" t="s">
        <v>1097</v>
      </c>
      <c r="C580" s="104" t="s">
        <v>1098</v>
      </c>
      <c r="D580" s="67">
        <v>0.6522</v>
      </c>
      <c r="E580" s="68"/>
      <c r="F580" s="105">
        <v>2</v>
      </c>
      <c r="G580" s="106"/>
      <c r="H580" s="107">
        <v>1.5</v>
      </c>
    </row>
    <row r="581" customHeight="1" spans="1:8">
      <c r="A581" s="64"/>
      <c r="B581" s="73" t="s">
        <v>1099</v>
      </c>
      <c r="C581" s="66" t="s">
        <v>1100</v>
      </c>
      <c r="D581" s="82">
        <v>47.0435</v>
      </c>
      <c r="E581" s="83"/>
      <c r="F581" s="69">
        <v>173.2</v>
      </c>
      <c r="G581" s="70"/>
      <c r="H581" s="71">
        <v>108.2</v>
      </c>
    </row>
    <row r="582" customHeight="1" spans="1:8">
      <c r="A582" s="64"/>
      <c r="B582" s="73" t="s">
        <v>1101</v>
      </c>
      <c r="C582" s="66" t="s">
        <v>1102</v>
      </c>
      <c r="D582" s="82">
        <v>11.3913</v>
      </c>
      <c r="E582" s="83"/>
      <c r="F582" s="69">
        <v>40</v>
      </c>
      <c r="G582" s="70"/>
      <c r="H582" s="71">
        <v>26.2</v>
      </c>
    </row>
    <row r="583" customHeight="1" spans="1:8">
      <c r="A583" s="64"/>
      <c r="B583" s="73" t="s">
        <v>1103</v>
      </c>
      <c r="C583" s="66" t="s">
        <v>1104</v>
      </c>
      <c r="D583" s="67">
        <v>2.6957</v>
      </c>
      <c r="E583" s="68"/>
      <c r="F583" s="69">
        <v>10</v>
      </c>
      <c r="G583" s="70"/>
      <c r="H583" s="71">
        <v>6.2</v>
      </c>
    </row>
    <row r="584" customHeight="1" spans="1:8">
      <c r="A584" s="64"/>
      <c r="B584" s="103" t="s">
        <v>1105</v>
      </c>
      <c r="C584" s="104" t="s">
        <v>1106</v>
      </c>
      <c r="D584" s="67">
        <v>0.8261</v>
      </c>
      <c r="E584" s="68"/>
      <c r="F584" s="105">
        <v>3.5</v>
      </c>
      <c r="G584" s="106"/>
      <c r="H584" s="107">
        <v>1.9</v>
      </c>
    </row>
    <row r="585" customHeight="1" spans="1:8">
      <c r="A585" s="64"/>
      <c r="B585" s="103" t="s">
        <v>1107</v>
      </c>
      <c r="C585" s="104" t="s">
        <v>1108</v>
      </c>
      <c r="D585" s="67">
        <v>0.8261</v>
      </c>
      <c r="E585" s="68"/>
      <c r="F585" s="105">
        <v>3.1</v>
      </c>
      <c r="G585" s="106"/>
      <c r="H585" s="107">
        <v>1.9</v>
      </c>
    </row>
    <row r="586" customHeight="1" spans="1:8">
      <c r="A586" s="64"/>
      <c r="B586" s="73" t="s">
        <v>1109</v>
      </c>
      <c r="C586" s="66" t="s">
        <v>1110</v>
      </c>
      <c r="D586" s="67">
        <v>1.0435</v>
      </c>
      <c r="E586" s="68"/>
      <c r="F586" s="69">
        <v>3.9</v>
      </c>
      <c r="G586" s="70"/>
      <c r="H586" s="71">
        <v>2.4</v>
      </c>
    </row>
    <row r="587" customHeight="1" spans="1:8">
      <c r="A587" s="64"/>
      <c r="B587" s="73" t="s">
        <v>1111</v>
      </c>
      <c r="C587" s="66" t="s">
        <v>1112</v>
      </c>
      <c r="D587" s="67">
        <v>1</v>
      </c>
      <c r="E587" s="68"/>
      <c r="F587" s="69">
        <v>3.6</v>
      </c>
      <c r="G587" s="70"/>
      <c r="H587" s="71">
        <v>2.3</v>
      </c>
    </row>
    <row r="588" customHeight="1" spans="1:8">
      <c r="A588" s="64"/>
      <c r="B588" s="73" t="s">
        <v>1113</v>
      </c>
      <c r="C588" s="66" t="s">
        <v>1114</v>
      </c>
      <c r="D588" s="67">
        <v>1.2174</v>
      </c>
      <c r="E588" s="68"/>
      <c r="F588" s="69">
        <v>4.5</v>
      </c>
      <c r="G588" s="70"/>
      <c r="H588" s="71">
        <v>2.8</v>
      </c>
    </row>
    <row r="589" customHeight="1" spans="1:8">
      <c r="A589" s="64"/>
      <c r="B589" s="73" t="s">
        <v>1115</v>
      </c>
      <c r="C589" s="66" t="s">
        <v>1116</v>
      </c>
      <c r="D589" s="67">
        <v>0.9565</v>
      </c>
      <c r="E589" s="68"/>
      <c r="F589" s="69">
        <v>2.5</v>
      </c>
      <c r="G589" s="70"/>
      <c r="H589" s="71">
        <v>2.2</v>
      </c>
    </row>
    <row r="590" customHeight="1" spans="1:8">
      <c r="A590" s="64"/>
      <c r="B590" s="73" t="s">
        <v>1117</v>
      </c>
      <c r="C590" s="66" t="s">
        <v>1118</v>
      </c>
      <c r="D590" s="67">
        <v>1.2609</v>
      </c>
      <c r="E590" s="68"/>
      <c r="F590" s="69">
        <v>4.6</v>
      </c>
      <c r="G590" s="70"/>
      <c r="H590" s="71">
        <v>2.9</v>
      </c>
    </row>
    <row r="591" customHeight="1" spans="1:8">
      <c r="A591" s="64"/>
      <c r="B591" s="73" t="s">
        <v>1119</v>
      </c>
      <c r="C591" s="66" t="s">
        <v>1120</v>
      </c>
      <c r="D591" s="67">
        <v>0.6087</v>
      </c>
      <c r="E591" s="68"/>
      <c r="F591" s="69">
        <v>2.5</v>
      </c>
      <c r="G591" s="70"/>
      <c r="H591" s="71">
        <v>1.4</v>
      </c>
    </row>
    <row r="592" customHeight="1" spans="1:8">
      <c r="A592" s="64"/>
      <c r="B592" s="73" t="s">
        <v>1121</v>
      </c>
      <c r="C592" s="66" t="s">
        <v>1122</v>
      </c>
      <c r="D592" s="67">
        <v>9.3478</v>
      </c>
      <c r="E592" s="68"/>
      <c r="F592" s="69">
        <v>34.4</v>
      </c>
      <c r="G592" s="70"/>
      <c r="H592" s="71">
        <v>21.5</v>
      </c>
    </row>
    <row r="593" customHeight="1" spans="1:8">
      <c r="A593" s="64"/>
      <c r="B593" s="73" t="s">
        <v>1123</v>
      </c>
      <c r="C593" s="66" t="s">
        <v>1124</v>
      </c>
      <c r="D593" s="67">
        <v>0.1304</v>
      </c>
      <c r="E593" s="68"/>
      <c r="F593" s="69">
        <v>0.4</v>
      </c>
      <c r="G593" s="70"/>
      <c r="H593" s="71">
        <v>0.3</v>
      </c>
    </row>
    <row r="594" customHeight="1" spans="1:8">
      <c r="A594" s="64"/>
      <c r="B594" s="103" t="s">
        <v>1125</v>
      </c>
      <c r="C594" s="104" t="s">
        <v>1126</v>
      </c>
      <c r="D594" s="67">
        <v>0.2174</v>
      </c>
      <c r="E594" s="68"/>
      <c r="F594" s="105">
        <v>1</v>
      </c>
      <c r="G594" s="106"/>
      <c r="H594" s="107">
        <v>0.5</v>
      </c>
    </row>
    <row r="595" customHeight="1" spans="1:8">
      <c r="A595" s="64"/>
      <c r="B595" s="73" t="s">
        <v>1127</v>
      </c>
      <c r="C595" s="66" t="s">
        <v>1128</v>
      </c>
      <c r="D595" s="67">
        <v>0.3043</v>
      </c>
      <c r="E595" s="68"/>
      <c r="F595" s="69">
        <v>1</v>
      </c>
      <c r="G595" s="70"/>
      <c r="H595" s="71">
        <v>0.7</v>
      </c>
    </row>
    <row r="596" customHeight="1" spans="1:8">
      <c r="A596" s="64"/>
      <c r="B596" s="103" t="s">
        <v>1129</v>
      </c>
      <c r="C596" s="104" t="s">
        <v>1130</v>
      </c>
      <c r="D596" s="67">
        <v>0.2609</v>
      </c>
      <c r="E596" s="68"/>
      <c r="F596" s="105">
        <v>1</v>
      </c>
      <c r="G596" s="106"/>
      <c r="H596" s="107">
        <v>0.6</v>
      </c>
    </row>
    <row r="597" customHeight="1" spans="1:8">
      <c r="A597" s="64"/>
      <c r="B597" s="103" t="s">
        <v>1131</v>
      </c>
      <c r="C597" s="104" t="s">
        <v>1132</v>
      </c>
      <c r="D597" s="67">
        <v>0.913</v>
      </c>
      <c r="E597" s="68"/>
      <c r="F597" s="105">
        <v>3.5</v>
      </c>
      <c r="G597" s="106"/>
      <c r="H597" s="107">
        <v>2.1</v>
      </c>
    </row>
    <row r="598" customHeight="1" spans="1:8">
      <c r="A598" s="64"/>
      <c r="B598" s="73" t="s">
        <v>1133</v>
      </c>
      <c r="C598" s="66" t="s">
        <v>1134</v>
      </c>
      <c r="D598" s="67">
        <v>0.5652</v>
      </c>
      <c r="E598" s="68"/>
      <c r="F598" s="69">
        <v>2.1</v>
      </c>
      <c r="G598" s="70"/>
      <c r="H598" s="71">
        <v>1.3</v>
      </c>
    </row>
    <row r="599" customHeight="1" spans="1:8">
      <c r="A599" s="64"/>
      <c r="B599" s="73" t="s">
        <v>1135</v>
      </c>
      <c r="C599" s="66" t="s">
        <v>1136</v>
      </c>
      <c r="D599" s="67">
        <v>3.2174</v>
      </c>
      <c r="E599" s="68"/>
      <c r="F599" s="69">
        <v>12</v>
      </c>
      <c r="G599" s="70"/>
      <c r="H599" s="71">
        <v>7.4</v>
      </c>
    </row>
    <row r="600" customHeight="1" spans="1:8">
      <c r="A600" s="74"/>
      <c r="B600" s="73" t="s">
        <v>1137</v>
      </c>
      <c r="C600" s="66" t="s">
        <v>1138</v>
      </c>
      <c r="D600" s="67">
        <v>0.5652</v>
      </c>
      <c r="E600" s="68"/>
      <c r="F600" s="69">
        <v>2.1</v>
      </c>
      <c r="G600" s="70"/>
      <c r="H600" s="71">
        <v>1.3</v>
      </c>
    </row>
    <row r="601" spans="1:8">
      <c r="A601" s="75"/>
      <c r="B601" s="73" t="s">
        <v>1139</v>
      </c>
      <c r="C601" s="66" t="s">
        <v>1138</v>
      </c>
      <c r="D601" s="67">
        <v>0.8696</v>
      </c>
      <c r="E601" s="68"/>
      <c r="F601" s="69">
        <v>2</v>
      </c>
      <c r="G601" s="70"/>
      <c r="H601" s="71">
        <v>1.5</v>
      </c>
    </row>
    <row r="602" customHeight="1" spans="1:8">
      <c r="A602" s="64"/>
      <c r="B602" s="73" t="s">
        <v>1140</v>
      </c>
      <c r="C602" s="66" t="s">
        <v>1141</v>
      </c>
      <c r="D602" s="67">
        <v>0.8261</v>
      </c>
      <c r="E602" s="68"/>
      <c r="F602" s="69">
        <v>3</v>
      </c>
      <c r="G602" s="70"/>
      <c r="H602" s="71">
        <v>1.9</v>
      </c>
    </row>
    <row r="603" customHeight="1" spans="1:8">
      <c r="A603" s="74"/>
      <c r="B603" s="73" t="s">
        <v>1142</v>
      </c>
      <c r="C603" s="66" t="s">
        <v>1143</v>
      </c>
      <c r="D603" s="67">
        <v>0.8696</v>
      </c>
      <c r="E603" s="68"/>
      <c r="F603" s="69">
        <v>3.2</v>
      </c>
      <c r="G603" s="70"/>
      <c r="H603" s="71">
        <v>2</v>
      </c>
    </row>
    <row r="604" customHeight="1" spans="1:8">
      <c r="A604" s="75"/>
      <c r="B604" s="73" t="s">
        <v>1144</v>
      </c>
      <c r="C604" s="66" t="s">
        <v>1143</v>
      </c>
      <c r="D604" s="67">
        <v>0.6522</v>
      </c>
      <c r="E604" s="68"/>
      <c r="F604" s="69">
        <v>2.4</v>
      </c>
      <c r="G604" s="70"/>
      <c r="H604" s="71">
        <v>1.5</v>
      </c>
    </row>
    <row r="605" customHeight="1" spans="1:8">
      <c r="A605" s="64"/>
      <c r="B605" s="73" t="s">
        <v>1145</v>
      </c>
      <c r="C605" s="66" t="s">
        <v>1146</v>
      </c>
      <c r="D605" s="67">
        <v>0.5652</v>
      </c>
      <c r="E605" s="68"/>
      <c r="F605" s="69">
        <v>2.1</v>
      </c>
      <c r="G605" s="70"/>
      <c r="H605" s="71">
        <v>1.3</v>
      </c>
    </row>
    <row r="606" customHeight="1" spans="1:8">
      <c r="A606" s="64"/>
      <c r="B606" s="73" t="s">
        <v>1147</v>
      </c>
      <c r="C606" s="66" t="s">
        <v>1148</v>
      </c>
      <c r="D606" s="67">
        <v>0.913</v>
      </c>
      <c r="E606" s="68"/>
      <c r="F606" s="69">
        <v>3.3</v>
      </c>
      <c r="G606" s="70"/>
      <c r="H606" s="71">
        <v>2.1</v>
      </c>
    </row>
    <row r="607" customHeight="1" spans="1:8">
      <c r="A607" s="64"/>
      <c r="B607" s="73" t="s">
        <v>1149</v>
      </c>
      <c r="C607" s="66" t="s">
        <v>1150</v>
      </c>
      <c r="D607" s="67">
        <v>0.3478</v>
      </c>
      <c r="E607" s="68"/>
      <c r="F607" s="69">
        <v>1.4</v>
      </c>
      <c r="G607" s="70"/>
      <c r="H607" s="71">
        <v>0.8</v>
      </c>
    </row>
    <row r="608" customHeight="1" spans="1:8">
      <c r="A608" s="64"/>
      <c r="B608" s="73" t="s">
        <v>1151</v>
      </c>
      <c r="C608" s="66" t="s">
        <v>1152</v>
      </c>
      <c r="D608" s="67">
        <v>0.6087</v>
      </c>
      <c r="E608" s="68"/>
      <c r="F608" s="69">
        <v>2.3</v>
      </c>
      <c r="G608" s="70"/>
      <c r="H608" s="71">
        <v>1.4</v>
      </c>
    </row>
    <row r="609" customHeight="1" spans="1:8">
      <c r="A609" s="64"/>
      <c r="B609" s="73" t="s">
        <v>1153</v>
      </c>
      <c r="C609" s="66" t="s">
        <v>1154</v>
      </c>
      <c r="D609" s="67">
        <v>0.6087</v>
      </c>
      <c r="E609" s="68"/>
      <c r="F609" s="69">
        <v>2.3</v>
      </c>
      <c r="G609" s="70"/>
      <c r="H609" s="71">
        <v>1.4</v>
      </c>
    </row>
    <row r="610" customHeight="1" spans="1:8">
      <c r="A610" s="64"/>
      <c r="B610" s="73" t="s">
        <v>1155</v>
      </c>
      <c r="C610" s="66" t="s">
        <v>1156</v>
      </c>
      <c r="D610" s="67">
        <v>0.6522</v>
      </c>
      <c r="E610" s="68"/>
      <c r="F610" s="69">
        <v>2.5</v>
      </c>
      <c r="G610" s="70"/>
      <c r="H610" s="71">
        <v>1.5</v>
      </c>
    </row>
    <row r="611" customHeight="1" spans="1:8">
      <c r="A611" s="64"/>
      <c r="B611" s="73" t="s">
        <v>1157</v>
      </c>
      <c r="C611" s="66" t="s">
        <v>1158</v>
      </c>
      <c r="D611" s="67">
        <v>0.7391</v>
      </c>
      <c r="E611" s="68"/>
      <c r="F611" s="69">
        <v>2.3</v>
      </c>
      <c r="G611" s="70"/>
      <c r="H611" s="71">
        <v>1.7</v>
      </c>
    </row>
    <row r="612" customHeight="1" spans="1:8">
      <c r="A612" s="64"/>
      <c r="B612" s="73" t="s">
        <v>1159</v>
      </c>
      <c r="C612" s="66" t="s">
        <v>1160</v>
      </c>
      <c r="D612" s="67">
        <v>0.3043</v>
      </c>
      <c r="E612" s="68"/>
      <c r="F612" s="69">
        <v>1.2</v>
      </c>
      <c r="G612" s="70"/>
      <c r="H612" s="71">
        <v>0.7</v>
      </c>
    </row>
    <row r="613" customHeight="1" spans="1:8">
      <c r="A613" s="64"/>
      <c r="B613" s="73" t="s">
        <v>1161</v>
      </c>
      <c r="C613" s="66" t="s">
        <v>1162</v>
      </c>
      <c r="D613" s="67">
        <v>0.6087</v>
      </c>
      <c r="E613" s="68"/>
      <c r="F613" s="69">
        <v>2.2</v>
      </c>
      <c r="G613" s="70"/>
      <c r="H613" s="71">
        <v>1.5</v>
      </c>
    </row>
    <row r="614" customHeight="1" spans="1:8">
      <c r="A614" s="64"/>
      <c r="B614" s="73" t="s">
        <v>1163</v>
      </c>
      <c r="C614" s="66" t="s">
        <v>1164</v>
      </c>
      <c r="D614" s="67">
        <v>0.5217</v>
      </c>
      <c r="E614" s="68"/>
      <c r="F614" s="69">
        <v>1.9</v>
      </c>
      <c r="G614" s="70"/>
      <c r="H614" s="71">
        <v>1.2</v>
      </c>
    </row>
    <row r="615" customHeight="1" spans="1:8">
      <c r="A615" s="64"/>
      <c r="B615" s="108" t="s">
        <v>1165</v>
      </c>
      <c r="C615" s="109" t="s">
        <v>1166</v>
      </c>
      <c r="D615" s="67">
        <v>0.8261</v>
      </c>
      <c r="E615" s="68"/>
      <c r="F615" s="110">
        <v>3</v>
      </c>
      <c r="G615" s="111"/>
      <c r="H615" s="112">
        <v>1.9</v>
      </c>
    </row>
    <row r="616" customHeight="1" spans="1:8">
      <c r="A616" s="64"/>
      <c r="B616" s="73" t="s">
        <v>1167</v>
      </c>
      <c r="C616" s="66" t="s">
        <v>1168</v>
      </c>
      <c r="D616" s="67">
        <v>0.6522</v>
      </c>
      <c r="E616" s="68"/>
      <c r="F616" s="69">
        <v>2.5</v>
      </c>
      <c r="G616" s="70"/>
      <c r="H616" s="71">
        <v>1.5</v>
      </c>
    </row>
    <row r="617" customHeight="1" spans="1:8">
      <c r="A617" s="64"/>
      <c r="B617" s="73" t="s">
        <v>1169</v>
      </c>
      <c r="C617" s="66" t="s">
        <v>1170</v>
      </c>
      <c r="D617" s="67">
        <v>0.3043</v>
      </c>
      <c r="E617" s="68"/>
      <c r="F617" s="69">
        <v>1.1</v>
      </c>
      <c r="G617" s="70"/>
      <c r="H617" s="71">
        <v>0.7</v>
      </c>
    </row>
    <row r="618" customHeight="1" spans="1:8">
      <c r="A618" s="64"/>
      <c r="B618" s="73" t="s">
        <v>1171</v>
      </c>
      <c r="C618" s="66" t="s">
        <v>1172</v>
      </c>
      <c r="D618" s="67">
        <v>0.5217</v>
      </c>
      <c r="E618" s="68"/>
      <c r="F618" s="69">
        <v>1.9</v>
      </c>
      <c r="G618" s="70"/>
      <c r="H618" s="71">
        <v>1.2</v>
      </c>
    </row>
    <row r="619" customHeight="1" spans="1:8">
      <c r="A619" s="64"/>
      <c r="B619" s="103" t="s">
        <v>1173</v>
      </c>
      <c r="C619" s="104" t="s">
        <v>1174</v>
      </c>
      <c r="D619" s="67">
        <v>3.4783</v>
      </c>
      <c r="E619" s="68"/>
      <c r="F619" s="105">
        <v>15</v>
      </c>
      <c r="G619" s="106"/>
      <c r="H619" s="107">
        <v>8</v>
      </c>
    </row>
    <row r="620" customHeight="1" spans="1:8">
      <c r="A620" s="64"/>
      <c r="B620" s="103" t="s">
        <v>1175</v>
      </c>
      <c r="C620" s="104" t="s">
        <v>1176</v>
      </c>
      <c r="D620" s="67">
        <v>3</v>
      </c>
      <c r="E620" s="68"/>
      <c r="F620" s="105">
        <v>10</v>
      </c>
      <c r="G620" s="106"/>
      <c r="H620" s="107">
        <v>6.9</v>
      </c>
    </row>
    <row r="621" ht="25.5" customHeight="1" spans="1:8">
      <c r="A621" s="64"/>
      <c r="B621" s="73" t="s">
        <v>1177</v>
      </c>
      <c r="C621" s="66" t="s">
        <v>1178</v>
      </c>
      <c r="D621" s="67">
        <v>0.6522</v>
      </c>
      <c r="E621" s="68"/>
      <c r="F621" s="69">
        <v>2.5</v>
      </c>
      <c r="G621" s="70"/>
      <c r="H621" s="71">
        <v>1.5</v>
      </c>
    </row>
    <row r="622" customHeight="1" spans="1:8">
      <c r="A622" s="64"/>
      <c r="B622" s="73" t="s">
        <v>1179</v>
      </c>
      <c r="C622" s="66" t="s">
        <v>1180</v>
      </c>
      <c r="D622" s="67">
        <v>0.4348</v>
      </c>
      <c r="E622" s="68"/>
      <c r="F622" s="69">
        <v>1.3</v>
      </c>
      <c r="G622" s="70"/>
      <c r="H622" s="71">
        <v>1</v>
      </c>
    </row>
    <row r="623" customHeight="1" spans="1:8">
      <c r="A623" s="64"/>
      <c r="B623" s="73" t="s">
        <v>1181</v>
      </c>
      <c r="C623" s="66" t="s">
        <v>1182</v>
      </c>
      <c r="D623" s="67">
        <v>0.2174</v>
      </c>
      <c r="E623" s="68"/>
      <c r="F623" s="69">
        <v>1.5</v>
      </c>
      <c r="G623" s="70"/>
      <c r="H623" s="71">
        <v>0.5</v>
      </c>
    </row>
    <row r="624" customHeight="1" spans="1:8">
      <c r="A624" s="64"/>
      <c r="B624" s="73" t="s">
        <v>1183</v>
      </c>
      <c r="C624" s="66" t="s">
        <v>1184</v>
      </c>
      <c r="D624" s="67">
        <v>0.5217</v>
      </c>
      <c r="E624" s="68"/>
      <c r="F624" s="69">
        <v>2.5</v>
      </c>
      <c r="G624" s="70"/>
      <c r="H624" s="71">
        <v>1.2</v>
      </c>
    </row>
    <row r="625" customHeight="1" spans="1:8">
      <c r="A625" s="64"/>
      <c r="B625" s="73" t="s">
        <v>1185</v>
      </c>
      <c r="C625" s="66" t="s">
        <v>1186</v>
      </c>
      <c r="D625" s="67">
        <v>0.3478</v>
      </c>
      <c r="E625" s="68"/>
      <c r="F625" s="69">
        <v>1.3</v>
      </c>
      <c r="G625" s="70"/>
      <c r="H625" s="71">
        <v>0.8</v>
      </c>
    </row>
    <row r="626" customHeight="1" spans="1:8">
      <c r="A626" s="64"/>
      <c r="B626" s="103" t="s">
        <v>1187</v>
      </c>
      <c r="C626" s="104" t="s">
        <v>1188</v>
      </c>
      <c r="D626" s="67">
        <v>1.2174</v>
      </c>
      <c r="E626" s="68"/>
      <c r="F626" s="105">
        <v>5</v>
      </c>
      <c r="G626" s="106"/>
      <c r="H626" s="107">
        <v>2.8</v>
      </c>
    </row>
    <row r="627" customHeight="1" spans="1:8">
      <c r="A627" s="64"/>
      <c r="B627" s="73" t="s">
        <v>1189</v>
      </c>
      <c r="C627" s="66" t="s">
        <v>1190</v>
      </c>
      <c r="D627" s="67">
        <v>0.913</v>
      </c>
      <c r="E627" s="68"/>
      <c r="F627" s="69">
        <v>4</v>
      </c>
      <c r="G627" s="70"/>
      <c r="H627" s="71">
        <v>2.1</v>
      </c>
    </row>
    <row r="628" customHeight="1" spans="1:8">
      <c r="A628" s="64"/>
      <c r="B628" s="103" t="s">
        <v>1191</v>
      </c>
      <c r="C628" s="104" t="s">
        <v>1192</v>
      </c>
      <c r="D628" s="67">
        <v>0.7826</v>
      </c>
      <c r="E628" s="68"/>
      <c r="F628" s="105">
        <v>5</v>
      </c>
      <c r="G628" s="106"/>
      <c r="H628" s="107">
        <v>1.8</v>
      </c>
    </row>
    <row r="629" customHeight="1" spans="1:8">
      <c r="A629" s="64"/>
      <c r="B629" s="73" t="s">
        <v>1193</v>
      </c>
      <c r="C629" s="66" t="s">
        <v>1194</v>
      </c>
      <c r="D629" s="67">
        <v>1.3043</v>
      </c>
      <c r="E629" s="68"/>
      <c r="F629" s="69">
        <v>5</v>
      </c>
      <c r="G629" s="70"/>
      <c r="H629" s="71">
        <v>3</v>
      </c>
    </row>
    <row r="630" customHeight="1" spans="1:8">
      <c r="A630" s="64"/>
      <c r="B630" s="103" t="s">
        <v>1195</v>
      </c>
      <c r="C630" s="104" t="s">
        <v>1196</v>
      </c>
      <c r="D630" s="67">
        <v>1.3478</v>
      </c>
      <c r="E630" s="68"/>
      <c r="F630" s="105">
        <v>5</v>
      </c>
      <c r="G630" s="106"/>
      <c r="H630" s="107">
        <v>3</v>
      </c>
    </row>
    <row r="631" spans="1:8">
      <c r="A631" s="64"/>
      <c r="B631" s="73" t="s">
        <v>1197</v>
      </c>
      <c r="C631" s="66" t="s">
        <v>1198</v>
      </c>
      <c r="D631" s="67">
        <v>1.3043</v>
      </c>
      <c r="E631" s="68"/>
      <c r="F631" s="69">
        <v>3</v>
      </c>
      <c r="G631" s="70"/>
      <c r="H631" s="71">
        <v>2.5</v>
      </c>
    </row>
    <row r="632" customHeight="1" spans="1:8">
      <c r="A632" s="74"/>
      <c r="B632" s="73" t="s">
        <v>1199</v>
      </c>
      <c r="C632" s="66" t="s">
        <v>1200</v>
      </c>
      <c r="D632" s="67">
        <v>0.2174</v>
      </c>
      <c r="E632" s="68"/>
      <c r="F632" s="69">
        <v>1</v>
      </c>
      <c r="G632" s="70"/>
      <c r="H632" s="71">
        <v>0.5</v>
      </c>
    </row>
    <row r="633" customHeight="1" spans="1:8">
      <c r="A633" s="75"/>
      <c r="B633" s="73" t="s">
        <v>1201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</row>
    <row r="634" spans="1:8">
      <c r="A634" s="74"/>
      <c r="B634" s="73" t="s">
        <v>1202</v>
      </c>
      <c r="C634" s="66" t="s">
        <v>1203</v>
      </c>
      <c r="D634" s="67">
        <v>0.4348</v>
      </c>
      <c r="E634" s="68"/>
      <c r="F634" s="69">
        <v>1</v>
      </c>
      <c r="G634" s="70"/>
      <c r="H634" s="71">
        <v>0.5</v>
      </c>
    </row>
    <row r="635" spans="1:8">
      <c r="A635" s="75"/>
      <c r="B635" s="73" t="s">
        <v>1204</v>
      </c>
      <c r="C635" s="66" t="s">
        <v>1203</v>
      </c>
      <c r="D635" s="67">
        <v>0.4348</v>
      </c>
      <c r="E635" s="68"/>
      <c r="F635" s="69">
        <v>1</v>
      </c>
      <c r="G635" s="70"/>
      <c r="H635" s="71">
        <v>0.5</v>
      </c>
    </row>
    <row r="636" customHeight="1" spans="1:8">
      <c r="A636" s="64"/>
      <c r="B636" s="103" t="s">
        <v>1205</v>
      </c>
      <c r="C636" s="104" t="s">
        <v>1206</v>
      </c>
      <c r="D636" s="67">
        <v>2.6087</v>
      </c>
      <c r="E636" s="68"/>
      <c r="F636" s="105">
        <v>9.5</v>
      </c>
      <c r="G636" s="106"/>
      <c r="H636" s="107">
        <v>6</v>
      </c>
    </row>
    <row r="637" customHeight="1" spans="1:8">
      <c r="A637" s="64"/>
      <c r="B637" s="73" t="s">
        <v>1207</v>
      </c>
      <c r="C637" s="66" t="s">
        <v>1208</v>
      </c>
      <c r="D637" s="67">
        <v>2.5652</v>
      </c>
      <c r="E637" s="68"/>
      <c r="F637" s="69">
        <v>10</v>
      </c>
      <c r="G637" s="70"/>
      <c r="H637" s="71">
        <v>5.9</v>
      </c>
    </row>
    <row r="638" customHeight="1" spans="1:8">
      <c r="A638" s="64"/>
      <c r="B638" s="73" t="s">
        <v>1209</v>
      </c>
      <c r="C638" s="66" t="s">
        <v>1210</v>
      </c>
      <c r="D638" s="67">
        <v>3.3043</v>
      </c>
      <c r="E638" s="68"/>
      <c r="F638" s="69">
        <v>12.2</v>
      </c>
      <c r="G638" s="70"/>
      <c r="H638" s="71">
        <v>7.6</v>
      </c>
    </row>
    <row r="639" customHeight="1" spans="1:8">
      <c r="A639" s="64"/>
      <c r="B639" s="103" t="s">
        <v>1211</v>
      </c>
      <c r="C639" s="104" t="s">
        <v>1212</v>
      </c>
      <c r="D639" s="67">
        <v>0.5652</v>
      </c>
      <c r="E639" s="68"/>
      <c r="F639" s="105">
        <v>2.5</v>
      </c>
      <c r="G639" s="106"/>
      <c r="H639" s="107">
        <v>1.3</v>
      </c>
    </row>
    <row r="640" customHeight="1" spans="1:8">
      <c r="A640" s="64"/>
      <c r="B640" s="103" t="s">
        <v>1213</v>
      </c>
      <c r="C640" s="104" t="s">
        <v>1214</v>
      </c>
      <c r="D640" s="67">
        <v>2.4783</v>
      </c>
      <c r="E640" s="68"/>
      <c r="F640" s="105">
        <v>9.1</v>
      </c>
      <c r="G640" s="106"/>
      <c r="H640" s="107">
        <v>5.7</v>
      </c>
    </row>
    <row r="641" ht="25.5" customHeight="1" spans="1:8">
      <c r="A641" s="64"/>
      <c r="B641" s="103" t="s">
        <v>1215</v>
      </c>
      <c r="C641" s="104" t="s">
        <v>1216</v>
      </c>
      <c r="D641" s="67">
        <v>0.2609</v>
      </c>
      <c r="E641" s="68"/>
      <c r="F641" s="105">
        <v>1</v>
      </c>
      <c r="G641" s="106"/>
      <c r="H641" s="107">
        <v>0.6</v>
      </c>
    </row>
    <row r="642" ht="25.5" customHeight="1" spans="1:8">
      <c r="A642" s="64"/>
      <c r="B642" s="103" t="s">
        <v>1217</v>
      </c>
      <c r="C642" s="104" t="s">
        <v>1218</v>
      </c>
      <c r="D642" s="67">
        <v>0.3478</v>
      </c>
      <c r="E642" s="68"/>
      <c r="F642" s="105">
        <v>1.2</v>
      </c>
      <c r="G642" s="106"/>
      <c r="H642" s="107">
        <v>0.8</v>
      </c>
    </row>
    <row r="643" customHeight="1" spans="1:8">
      <c r="A643" s="64"/>
      <c r="B643" s="103" t="s">
        <v>1219</v>
      </c>
      <c r="C643" s="104" t="s">
        <v>1220</v>
      </c>
      <c r="D643" s="67">
        <v>0.1304</v>
      </c>
      <c r="E643" s="68"/>
      <c r="F643" s="105">
        <v>0.5</v>
      </c>
      <c r="G643" s="106"/>
      <c r="H643" s="107">
        <v>0.3</v>
      </c>
    </row>
    <row r="644" customHeight="1" spans="1:8">
      <c r="A644" s="64"/>
      <c r="B644" s="73" t="s">
        <v>1221</v>
      </c>
      <c r="C644" s="66" t="s">
        <v>1222</v>
      </c>
      <c r="D644" s="67">
        <v>0.2174</v>
      </c>
      <c r="E644" s="68"/>
      <c r="F644" s="69">
        <v>0.8</v>
      </c>
      <c r="G644" s="70"/>
      <c r="H644" s="71">
        <v>0.5</v>
      </c>
    </row>
    <row r="645" customHeight="1" spans="1:8">
      <c r="A645" s="64"/>
      <c r="B645" s="65">
        <v>6937630002071</v>
      </c>
      <c r="C645" s="66" t="s">
        <v>1223</v>
      </c>
      <c r="D645" s="67">
        <v>0.1739</v>
      </c>
      <c r="E645" s="68"/>
      <c r="F645" s="69">
        <v>0.8</v>
      </c>
      <c r="G645" s="70"/>
      <c r="H645" s="71">
        <v>0.4</v>
      </c>
    </row>
    <row r="646" ht="25.5" customHeight="1" spans="1:8">
      <c r="A646" s="64"/>
      <c r="B646" s="103" t="s">
        <v>1224</v>
      </c>
      <c r="C646" s="104" t="s">
        <v>1225</v>
      </c>
      <c r="D646" s="67">
        <v>0.7826</v>
      </c>
      <c r="E646" s="68"/>
      <c r="F646" s="105">
        <v>3</v>
      </c>
      <c r="G646" s="106"/>
      <c r="H646" s="107">
        <v>2</v>
      </c>
    </row>
    <row r="647" ht="25.5" customHeight="1" spans="1:8">
      <c r="A647" s="64"/>
      <c r="B647" s="103" t="s">
        <v>1226</v>
      </c>
      <c r="C647" s="104" t="s">
        <v>1227</v>
      </c>
      <c r="D647" s="67">
        <v>0.8696</v>
      </c>
      <c r="E647" s="68"/>
      <c r="F647" s="105">
        <v>4</v>
      </c>
      <c r="G647" s="106"/>
      <c r="H647" s="107">
        <v>3</v>
      </c>
    </row>
    <row r="648" customHeight="1" spans="1:8">
      <c r="A648" s="64"/>
      <c r="B648" s="73" t="s">
        <v>1228</v>
      </c>
      <c r="C648" s="66" t="s">
        <v>1229</v>
      </c>
      <c r="D648" s="67">
        <v>0.1304</v>
      </c>
      <c r="E648" s="68"/>
      <c r="F648" s="69">
        <v>0.5</v>
      </c>
      <c r="G648" s="70"/>
      <c r="H648" s="71">
        <v>0.3</v>
      </c>
    </row>
    <row r="649" customHeight="1" spans="1:8">
      <c r="A649" s="64"/>
      <c r="B649" s="73" t="s">
        <v>1230</v>
      </c>
      <c r="C649" s="66" t="s">
        <v>1231</v>
      </c>
      <c r="D649" s="67">
        <v>0.1087</v>
      </c>
      <c r="E649" s="68"/>
      <c r="F649" s="69">
        <v>0.5</v>
      </c>
      <c r="G649" s="70"/>
      <c r="H649" s="71">
        <v>0.25</v>
      </c>
    </row>
    <row r="650" ht="25.5" customHeight="1" spans="1:8">
      <c r="A650" s="64"/>
      <c r="B650" s="73" t="s">
        <v>1232</v>
      </c>
      <c r="C650" s="66" t="s">
        <v>1233</v>
      </c>
      <c r="D650" s="67">
        <v>0.1304</v>
      </c>
      <c r="E650" s="68"/>
      <c r="F650" s="69">
        <v>0.5</v>
      </c>
      <c r="G650" s="70"/>
      <c r="H650" s="71">
        <v>0.3</v>
      </c>
    </row>
    <row r="651" customHeight="1" spans="1:8">
      <c r="A651" s="64"/>
      <c r="B651" s="103" t="s">
        <v>1234</v>
      </c>
      <c r="C651" s="104" t="s">
        <v>1235</v>
      </c>
      <c r="D651" s="67">
        <v>0.1739</v>
      </c>
      <c r="E651" s="68"/>
      <c r="F651" s="105">
        <v>0.25</v>
      </c>
      <c r="G651" s="106"/>
      <c r="H651" s="107">
        <v>0.4</v>
      </c>
    </row>
    <row r="652" customHeight="1" spans="1:8">
      <c r="A652" s="64"/>
      <c r="B652" s="103" t="s">
        <v>1236</v>
      </c>
      <c r="C652" s="104" t="s">
        <v>1237</v>
      </c>
      <c r="D652" s="67">
        <v>0.1739</v>
      </c>
      <c r="E652" s="68"/>
      <c r="F652" s="105">
        <v>0.6</v>
      </c>
      <c r="G652" s="106"/>
      <c r="H652" s="107">
        <v>0.4</v>
      </c>
    </row>
    <row r="653" customHeight="1" spans="1:8">
      <c r="A653" s="64"/>
      <c r="B653" s="65">
        <v>6948476623542</v>
      </c>
      <c r="C653" s="66" t="s">
        <v>1238</v>
      </c>
      <c r="D653" s="67">
        <v>0.2174</v>
      </c>
      <c r="E653" s="68"/>
      <c r="F653" s="69">
        <v>0.7</v>
      </c>
      <c r="G653" s="70"/>
      <c r="H653" s="71">
        <v>0.5</v>
      </c>
    </row>
    <row r="654" customHeight="1" spans="1:8">
      <c r="A654" s="64"/>
      <c r="B654" s="114">
        <v>4010355307736</v>
      </c>
      <c r="C654" s="104" t="s">
        <v>1239</v>
      </c>
      <c r="D654" s="67">
        <v>0.2609</v>
      </c>
      <c r="E654" s="68"/>
      <c r="F654" s="105">
        <v>1</v>
      </c>
      <c r="G654" s="106"/>
      <c r="H654" s="107">
        <v>0.6</v>
      </c>
    </row>
    <row r="655" customHeight="1" spans="1:8">
      <c r="A655" s="64"/>
      <c r="B655" s="103" t="s">
        <v>1240</v>
      </c>
      <c r="C655" s="104" t="s">
        <v>1241</v>
      </c>
      <c r="D655" s="67">
        <v>0.1304</v>
      </c>
      <c r="E655" s="68"/>
      <c r="F655" s="105">
        <v>0.5</v>
      </c>
      <c r="G655" s="106"/>
      <c r="H655" s="107">
        <v>0.25</v>
      </c>
    </row>
    <row r="656" spans="1:8">
      <c r="A656" s="64"/>
      <c r="B656" s="73" t="s">
        <v>1242</v>
      </c>
      <c r="C656" s="66" t="s">
        <v>1243</v>
      </c>
      <c r="D656" s="67">
        <v>0.3043</v>
      </c>
      <c r="E656" s="68"/>
      <c r="F656" s="69">
        <v>0.7</v>
      </c>
      <c r="G656" s="70"/>
      <c r="H656" s="71">
        <v>0.4</v>
      </c>
    </row>
    <row r="657" customHeight="1" spans="1:8">
      <c r="A657" s="74"/>
      <c r="B657" s="73" t="s">
        <v>1244</v>
      </c>
      <c r="C657" s="66" t="s">
        <v>1245</v>
      </c>
      <c r="D657" s="67">
        <v>1.3043</v>
      </c>
      <c r="E657" s="68"/>
      <c r="F657" s="69">
        <v>4</v>
      </c>
      <c r="G657" s="70"/>
      <c r="H657" s="71">
        <v>3</v>
      </c>
    </row>
    <row r="658" customHeight="1" spans="1:8">
      <c r="A658" s="84"/>
      <c r="B658" s="73" t="s">
        <v>1246</v>
      </c>
      <c r="C658" s="66" t="s">
        <v>1245</v>
      </c>
      <c r="D658" s="67">
        <v>1.087</v>
      </c>
      <c r="E658" s="68"/>
      <c r="F658" s="69">
        <v>4</v>
      </c>
      <c r="G658" s="70"/>
      <c r="H658" s="71">
        <v>2.5</v>
      </c>
    </row>
    <row r="659" customHeight="1" spans="1:8">
      <c r="A659" s="84"/>
      <c r="B659" s="73" t="s">
        <v>1247</v>
      </c>
      <c r="C659" s="66" t="s">
        <v>1245</v>
      </c>
      <c r="D659" s="67">
        <v>0.8696</v>
      </c>
      <c r="E659" s="68"/>
      <c r="F659" s="69">
        <v>4</v>
      </c>
      <c r="G659" s="70"/>
      <c r="H659" s="71">
        <v>2</v>
      </c>
    </row>
    <row r="660" customHeight="1" spans="1:8">
      <c r="A660" s="75"/>
      <c r="B660" s="73" t="s">
        <v>1248</v>
      </c>
      <c r="C660" s="66" t="s">
        <v>1245</v>
      </c>
      <c r="D660" s="67">
        <v>1.3043</v>
      </c>
      <c r="E660" s="68"/>
      <c r="F660" s="69">
        <v>4.5</v>
      </c>
      <c r="G660" s="70"/>
      <c r="H660" s="71">
        <v>3</v>
      </c>
    </row>
    <row r="661" customHeight="1" spans="1:8">
      <c r="A661" s="64"/>
      <c r="B661" s="73" t="s">
        <v>1249</v>
      </c>
      <c r="C661" s="66" t="s">
        <v>1250</v>
      </c>
      <c r="D661" s="67">
        <v>0.4783</v>
      </c>
      <c r="E661" s="68"/>
      <c r="F661" s="69">
        <v>1.7</v>
      </c>
      <c r="G661" s="70"/>
      <c r="H661" s="71">
        <v>1.1</v>
      </c>
    </row>
    <row r="662" customHeight="1" spans="1:8">
      <c r="A662" s="64"/>
      <c r="B662" s="73" t="s">
        <v>1251</v>
      </c>
      <c r="C662" s="66" t="s">
        <v>1252</v>
      </c>
      <c r="D662" s="67">
        <v>0.7826</v>
      </c>
      <c r="E662" s="68"/>
      <c r="F662" s="69">
        <v>2.8</v>
      </c>
      <c r="G662" s="70"/>
      <c r="H662" s="71">
        <v>1.8</v>
      </c>
    </row>
    <row r="663" customHeight="1" spans="1:8">
      <c r="A663" s="64"/>
      <c r="B663" s="73" t="s">
        <v>1253</v>
      </c>
      <c r="C663" s="66" t="s">
        <v>1254</v>
      </c>
      <c r="D663" s="67">
        <v>0.8696</v>
      </c>
      <c r="E663" s="68"/>
      <c r="F663" s="69">
        <v>4</v>
      </c>
      <c r="G663" s="70"/>
      <c r="H663" s="71">
        <v>2</v>
      </c>
    </row>
    <row r="664" customHeight="1" spans="1:8">
      <c r="A664" s="64"/>
      <c r="B664" s="73" t="s">
        <v>1255</v>
      </c>
      <c r="C664" s="66" t="s">
        <v>1256</v>
      </c>
      <c r="D664" s="82">
        <v>43.4783</v>
      </c>
      <c r="E664" s="83"/>
      <c r="F664" s="69">
        <v>180</v>
      </c>
      <c r="G664" s="70"/>
      <c r="H664" s="71">
        <v>100</v>
      </c>
    </row>
    <row r="665" customHeight="1" spans="1:8">
      <c r="A665" s="64"/>
      <c r="B665" s="73" t="s">
        <v>1257</v>
      </c>
      <c r="C665" s="66" t="s">
        <v>1258</v>
      </c>
      <c r="D665" s="67">
        <v>0.4783</v>
      </c>
      <c r="E665" s="68"/>
      <c r="F665" s="69">
        <v>2</v>
      </c>
      <c r="G665" s="70"/>
      <c r="H665" s="71">
        <v>1.1</v>
      </c>
    </row>
    <row r="666" customHeight="1" spans="1:8">
      <c r="A666" s="64"/>
      <c r="B666" s="73" t="s">
        <v>1259</v>
      </c>
      <c r="C666" s="66" t="s">
        <v>1260</v>
      </c>
      <c r="D666" s="67">
        <v>0.7826</v>
      </c>
      <c r="E666" s="68"/>
      <c r="F666" s="69">
        <v>2.8</v>
      </c>
      <c r="G666" s="70"/>
      <c r="H666" s="71">
        <v>1.8</v>
      </c>
    </row>
    <row r="667" customHeight="1" spans="1:8">
      <c r="A667" s="64"/>
      <c r="B667" s="73" t="s">
        <v>1261</v>
      </c>
      <c r="C667" s="66" t="s">
        <v>1262</v>
      </c>
      <c r="D667" s="67">
        <v>1.3043</v>
      </c>
      <c r="E667" s="68"/>
      <c r="F667" s="69">
        <v>4</v>
      </c>
      <c r="G667" s="70"/>
      <c r="H667" s="71">
        <v>3</v>
      </c>
    </row>
    <row r="668" customHeight="1" spans="1:8">
      <c r="A668" s="64"/>
      <c r="B668" s="103" t="s">
        <v>1263</v>
      </c>
      <c r="C668" s="104" t="s">
        <v>1264</v>
      </c>
      <c r="D668" s="67">
        <v>1.1304</v>
      </c>
      <c r="E668" s="68"/>
      <c r="F668" s="105">
        <v>4</v>
      </c>
      <c r="G668" s="106"/>
      <c r="H668" s="107">
        <v>2.6</v>
      </c>
    </row>
    <row r="669" spans="1:8">
      <c r="A669" s="64"/>
      <c r="B669" s="73" t="s">
        <v>1265</v>
      </c>
      <c r="C669" s="66" t="s">
        <v>1266</v>
      </c>
      <c r="D669" s="67">
        <v>0.2174</v>
      </c>
      <c r="E669" s="68"/>
      <c r="F669" s="69">
        <v>0.5</v>
      </c>
      <c r="G669" s="70"/>
      <c r="H669" s="71">
        <v>0.3</v>
      </c>
    </row>
    <row r="670" ht="25.5" customHeight="1" spans="1:8">
      <c r="A670" s="64"/>
      <c r="B670" s="73" t="s">
        <v>1267</v>
      </c>
      <c r="C670" s="66" t="s">
        <v>1268</v>
      </c>
      <c r="D670" s="67">
        <v>5.2174</v>
      </c>
      <c r="E670" s="68"/>
      <c r="F670" s="69">
        <v>20</v>
      </c>
      <c r="G670" s="70"/>
      <c r="H670" s="71">
        <v>12</v>
      </c>
    </row>
    <row r="671" customHeight="1" spans="1:8">
      <c r="A671" s="64"/>
      <c r="B671" s="73" t="s">
        <v>1269</v>
      </c>
      <c r="C671" s="66" t="s">
        <v>1270</v>
      </c>
      <c r="D671" s="67">
        <v>0.087</v>
      </c>
      <c r="E671" s="68"/>
      <c r="F671" s="69">
        <v>0.3</v>
      </c>
      <c r="G671" s="70"/>
      <c r="H671" s="71">
        <v>0.2</v>
      </c>
    </row>
    <row r="672" customHeight="1" spans="1:8">
      <c r="A672" s="64"/>
      <c r="B672" s="73" t="s">
        <v>1271</v>
      </c>
      <c r="C672" s="66" t="s">
        <v>1272</v>
      </c>
      <c r="D672" s="67">
        <v>0.1739</v>
      </c>
      <c r="E672" s="68"/>
      <c r="F672" s="69">
        <v>0.6</v>
      </c>
      <c r="G672" s="70"/>
      <c r="H672" s="71">
        <v>0.4</v>
      </c>
    </row>
    <row r="673" customHeight="1" spans="1:8">
      <c r="A673" s="64"/>
      <c r="B673" s="73" t="s">
        <v>1273</v>
      </c>
      <c r="C673" s="66" t="s">
        <v>1274</v>
      </c>
      <c r="D673" s="67">
        <v>0.0435</v>
      </c>
      <c r="E673" s="68"/>
      <c r="F673" s="69">
        <v>0.25</v>
      </c>
      <c r="G673" s="70"/>
      <c r="H673" s="71">
        <v>0.1</v>
      </c>
    </row>
    <row r="674" customHeight="1" spans="1:8">
      <c r="A674" s="64"/>
      <c r="B674" s="103" t="s">
        <v>1275</v>
      </c>
      <c r="C674" s="104" t="s">
        <v>1276</v>
      </c>
      <c r="D674" s="67">
        <v>0.087</v>
      </c>
      <c r="E674" s="68"/>
      <c r="F674" s="105">
        <v>0.5</v>
      </c>
      <c r="G674" s="106"/>
      <c r="H674" s="107">
        <v>0.2</v>
      </c>
    </row>
    <row r="675" customHeight="1" spans="1:8">
      <c r="A675" s="64"/>
      <c r="B675" s="73" t="s">
        <v>1277</v>
      </c>
      <c r="C675" s="66" t="s">
        <v>1278</v>
      </c>
      <c r="D675" s="67">
        <v>0.087</v>
      </c>
      <c r="E675" s="68"/>
      <c r="F675" s="69">
        <v>0.5</v>
      </c>
      <c r="G675" s="70"/>
      <c r="H675" s="71">
        <v>0.2</v>
      </c>
    </row>
    <row r="676" customHeight="1" spans="1:8">
      <c r="A676" s="64"/>
      <c r="B676" s="103" t="s">
        <v>1279</v>
      </c>
      <c r="C676" s="104" t="s">
        <v>1280</v>
      </c>
      <c r="D676" s="67">
        <v>0.1304</v>
      </c>
      <c r="E676" s="68"/>
      <c r="F676" s="105">
        <v>0.5</v>
      </c>
      <c r="G676" s="106"/>
      <c r="H676" s="107">
        <v>0.3</v>
      </c>
    </row>
    <row r="677" ht="27.95" customHeight="1" spans="1:8">
      <c r="A677" s="64"/>
      <c r="B677" s="103" t="s">
        <v>1281</v>
      </c>
      <c r="C677" s="104" t="s">
        <v>1282</v>
      </c>
      <c r="D677" s="67">
        <v>0.2174</v>
      </c>
      <c r="E677" s="68"/>
      <c r="F677" s="105">
        <v>0.8</v>
      </c>
      <c r="G677" s="106"/>
      <c r="H677" s="107">
        <v>0.5</v>
      </c>
    </row>
    <row r="678" ht="27.95" customHeight="1" spans="1:8">
      <c r="A678" s="64"/>
      <c r="B678" s="73" t="s">
        <v>1283</v>
      </c>
      <c r="C678" s="66" t="s">
        <v>1284</v>
      </c>
      <c r="D678" s="67">
        <v>4.3478</v>
      </c>
      <c r="E678" s="68"/>
      <c r="F678" s="69">
        <v>10</v>
      </c>
      <c r="G678" s="70"/>
      <c r="H678" s="71">
        <v>8</v>
      </c>
    </row>
    <row r="679" ht="27.95" customHeight="1" spans="1:8">
      <c r="A679" s="64"/>
      <c r="B679" s="114">
        <v>6927433612256</v>
      </c>
      <c r="C679" s="104" t="s">
        <v>1285</v>
      </c>
      <c r="D679" s="67">
        <v>0.2609</v>
      </c>
      <c r="E679" s="68"/>
      <c r="F679" s="105">
        <v>1</v>
      </c>
      <c r="G679" s="106"/>
      <c r="H679" s="107">
        <v>0.6</v>
      </c>
    </row>
    <row r="680" ht="27.95" customHeight="1" spans="1:8">
      <c r="A680" s="64"/>
      <c r="B680" s="114">
        <v>6931388597582</v>
      </c>
      <c r="C680" s="104" t="s">
        <v>1286</v>
      </c>
      <c r="D680" s="67">
        <v>0.087</v>
      </c>
      <c r="E680" s="68"/>
      <c r="F680" s="105">
        <v>0.5</v>
      </c>
      <c r="G680" s="106"/>
      <c r="H680" s="107">
        <v>0.3</v>
      </c>
    </row>
    <row r="681" ht="27.95" customHeight="1" spans="1:8">
      <c r="A681" s="64"/>
      <c r="B681" s="73" t="s">
        <v>1287</v>
      </c>
      <c r="C681" s="66" t="s">
        <v>1288</v>
      </c>
      <c r="D681" s="67">
        <v>0.1304</v>
      </c>
      <c r="E681" s="68"/>
      <c r="F681" s="69">
        <v>0.4</v>
      </c>
      <c r="G681" s="70"/>
      <c r="H681" s="71">
        <v>0.3</v>
      </c>
    </row>
    <row r="682" ht="27.95" customHeight="1" spans="1:8">
      <c r="A682" s="64"/>
      <c r="B682" s="73" t="s">
        <v>1289</v>
      </c>
      <c r="C682" s="66" t="s">
        <v>1290</v>
      </c>
      <c r="D682" s="67">
        <v>1.8696</v>
      </c>
      <c r="E682" s="68"/>
      <c r="F682" s="69">
        <v>6.9</v>
      </c>
      <c r="G682" s="70"/>
      <c r="H682" s="71">
        <v>4.3</v>
      </c>
    </row>
    <row r="683" ht="27.95" customHeight="1" spans="1:8">
      <c r="A683" s="64"/>
      <c r="B683" s="73" t="s">
        <v>1291</v>
      </c>
      <c r="C683" s="66" t="s">
        <v>1292</v>
      </c>
      <c r="D683" s="67">
        <v>1.1304</v>
      </c>
      <c r="E683" s="68"/>
      <c r="F683" s="69">
        <v>4.1</v>
      </c>
      <c r="G683" s="70"/>
      <c r="H683" s="71">
        <v>2.6</v>
      </c>
    </row>
    <row r="684" ht="27.95" customHeight="1" spans="1:8">
      <c r="A684" s="64"/>
      <c r="B684" s="73" t="s">
        <v>1293</v>
      </c>
      <c r="C684" s="66" t="s">
        <v>1294</v>
      </c>
      <c r="D684" s="67">
        <v>4.0435</v>
      </c>
      <c r="E684" s="68"/>
      <c r="F684" s="69">
        <v>15</v>
      </c>
      <c r="G684" s="70"/>
      <c r="H684" s="71">
        <v>9.3</v>
      </c>
    </row>
    <row r="685" ht="27.95" customHeight="1" spans="1:8">
      <c r="A685" s="64"/>
      <c r="B685" s="65">
        <v>6925749722157</v>
      </c>
      <c r="C685" s="66" t="s">
        <v>1295</v>
      </c>
      <c r="D685" s="67">
        <v>1</v>
      </c>
      <c r="E685" s="68"/>
      <c r="F685" s="69">
        <v>3.6</v>
      </c>
      <c r="G685" s="70"/>
      <c r="H685" s="71">
        <v>2.3</v>
      </c>
    </row>
    <row r="686" ht="27.95" customHeight="1" spans="1:8">
      <c r="A686" s="64"/>
      <c r="B686" s="103" t="s">
        <v>1296</v>
      </c>
      <c r="C686" s="104" t="s">
        <v>1297</v>
      </c>
      <c r="D686" s="67">
        <v>1.6522</v>
      </c>
      <c r="E686" s="68"/>
      <c r="F686" s="105">
        <v>6</v>
      </c>
      <c r="G686" s="106"/>
      <c r="H686" s="107">
        <v>3.8</v>
      </c>
    </row>
    <row r="687" ht="27.95" customHeight="1" spans="1:8">
      <c r="A687" s="64"/>
      <c r="B687" s="103" t="s">
        <v>1298</v>
      </c>
      <c r="C687" s="104" t="s">
        <v>1299</v>
      </c>
      <c r="D687" s="67">
        <v>0.0435</v>
      </c>
      <c r="E687" s="68"/>
      <c r="F687" s="105">
        <v>0.25</v>
      </c>
      <c r="G687" s="106"/>
      <c r="H687" s="107">
        <v>0.1</v>
      </c>
    </row>
    <row r="688" ht="27.95" customHeight="1" spans="1:8">
      <c r="A688" s="64"/>
      <c r="B688" s="103" t="s">
        <v>1300</v>
      </c>
      <c r="C688" s="104" t="s">
        <v>1301</v>
      </c>
      <c r="D688" s="67">
        <v>0.1304</v>
      </c>
      <c r="E688" s="68"/>
      <c r="F688" s="105">
        <v>0.5</v>
      </c>
      <c r="G688" s="106"/>
      <c r="H688" s="107">
        <v>0.3</v>
      </c>
    </row>
    <row r="689" ht="27.95" customHeight="1" spans="1:8">
      <c r="A689" s="64"/>
      <c r="B689" s="73" t="s">
        <v>1302</v>
      </c>
      <c r="C689" s="66" t="s">
        <v>1303</v>
      </c>
      <c r="D689" s="67">
        <v>0.1739</v>
      </c>
      <c r="E689" s="68"/>
      <c r="F689" s="69">
        <v>0.6</v>
      </c>
      <c r="G689" s="70"/>
      <c r="H689" s="71">
        <v>0.4</v>
      </c>
    </row>
    <row r="690" ht="27.95" customHeight="1" spans="1:8">
      <c r="A690" s="64"/>
      <c r="B690" s="103" t="s">
        <v>1304</v>
      </c>
      <c r="C690" s="104" t="s">
        <v>1305</v>
      </c>
      <c r="D690" s="67">
        <v>0.1304</v>
      </c>
      <c r="E690" s="68"/>
      <c r="F690" s="105">
        <v>0.5</v>
      </c>
      <c r="G690" s="106"/>
      <c r="H690" s="107">
        <v>0.3</v>
      </c>
    </row>
    <row r="691" ht="27.95" customHeight="1" spans="1:8">
      <c r="A691" s="64"/>
      <c r="B691" s="73" t="s">
        <v>1306</v>
      </c>
      <c r="C691" s="66" t="s">
        <v>1307</v>
      </c>
      <c r="D691" s="67">
        <v>0.1739</v>
      </c>
      <c r="E691" s="68"/>
      <c r="F691" s="69">
        <v>0.5</v>
      </c>
      <c r="G691" s="70"/>
      <c r="H691" s="71">
        <v>0.4</v>
      </c>
    </row>
    <row r="692" ht="27.95" customHeight="1" spans="1:8">
      <c r="A692" s="64"/>
      <c r="B692" s="73" t="s">
        <v>1308</v>
      </c>
      <c r="C692" s="66" t="s">
        <v>1309</v>
      </c>
      <c r="D692" s="67">
        <v>0.1739</v>
      </c>
      <c r="E692" s="68"/>
      <c r="F692" s="69">
        <v>1</v>
      </c>
      <c r="G692" s="70"/>
      <c r="H692" s="71">
        <v>0.4</v>
      </c>
    </row>
    <row r="693" ht="27.95" customHeight="1" spans="1:8">
      <c r="A693" s="64"/>
      <c r="B693" s="103" t="s">
        <v>1310</v>
      </c>
      <c r="C693" s="104" t="s">
        <v>1311</v>
      </c>
      <c r="D693" s="67">
        <v>0.2174</v>
      </c>
      <c r="E693" s="68"/>
      <c r="F693" s="105">
        <v>0.7</v>
      </c>
      <c r="G693" s="106"/>
      <c r="H693" s="107">
        <v>0.5</v>
      </c>
    </row>
    <row r="694" ht="27.95" customHeight="1" spans="1:8">
      <c r="A694" s="64"/>
      <c r="B694" s="73" t="s">
        <v>1312</v>
      </c>
      <c r="C694" s="66" t="s">
        <v>1313</v>
      </c>
      <c r="D694" s="67">
        <v>0.1304</v>
      </c>
      <c r="E694" s="68"/>
      <c r="F694" s="69">
        <v>0.5</v>
      </c>
      <c r="G694" s="70"/>
      <c r="H694" s="71">
        <v>0.3</v>
      </c>
    </row>
    <row r="695" ht="27.95" customHeight="1" spans="1:8">
      <c r="A695" s="64"/>
      <c r="B695" s="73" t="s">
        <v>1314</v>
      </c>
      <c r="C695" s="66" t="s">
        <v>1315</v>
      </c>
      <c r="D695" s="67">
        <v>0.1304</v>
      </c>
      <c r="E695" s="68"/>
      <c r="F695" s="69">
        <v>0.5</v>
      </c>
      <c r="G695" s="70"/>
      <c r="H695" s="71">
        <v>0.25</v>
      </c>
    </row>
    <row r="696" ht="27.95" customHeight="1" spans="1:8">
      <c r="A696" s="64"/>
      <c r="B696" s="73" t="s">
        <v>1316</v>
      </c>
      <c r="C696" s="66" t="s">
        <v>1317</v>
      </c>
      <c r="D696" s="67">
        <v>0.2174</v>
      </c>
      <c r="E696" s="68"/>
      <c r="F696" s="69">
        <v>1</v>
      </c>
      <c r="G696" s="70"/>
      <c r="H696" s="71">
        <v>0.5</v>
      </c>
    </row>
    <row r="697" ht="27.95" customHeight="1" spans="1:8">
      <c r="A697" s="64"/>
      <c r="B697" s="103" t="s">
        <v>1318</v>
      </c>
      <c r="C697" s="104" t="s">
        <v>1319</v>
      </c>
      <c r="D697" s="67">
        <v>0.8261</v>
      </c>
      <c r="E697" s="68"/>
      <c r="F697" s="105">
        <v>3.5</v>
      </c>
      <c r="G697" s="106"/>
      <c r="H697" s="107">
        <v>1.9</v>
      </c>
    </row>
    <row r="698" ht="27.95" customHeight="1" spans="1:8">
      <c r="A698" s="64"/>
      <c r="B698" s="73" t="s">
        <v>1320</v>
      </c>
      <c r="C698" s="66" t="s">
        <v>1321</v>
      </c>
      <c r="D698" s="67">
        <v>0.3478</v>
      </c>
      <c r="E698" s="68"/>
      <c r="F698" s="69">
        <v>1.3</v>
      </c>
      <c r="G698" s="70"/>
      <c r="H698" s="71">
        <v>0.8</v>
      </c>
    </row>
    <row r="699" ht="27.95" customHeight="1" spans="1:8">
      <c r="A699" s="64"/>
      <c r="B699" s="73" t="s">
        <v>1322</v>
      </c>
      <c r="C699" s="66" t="s">
        <v>1323</v>
      </c>
      <c r="D699" s="67">
        <v>0.6957</v>
      </c>
      <c r="E699" s="68"/>
      <c r="F699" s="69">
        <v>2.5</v>
      </c>
      <c r="G699" s="70"/>
      <c r="H699" s="71">
        <v>1.6</v>
      </c>
    </row>
    <row r="700" ht="27.95" customHeight="1" spans="1:8">
      <c r="A700" s="64"/>
      <c r="B700" s="73" t="s">
        <v>1324</v>
      </c>
      <c r="C700" s="66" t="s">
        <v>1325</v>
      </c>
      <c r="D700" s="67">
        <v>0.8261</v>
      </c>
      <c r="E700" s="68"/>
      <c r="F700" s="69">
        <v>3.1</v>
      </c>
      <c r="G700" s="70"/>
      <c r="H700" s="71">
        <v>1.9</v>
      </c>
    </row>
    <row r="701" ht="27.95" customHeight="1" spans="1:8">
      <c r="A701" s="64"/>
      <c r="B701" s="103" t="s">
        <v>1326</v>
      </c>
      <c r="C701" s="104" t="s">
        <v>1327</v>
      </c>
      <c r="D701" s="67">
        <v>0.6957</v>
      </c>
      <c r="E701" s="68"/>
      <c r="F701" s="105">
        <v>2.5</v>
      </c>
      <c r="G701" s="106"/>
      <c r="H701" s="107">
        <v>1.6</v>
      </c>
    </row>
    <row r="702" ht="27.95" customHeight="1" spans="1:8">
      <c r="A702" s="64"/>
      <c r="B702" s="73" t="s">
        <v>1328</v>
      </c>
      <c r="C702" s="66" t="s">
        <v>1329</v>
      </c>
      <c r="D702" s="67">
        <v>0.4348</v>
      </c>
      <c r="E702" s="68"/>
      <c r="F702" s="69">
        <v>1.5</v>
      </c>
      <c r="G702" s="70"/>
      <c r="H702" s="71">
        <v>1</v>
      </c>
    </row>
    <row r="703" ht="27.95" customHeight="1" spans="1:8">
      <c r="A703" s="64"/>
      <c r="B703" s="103" t="s">
        <v>1330</v>
      </c>
      <c r="C703" s="104" t="s">
        <v>1331</v>
      </c>
      <c r="D703" s="67">
        <v>0.1087</v>
      </c>
      <c r="E703" s="68"/>
      <c r="F703" s="105">
        <v>1</v>
      </c>
      <c r="G703" s="106"/>
      <c r="H703" s="107">
        <v>0.25</v>
      </c>
    </row>
    <row r="704" ht="27.95" customHeight="1" spans="1:8">
      <c r="A704" s="64"/>
      <c r="B704" s="73" t="s">
        <v>1332</v>
      </c>
      <c r="C704" s="66" t="s">
        <v>1333</v>
      </c>
      <c r="D704" s="67">
        <v>0.1304</v>
      </c>
      <c r="E704" s="68"/>
      <c r="F704" s="69">
        <v>0.5</v>
      </c>
      <c r="G704" s="70"/>
      <c r="H704" s="71">
        <v>0.3</v>
      </c>
    </row>
    <row r="705" ht="27.95" customHeight="1" spans="1:8">
      <c r="A705" s="64"/>
      <c r="B705" s="103" t="s">
        <v>1334</v>
      </c>
      <c r="C705" s="104" t="s">
        <v>1335</v>
      </c>
      <c r="D705" s="67">
        <v>0.1304</v>
      </c>
      <c r="E705" s="68"/>
      <c r="F705" s="105">
        <v>0.5</v>
      </c>
      <c r="G705" s="106"/>
      <c r="H705" s="107">
        <v>0.3</v>
      </c>
    </row>
    <row r="706" ht="27.95" customHeight="1" spans="1:8">
      <c r="A706" s="64"/>
      <c r="B706" s="73" t="s">
        <v>1336</v>
      </c>
      <c r="C706" s="66" t="s">
        <v>1337</v>
      </c>
      <c r="D706" s="67">
        <v>6.1304</v>
      </c>
      <c r="E706" s="68"/>
      <c r="F706" s="69">
        <v>16.5</v>
      </c>
      <c r="G706" s="70"/>
      <c r="H706" s="71">
        <v>14.1</v>
      </c>
    </row>
    <row r="707" ht="27.95" customHeight="1" spans="1:8">
      <c r="A707" s="64"/>
      <c r="B707" s="73" t="s">
        <v>1338</v>
      </c>
      <c r="C707" s="66" t="s">
        <v>1339</v>
      </c>
      <c r="D707" s="67">
        <v>0.3043</v>
      </c>
      <c r="E707" s="68"/>
      <c r="F707" s="69">
        <v>1</v>
      </c>
      <c r="G707" s="70"/>
      <c r="H707" s="71">
        <v>0.7</v>
      </c>
    </row>
    <row r="708" ht="27.95" customHeight="1" spans="1:8">
      <c r="A708" s="64"/>
      <c r="B708" s="73" t="s">
        <v>1340</v>
      </c>
      <c r="C708" s="66" t="s">
        <v>1341</v>
      </c>
      <c r="D708" s="67">
        <v>0.3043</v>
      </c>
      <c r="E708" s="68"/>
      <c r="F708" s="69">
        <v>1.1</v>
      </c>
      <c r="G708" s="70"/>
      <c r="H708" s="71">
        <v>0.7</v>
      </c>
    </row>
    <row r="709" ht="27.95" customHeight="1" spans="1:8">
      <c r="A709" s="64"/>
      <c r="B709" s="103" t="s">
        <v>1342</v>
      </c>
      <c r="C709" s="104" t="s">
        <v>1343</v>
      </c>
      <c r="D709" s="67">
        <v>0.9565</v>
      </c>
      <c r="E709" s="68"/>
      <c r="F709" s="105">
        <v>3.4</v>
      </c>
      <c r="G709" s="106"/>
      <c r="H709" s="107">
        <v>2.2</v>
      </c>
    </row>
    <row r="710" ht="27.95" customHeight="1" spans="1:8">
      <c r="A710" s="64"/>
      <c r="B710" s="73" t="s">
        <v>1344</v>
      </c>
      <c r="C710" s="66" t="s">
        <v>1345</v>
      </c>
      <c r="D710" s="82">
        <v>24.7826</v>
      </c>
      <c r="E710" s="83"/>
      <c r="F710" s="69">
        <v>95</v>
      </c>
      <c r="G710" s="70"/>
      <c r="H710" s="71">
        <v>57</v>
      </c>
    </row>
    <row r="711" ht="27.95" customHeight="1" spans="1:8">
      <c r="A711" s="64"/>
      <c r="B711" s="73" t="s">
        <v>1346</v>
      </c>
      <c r="C711" s="66" t="s">
        <v>1347</v>
      </c>
      <c r="D711" s="82">
        <v>40.8261</v>
      </c>
      <c r="E711" s="83"/>
      <c r="F711" s="69">
        <v>150.5</v>
      </c>
      <c r="G711" s="70"/>
      <c r="H711" s="71">
        <v>93.9</v>
      </c>
    </row>
    <row r="712" ht="27.95" customHeight="1" spans="1:8">
      <c r="A712" s="64"/>
      <c r="B712" s="73" t="s">
        <v>1348</v>
      </c>
      <c r="C712" s="66" t="s">
        <v>1349</v>
      </c>
      <c r="D712" s="82">
        <v>41.5217</v>
      </c>
      <c r="E712" s="83"/>
      <c r="F712" s="69">
        <v>155</v>
      </c>
      <c r="G712" s="70"/>
      <c r="H712" s="71">
        <v>95.5</v>
      </c>
    </row>
    <row r="713" ht="27.95" customHeight="1" spans="1:8">
      <c r="A713" s="64"/>
      <c r="B713" s="73" t="s">
        <v>1350</v>
      </c>
      <c r="C713" s="66" t="s">
        <v>1351</v>
      </c>
      <c r="D713" s="67">
        <v>0.6087</v>
      </c>
      <c r="E713" s="68"/>
      <c r="F713" s="69">
        <v>2.2</v>
      </c>
      <c r="G713" s="70"/>
      <c r="H713" s="71">
        <v>1.4</v>
      </c>
    </row>
    <row r="714" ht="27.95" customHeight="1" spans="1:8">
      <c r="A714" s="64"/>
      <c r="B714" s="65">
        <v>6944723102563</v>
      </c>
      <c r="C714" s="66" t="s">
        <v>1352</v>
      </c>
      <c r="D714" s="67">
        <v>1.0435</v>
      </c>
      <c r="E714" s="68"/>
      <c r="F714" s="69">
        <v>4</v>
      </c>
      <c r="G714" s="70"/>
      <c r="H714" s="71">
        <v>2.4</v>
      </c>
    </row>
    <row r="715" ht="27.95" customHeight="1" spans="1:8">
      <c r="A715" s="64"/>
      <c r="B715" s="73" t="s">
        <v>1353</v>
      </c>
      <c r="C715" s="66" t="s">
        <v>1354</v>
      </c>
      <c r="D715" s="67">
        <v>0.2174</v>
      </c>
      <c r="E715" s="68"/>
      <c r="F715" s="69">
        <v>1</v>
      </c>
      <c r="G715" s="70"/>
      <c r="H715" s="71">
        <v>0.5</v>
      </c>
    </row>
    <row r="716" ht="27.95" customHeight="1" spans="1:8">
      <c r="A716" s="64"/>
      <c r="B716" s="103" t="s">
        <v>1355</v>
      </c>
      <c r="C716" s="104" t="s">
        <v>1356</v>
      </c>
      <c r="D716" s="67">
        <v>0.3478</v>
      </c>
      <c r="E716" s="68"/>
      <c r="F716" s="105">
        <v>1</v>
      </c>
      <c r="G716" s="106"/>
      <c r="H716" s="107">
        <v>0.8</v>
      </c>
    </row>
    <row r="717" ht="27.95" customHeight="1" spans="1:8">
      <c r="A717" s="64"/>
      <c r="B717" s="103" t="s">
        <v>1357</v>
      </c>
      <c r="C717" s="104" t="s">
        <v>1358</v>
      </c>
      <c r="D717" s="67">
        <v>0.2174</v>
      </c>
      <c r="E717" s="68"/>
      <c r="F717" s="105">
        <v>0.7</v>
      </c>
      <c r="G717" s="106"/>
      <c r="H717" s="107">
        <v>0.5</v>
      </c>
    </row>
    <row r="718" ht="27.95" customHeight="1" spans="1:8">
      <c r="A718" s="74"/>
      <c r="B718" s="73" t="s">
        <v>1359</v>
      </c>
      <c r="C718" s="66" t="s">
        <v>1360</v>
      </c>
      <c r="D718" s="67">
        <v>1.2609</v>
      </c>
      <c r="E718" s="68"/>
      <c r="F718" s="69">
        <v>4.5</v>
      </c>
      <c r="G718" s="70"/>
      <c r="H718" s="71">
        <v>2.9</v>
      </c>
    </row>
    <row r="719" ht="27.95" customHeight="1" spans="1:8">
      <c r="A719" s="75"/>
      <c r="B719" s="73" t="s">
        <v>1361</v>
      </c>
      <c r="C719" s="66" t="s">
        <v>1360</v>
      </c>
      <c r="D719" s="67">
        <v>0.7826</v>
      </c>
      <c r="E719" s="68"/>
      <c r="F719" s="69">
        <v>2.8</v>
      </c>
      <c r="G719" s="70"/>
      <c r="H719" s="71">
        <v>1.8</v>
      </c>
    </row>
    <row r="720" ht="27.95" customHeight="1" spans="1:8">
      <c r="A720" s="64"/>
      <c r="B720" s="73" t="s">
        <v>1362</v>
      </c>
      <c r="C720" s="66" t="s">
        <v>1363</v>
      </c>
      <c r="D720" s="67">
        <v>1.087</v>
      </c>
      <c r="E720" s="68"/>
      <c r="F720" s="69">
        <v>4</v>
      </c>
      <c r="G720" s="70"/>
      <c r="H720" s="71">
        <v>2.5</v>
      </c>
    </row>
    <row r="721" ht="27.95" customHeight="1" spans="1:8">
      <c r="A721" s="64"/>
      <c r="B721" s="73" t="s">
        <v>1364</v>
      </c>
      <c r="C721" s="66" t="s">
        <v>1365</v>
      </c>
      <c r="D721" s="67">
        <v>1.2174</v>
      </c>
      <c r="E721" s="68"/>
      <c r="F721" s="69">
        <v>4.5</v>
      </c>
      <c r="G721" s="70"/>
      <c r="H721" s="71">
        <v>2.8</v>
      </c>
    </row>
    <row r="722" ht="27.95" customHeight="1" spans="1:8">
      <c r="A722" s="64"/>
      <c r="B722" s="73" t="s">
        <v>1366</v>
      </c>
      <c r="C722" s="66" t="s">
        <v>1367</v>
      </c>
      <c r="D722" s="67">
        <v>1.4783</v>
      </c>
      <c r="E722" s="68"/>
      <c r="F722" s="69">
        <v>5.4</v>
      </c>
      <c r="G722" s="70"/>
      <c r="H722" s="71">
        <v>3.4</v>
      </c>
    </row>
    <row r="723" ht="27.95" customHeight="1" spans="1:8">
      <c r="A723" s="64"/>
      <c r="B723" s="73" t="s">
        <v>1368</v>
      </c>
      <c r="C723" s="66" t="s">
        <v>1369</v>
      </c>
      <c r="D723" s="67">
        <v>1.6739</v>
      </c>
      <c r="E723" s="68"/>
      <c r="F723" s="69">
        <v>6</v>
      </c>
      <c r="G723" s="70"/>
      <c r="H723" s="71">
        <v>3.85</v>
      </c>
    </row>
    <row r="724" ht="27.95" customHeight="1" spans="1:8">
      <c r="A724" s="64"/>
      <c r="B724" s="103" t="s">
        <v>1370</v>
      </c>
      <c r="C724" s="104" t="s">
        <v>1371</v>
      </c>
      <c r="D724" s="67">
        <v>1.3913</v>
      </c>
      <c r="E724" s="68"/>
      <c r="F724" s="105">
        <v>5</v>
      </c>
      <c r="G724" s="106"/>
      <c r="H724" s="107">
        <v>3.2</v>
      </c>
    </row>
    <row r="725" ht="27.95" customHeight="1" spans="1:8">
      <c r="A725" s="64"/>
      <c r="B725" s="73" t="s">
        <v>1372</v>
      </c>
      <c r="C725" s="66" t="s">
        <v>1373</v>
      </c>
      <c r="D725" s="67">
        <v>1.5217</v>
      </c>
      <c r="E725" s="68"/>
      <c r="F725" s="69">
        <v>5.7</v>
      </c>
      <c r="G725" s="70"/>
      <c r="H725" s="71">
        <v>3.5</v>
      </c>
    </row>
    <row r="726" ht="27.95" customHeight="1" spans="1:8">
      <c r="A726" s="64"/>
      <c r="B726" s="103" t="s">
        <v>1374</v>
      </c>
      <c r="C726" s="104" t="s">
        <v>1375</v>
      </c>
      <c r="D726" s="67">
        <v>1.5652</v>
      </c>
      <c r="E726" s="68"/>
      <c r="F726" s="105">
        <v>5.7</v>
      </c>
      <c r="G726" s="106"/>
      <c r="H726" s="107">
        <v>3.6</v>
      </c>
    </row>
    <row r="727" ht="27.95" customHeight="1" spans="1:8">
      <c r="A727" s="64"/>
      <c r="B727" s="103" t="s">
        <v>1376</v>
      </c>
      <c r="C727" s="104" t="s">
        <v>1377</v>
      </c>
      <c r="D727" s="67">
        <v>1.1304</v>
      </c>
      <c r="E727" s="68"/>
      <c r="F727" s="105">
        <v>4</v>
      </c>
      <c r="G727" s="106"/>
      <c r="H727" s="107">
        <v>2.6</v>
      </c>
    </row>
    <row r="728" ht="27.95" customHeight="1" spans="1:8">
      <c r="A728" s="64"/>
      <c r="B728" s="73" t="s">
        <v>1378</v>
      </c>
      <c r="C728" s="66" t="s">
        <v>1379</v>
      </c>
      <c r="D728" s="67">
        <v>0.5217</v>
      </c>
      <c r="E728" s="68"/>
      <c r="F728" s="69">
        <v>1.9</v>
      </c>
      <c r="G728" s="70"/>
      <c r="H728" s="71">
        <v>1.2</v>
      </c>
    </row>
    <row r="729" ht="27.95" customHeight="1" spans="1:8">
      <c r="A729" s="64"/>
      <c r="B729" s="73" t="s">
        <v>1380</v>
      </c>
      <c r="C729" s="66" t="s">
        <v>1381</v>
      </c>
      <c r="D729" s="67">
        <v>0.6522</v>
      </c>
      <c r="E729" s="68"/>
      <c r="F729" s="69">
        <v>2.5</v>
      </c>
      <c r="G729" s="70"/>
      <c r="H729" s="71">
        <v>1.5</v>
      </c>
    </row>
    <row r="730" ht="27.95" customHeight="1" spans="1:8">
      <c r="A730" s="64"/>
      <c r="B730" s="103" t="s">
        <v>1382</v>
      </c>
      <c r="C730" s="104" t="s">
        <v>1383</v>
      </c>
      <c r="D730" s="67">
        <v>0.8261</v>
      </c>
      <c r="E730" s="68"/>
      <c r="F730" s="105">
        <v>3</v>
      </c>
      <c r="G730" s="106"/>
      <c r="H730" s="107">
        <v>1.9</v>
      </c>
    </row>
    <row r="731" ht="27.95" customHeight="1" spans="1:8">
      <c r="A731" s="64"/>
      <c r="B731" s="73" t="s">
        <v>1384</v>
      </c>
      <c r="C731" s="66" t="s">
        <v>1385</v>
      </c>
      <c r="D731" s="67">
        <v>1.087</v>
      </c>
      <c r="E731" s="68"/>
      <c r="F731" s="69">
        <v>3.9</v>
      </c>
      <c r="G731" s="70"/>
      <c r="H731" s="71">
        <v>2.5</v>
      </c>
    </row>
    <row r="732" ht="27.95" customHeight="1" spans="1:8">
      <c r="A732" s="64"/>
      <c r="B732" s="73" t="s">
        <v>1386</v>
      </c>
      <c r="C732" s="66" t="s">
        <v>1387</v>
      </c>
      <c r="D732" s="67">
        <v>1.3043</v>
      </c>
      <c r="E732" s="68"/>
      <c r="F732" s="69">
        <v>5</v>
      </c>
      <c r="G732" s="70"/>
      <c r="H732" s="71">
        <v>3</v>
      </c>
    </row>
    <row r="733" ht="27.95" customHeight="1" spans="1:8">
      <c r="A733" s="64"/>
      <c r="B733" s="73" t="s">
        <v>1388</v>
      </c>
      <c r="C733" s="66" t="s">
        <v>1389</v>
      </c>
      <c r="D733" s="67">
        <v>0.6522</v>
      </c>
      <c r="E733" s="68"/>
      <c r="F733" s="69">
        <v>5</v>
      </c>
      <c r="G733" s="70"/>
      <c r="H733" s="71">
        <v>2.5</v>
      </c>
    </row>
    <row r="734" ht="27.95" customHeight="1" spans="1:8">
      <c r="A734" s="64"/>
      <c r="B734" s="103" t="s">
        <v>1390</v>
      </c>
      <c r="C734" s="104" t="s">
        <v>1391</v>
      </c>
      <c r="D734" s="67">
        <v>0.3913</v>
      </c>
      <c r="E734" s="68"/>
      <c r="F734" s="105">
        <v>1.5</v>
      </c>
      <c r="G734" s="106"/>
      <c r="H734" s="107">
        <v>0.9</v>
      </c>
    </row>
    <row r="735" ht="27.95" customHeight="1" spans="1:8">
      <c r="A735" s="64"/>
      <c r="B735" s="73" t="s">
        <v>1392</v>
      </c>
      <c r="C735" s="66" t="s">
        <v>1393</v>
      </c>
      <c r="D735" s="67">
        <v>0.5217</v>
      </c>
      <c r="E735" s="68"/>
      <c r="F735" s="69">
        <v>2</v>
      </c>
      <c r="G735" s="70"/>
      <c r="H735" s="71">
        <v>1.2</v>
      </c>
    </row>
    <row r="736" ht="27.95" customHeight="1" spans="1:8">
      <c r="A736" s="64"/>
      <c r="B736" s="103" t="s">
        <v>1394</v>
      </c>
      <c r="C736" s="104" t="s">
        <v>1395</v>
      </c>
      <c r="D736" s="67">
        <v>0.1304</v>
      </c>
      <c r="E736" s="68"/>
      <c r="F736" s="105">
        <v>0.5</v>
      </c>
      <c r="G736" s="106"/>
      <c r="H736" s="107">
        <v>0.3</v>
      </c>
    </row>
    <row r="737" ht="27.95" customHeight="1" spans="1:8">
      <c r="A737" s="74"/>
      <c r="B737" s="103" t="s">
        <v>1396</v>
      </c>
      <c r="C737" s="104" t="s">
        <v>1397</v>
      </c>
      <c r="D737" s="67">
        <v>0.2174</v>
      </c>
      <c r="E737" s="68"/>
      <c r="F737" s="105">
        <v>1</v>
      </c>
      <c r="G737" s="106"/>
      <c r="H737" s="107">
        <v>0.5</v>
      </c>
    </row>
    <row r="738" ht="27.95" customHeight="1" spans="1:8">
      <c r="A738" s="75"/>
      <c r="B738" s="103" t="s">
        <v>1398</v>
      </c>
      <c r="C738" s="104" t="s">
        <v>1397</v>
      </c>
      <c r="D738" s="67">
        <v>0.087</v>
      </c>
      <c r="E738" s="68"/>
      <c r="F738" s="105">
        <v>0.5</v>
      </c>
      <c r="G738" s="106"/>
      <c r="H738" s="107">
        <v>0.2</v>
      </c>
    </row>
    <row r="739" ht="27.95" customHeight="1" spans="1:8">
      <c r="A739" s="64"/>
      <c r="B739" s="73" t="s">
        <v>1399</v>
      </c>
      <c r="C739" s="66" t="s">
        <v>1400</v>
      </c>
      <c r="D739" s="67">
        <v>0.1304</v>
      </c>
      <c r="E739" s="68"/>
      <c r="F739" s="69">
        <v>1</v>
      </c>
      <c r="G739" s="70"/>
      <c r="H739" s="71">
        <v>0.3</v>
      </c>
    </row>
    <row r="740" ht="27.95" customHeight="1" spans="1:8">
      <c r="A740" s="64"/>
      <c r="B740" s="73" t="s">
        <v>1401</v>
      </c>
      <c r="C740" s="66" t="s">
        <v>1402</v>
      </c>
      <c r="D740" s="67">
        <v>0.913</v>
      </c>
      <c r="E740" s="68"/>
      <c r="F740" s="69">
        <v>3.3</v>
      </c>
      <c r="G740" s="70"/>
      <c r="H740" s="71">
        <v>2.1</v>
      </c>
    </row>
    <row r="741" ht="27.95" customHeight="1" spans="1:8">
      <c r="A741" s="64"/>
      <c r="B741" s="73" t="s">
        <v>1403</v>
      </c>
      <c r="C741" s="66" t="s">
        <v>1404</v>
      </c>
      <c r="D741" s="67">
        <v>0.3043</v>
      </c>
      <c r="E741" s="68"/>
      <c r="F741" s="69">
        <v>1</v>
      </c>
      <c r="G741" s="70"/>
      <c r="H741" s="71">
        <v>0.7</v>
      </c>
    </row>
    <row r="742" ht="27.95" customHeight="1" spans="1:8">
      <c r="A742" s="64"/>
      <c r="B742" s="103" t="s">
        <v>1405</v>
      </c>
      <c r="C742" s="104" t="s">
        <v>1406</v>
      </c>
      <c r="D742" s="67">
        <v>0.6522</v>
      </c>
      <c r="E742" s="68"/>
      <c r="F742" s="105">
        <v>2</v>
      </c>
      <c r="G742" s="106"/>
      <c r="H742" s="107">
        <v>1.5</v>
      </c>
    </row>
    <row r="743" ht="27.95" customHeight="1" spans="1:8">
      <c r="A743" s="64"/>
      <c r="B743" s="73" t="s">
        <v>1407</v>
      </c>
      <c r="C743" s="66" t="s">
        <v>1408</v>
      </c>
      <c r="D743" s="67">
        <v>0.8696</v>
      </c>
      <c r="E743" s="68"/>
      <c r="F743" s="69">
        <v>3.5</v>
      </c>
      <c r="G743" s="70"/>
      <c r="H743" s="71">
        <v>2</v>
      </c>
    </row>
    <row r="744" ht="27.95" customHeight="1" spans="1:8">
      <c r="A744" s="64"/>
      <c r="B744" s="103" t="s">
        <v>1409</v>
      </c>
      <c r="C744" s="104" t="s">
        <v>1410</v>
      </c>
      <c r="D744" s="67">
        <v>0.7826</v>
      </c>
      <c r="E744" s="68"/>
      <c r="F744" s="105">
        <v>2.9</v>
      </c>
      <c r="G744" s="106"/>
      <c r="H744" s="107">
        <v>1.8</v>
      </c>
    </row>
    <row r="745" ht="27.95" customHeight="1" spans="1:8">
      <c r="A745" s="64"/>
      <c r="B745" s="73" t="s">
        <v>1411</v>
      </c>
      <c r="C745" s="66" t="s">
        <v>1412</v>
      </c>
      <c r="D745" s="67">
        <v>0.2174</v>
      </c>
      <c r="E745" s="68"/>
      <c r="F745" s="69">
        <v>1</v>
      </c>
      <c r="G745" s="70"/>
      <c r="H745" s="71">
        <v>0.5</v>
      </c>
    </row>
    <row r="746" ht="27.95" customHeight="1" spans="1:8">
      <c r="A746" s="64"/>
      <c r="B746" s="113" t="s">
        <v>1413</v>
      </c>
      <c r="C746" s="104" t="s">
        <v>1414</v>
      </c>
      <c r="D746" s="67">
        <v>0.1304</v>
      </c>
      <c r="E746" s="68"/>
      <c r="F746" s="105">
        <v>0.5</v>
      </c>
      <c r="G746" s="106"/>
      <c r="H746" s="107">
        <v>0.3</v>
      </c>
    </row>
    <row r="747" ht="27.95" customHeight="1" spans="1:8">
      <c r="A747" s="64"/>
      <c r="B747" s="73" t="s">
        <v>1415</v>
      </c>
      <c r="C747" s="66" t="s">
        <v>1416</v>
      </c>
      <c r="D747" s="67">
        <v>0.2609</v>
      </c>
      <c r="E747" s="68"/>
      <c r="F747" s="69">
        <v>1</v>
      </c>
      <c r="G747" s="70"/>
      <c r="H747" s="71">
        <v>0.6</v>
      </c>
    </row>
    <row r="748" ht="27.95" customHeight="1" spans="1:8">
      <c r="A748" s="64"/>
      <c r="B748" s="103" t="s">
        <v>1417</v>
      </c>
      <c r="C748" s="104" t="s">
        <v>1418</v>
      </c>
      <c r="D748" s="67">
        <v>0.5652</v>
      </c>
      <c r="E748" s="68"/>
      <c r="F748" s="105">
        <v>2.1</v>
      </c>
      <c r="G748" s="106"/>
      <c r="H748" s="107">
        <v>1.3</v>
      </c>
    </row>
    <row r="749" customHeight="1" spans="1:8">
      <c r="A749" s="64"/>
      <c r="B749" s="73" t="s">
        <v>1419</v>
      </c>
      <c r="C749" s="66" t="s">
        <v>1420</v>
      </c>
      <c r="D749" s="67">
        <v>0.7391</v>
      </c>
      <c r="E749" s="68"/>
      <c r="F749" s="69">
        <v>2.7</v>
      </c>
      <c r="G749" s="70"/>
      <c r="H749" s="71">
        <v>1.7</v>
      </c>
    </row>
    <row r="750" customHeight="1" spans="1:8">
      <c r="A750" s="64"/>
      <c r="B750" s="73" t="s">
        <v>1421</v>
      </c>
      <c r="C750" s="66" t="s">
        <v>1422</v>
      </c>
      <c r="D750" s="67">
        <v>0.4348</v>
      </c>
      <c r="E750" s="68"/>
      <c r="F750" s="69">
        <v>1.6</v>
      </c>
      <c r="G750" s="70"/>
      <c r="H750" s="71">
        <v>1</v>
      </c>
    </row>
    <row r="751" customHeight="1" spans="1:8">
      <c r="A751" s="64"/>
      <c r="B751" s="73" t="s">
        <v>1423</v>
      </c>
      <c r="C751" s="66" t="s">
        <v>1424</v>
      </c>
      <c r="D751" s="67">
        <v>0.8261</v>
      </c>
      <c r="E751" s="68"/>
      <c r="F751" s="69">
        <v>2.5</v>
      </c>
      <c r="G751" s="70"/>
      <c r="H751" s="71">
        <v>1.9</v>
      </c>
    </row>
    <row r="752" customHeight="1" spans="1:8">
      <c r="A752" s="64"/>
      <c r="B752" s="103" t="s">
        <v>1425</v>
      </c>
      <c r="C752" s="104" t="s">
        <v>1426</v>
      </c>
      <c r="D752" s="67">
        <v>0.4348</v>
      </c>
      <c r="E752" s="68"/>
      <c r="F752" s="105">
        <v>1.7</v>
      </c>
      <c r="G752" s="106"/>
      <c r="H752" s="107">
        <v>1</v>
      </c>
    </row>
    <row r="753" customHeight="1" spans="1:8">
      <c r="A753" s="64"/>
      <c r="B753" s="73" t="s">
        <v>1427</v>
      </c>
      <c r="C753" s="66" t="s">
        <v>1428</v>
      </c>
      <c r="D753" s="67">
        <v>0.2174</v>
      </c>
      <c r="E753" s="68"/>
      <c r="F753" s="69">
        <v>0.8</v>
      </c>
      <c r="G753" s="70"/>
      <c r="H753" s="71">
        <v>0.5</v>
      </c>
    </row>
    <row r="754" customHeight="1" spans="1:8">
      <c r="A754" s="64"/>
      <c r="B754" s="73" t="s">
        <v>1429</v>
      </c>
      <c r="C754" s="66" t="s">
        <v>1430</v>
      </c>
      <c r="D754" s="67">
        <v>0.1739</v>
      </c>
      <c r="E754" s="68"/>
      <c r="F754" s="69">
        <v>1</v>
      </c>
      <c r="G754" s="70"/>
      <c r="H754" s="71">
        <v>0.4</v>
      </c>
    </row>
    <row r="755" customHeight="1" spans="1:8">
      <c r="A755" s="64"/>
      <c r="B755" s="103" t="s">
        <v>1431</v>
      </c>
      <c r="C755" s="104" t="s">
        <v>1432</v>
      </c>
      <c r="D755" s="67">
        <v>0.1304</v>
      </c>
      <c r="E755" s="68"/>
      <c r="F755" s="105">
        <v>0.5</v>
      </c>
      <c r="G755" s="106"/>
      <c r="H755" s="107">
        <v>0.3</v>
      </c>
    </row>
    <row r="756" ht="25.5" customHeight="1" spans="1:8">
      <c r="A756" s="64"/>
      <c r="B756" s="103" t="s">
        <v>1433</v>
      </c>
      <c r="C756" s="104" t="s">
        <v>1434</v>
      </c>
      <c r="D756" s="67">
        <v>0.2174</v>
      </c>
      <c r="E756" s="68"/>
      <c r="F756" s="105">
        <v>1.5</v>
      </c>
      <c r="G756" s="106"/>
      <c r="H756" s="107">
        <v>0.5</v>
      </c>
    </row>
    <row r="757" customHeight="1" spans="1:8">
      <c r="A757" s="64"/>
      <c r="B757" s="73" t="s">
        <v>1435</v>
      </c>
      <c r="C757" s="66" t="s">
        <v>1436</v>
      </c>
      <c r="D757" s="67">
        <v>0.2174</v>
      </c>
      <c r="E757" s="68"/>
      <c r="F757" s="69">
        <v>0.7</v>
      </c>
      <c r="G757" s="70"/>
      <c r="H757" s="71">
        <v>0.5</v>
      </c>
    </row>
    <row r="758" customHeight="1" spans="1:8">
      <c r="A758" s="64"/>
      <c r="B758" s="73" t="s">
        <v>1437</v>
      </c>
      <c r="C758" s="66" t="s">
        <v>1438</v>
      </c>
      <c r="D758" s="67">
        <v>2</v>
      </c>
      <c r="E758" s="68"/>
      <c r="F758" s="69">
        <v>7.4</v>
      </c>
      <c r="G758" s="70"/>
      <c r="H758" s="71">
        <v>4.6</v>
      </c>
    </row>
    <row r="759" ht="25.5" customHeight="1" spans="1:8">
      <c r="A759" s="64"/>
      <c r="B759" s="73" t="s">
        <v>1439</v>
      </c>
      <c r="C759" s="66" t="s">
        <v>1440</v>
      </c>
      <c r="D759" s="67">
        <v>0.0435</v>
      </c>
      <c r="E759" s="68"/>
      <c r="F759" s="69">
        <v>0.5</v>
      </c>
      <c r="G759" s="70"/>
      <c r="H759" s="71">
        <v>0.3</v>
      </c>
    </row>
    <row r="760" customHeight="1" spans="1:8">
      <c r="A760" s="64"/>
      <c r="B760" s="73" t="s">
        <v>1441</v>
      </c>
      <c r="C760" s="66" t="s">
        <v>1442</v>
      </c>
      <c r="D760" s="67">
        <v>0.913</v>
      </c>
      <c r="E760" s="68"/>
      <c r="F760" s="69">
        <v>3.5</v>
      </c>
      <c r="G760" s="70"/>
      <c r="H760" s="71">
        <v>2.1</v>
      </c>
    </row>
    <row r="761" customHeight="1" spans="1:8">
      <c r="A761" s="64"/>
      <c r="B761" s="103" t="s">
        <v>1443</v>
      </c>
      <c r="C761" s="104" t="s">
        <v>1444</v>
      </c>
      <c r="D761" s="67">
        <v>0.2609</v>
      </c>
      <c r="E761" s="68"/>
      <c r="F761" s="105">
        <v>0.9</v>
      </c>
      <c r="G761" s="106"/>
      <c r="H761" s="107">
        <v>0.6</v>
      </c>
    </row>
    <row r="762" ht="25.5" customHeight="1" spans="1:8">
      <c r="A762" s="64"/>
      <c r="B762" s="103" t="s">
        <v>1445</v>
      </c>
      <c r="C762" s="104" t="s">
        <v>1446</v>
      </c>
      <c r="D762" s="67">
        <v>0.3478</v>
      </c>
      <c r="E762" s="68"/>
      <c r="F762" s="105">
        <v>1.5</v>
      </c>
      <c r="G762" s="106"/>
      <c r="H762" s="107">
        <v>0.8</v>
      </c>
    </row>
    <row r="763" spans="1:8">
      <c r="A763" s="64"/>
      <c r="B763" s="73" t="s">
        <v>1447</v>
      </c>
      <c r="C763" s="66" t="s">
        <v>1448</v>
      </c>
      <c r="D763" s="67">
        <v>0.45</v>
      </c>
      <c r="E763" s="68"/>
      <c r="F763" s="69">
        <v>1</v>
      </c>
      <c r="G763" s="70"/>
      <c r="H763" s="71">
        <v>0.65</v>
      </c>
    </row>
    <row r="764" customHeight="1" spans="1:8">
      <c r="A764" s="64"/>
      <c r="B764" s="103" t="s">
        <v>1449</v>
      </c>
      <c r="C764" s="104" t="s">
        <v>1450</v>
      </c>
      <c r="D764" s="67">
        <v>1.3043</v>
      </c>
      <c r="E764" s="68"/>
      <c r="F764" s="105">
        <v>5</v>
      </c>
      <c r="G764" s="106"/>
      <c r="H764" s="107">
        <v>3</v>
      </c>
    </row>
    <row r="765" customHeight="1" spans="1:8">
      <c r="A765" s="64"/>
      <c r="B765" s="73" t="s">
        <v>1451</v>
      </c>
      <c r="C765" s="66" t="s">
        <v>1452</v>
      </c>
      <c r="D765" s="67">
        <v>1.1739</v>
      </c>
      <c r="E765" s="68"/>
      <c r="F765" s="69">
        <v>5</v>
      </c>
      <c r="G765" s="70"/>
      <c r="H765" s="71">
        <v>2.7</v>
      </c>
    </row>
    <row r="766" customHeight="1" spans="1:8">
      <c r="A766" s="64"/>
      <c r="B766" s="73" t="s">
        <v>1453</v>
      </c>
      <c r="C766" s="66" t="s">
        <v>1454</v>
      </c>
      <c r="D766" s="67">
        <v>1.3043</v>
      </c>
      <c r="E766" s="68"/>
      <c r="F766" s="69">
        <v>5</v>
      </c>
      <c r="G766" s="70"/>
      <c r="H766" s="71">
        <v>3</v>
      </c>
    </row>
    <row r="767" customHeight="1" spans="1:8">
      <c r="A767" s="64"/>
      <c r="B767" s="73" t="s">
        <v>1455</v>
      </c>
      <c r="C767" s="66" t="s">
        <v>1456</v>
      </c>
      <c r="D767" s="67">
        <v>0.5652</v>
      </c>
      <c r="E767" s="68"/>
      <c r="F767" s="69">
        <v>2.1</v>
      </c>
      <c r="G767" s="70"/>
      <c r="H767" s="71">
        <v>1.3</v>
      </c>
    </row>
    <row r="768" customHeight="1" spans="1:8">
      <c r="A768" s="64"/>
      <c r="B768" s="73" t="s">
        <v>1457</v>
      </c>
      <c r="C768" s="66" t="s">
        <v>1458</v>
      </c>
      <c r="D768" s="67">
        <v>0.2174</v>
      </c>
      <c r="E768" s="68"/>
      <c r="F768" s="69">
        <v>1</v>
      </c>
      <c r="G768" s="70"/>
      <c r="H768" s="71">
        <v>0.5</v>
      </c>
    </row>
    <row r="769" spans="1:8">
      <c r="A769" s="64"/>
      <c r="B769" s="73" t="s">
        <v>1459</v>
      </c>
      <c r="C769" s="66" t="s">
        <v>1460</v>
      </c>
      <c r="D769" s="67">
        <v>0.2174</v>
      </c>
      <c r="E769" s="68"/>
      <c r="F769" s="69">
        <v>0.5</v>
      </c>
      <c r="G769" s="70"/>
      <c r="H769" s="71">
        <v>0.3</v>
      </c>
    </row>
    <row r="770" ht="25.5" customHeight="1" spans="1:8">
      <c r="A770" s="64"/>
      <c r="B770" s="73" t="s">
        <v>1461</v>
      </c>
      <c r="C770" s="66" t="s">
        <v>1462</v>
      </c>
      <c r="D770" s="67">
        <v>0.1304</v>
      </c>
      <c r="E770" s="68"/>
      <c r="F770" s="69">
        <v>0.4</v>
      </c>
      <c r="G770" s="70"/>
      <c r="H770" s="71">
        <v>0.3</v>
      </c>
    </row>
    <row r="771" customHeight="1" spans="1:8">
      <c r="A771" s="64"/>
      <c r="B771" s="73" t="s">
        <v>1463</v>
      </c>
      <c r="C771" s="66" t="s">
        <v>1464</v>
      </c>
      <c r="D771" s="67">
        <v>0.1304</v>
      </c>
      <c r="E771" s="68"/>
      <c r="F771" s="69">
        <v>0.4</v>
      </c>
      <c r="G771" s="70"/>
      <c r="H771" s="71">
        <v>0.3</v>
      </c>
    </row>
    <row r="772" customHeight="1" spans="1:8">
      <c r="A772" s="64"/>
      <c r="B772" s="73" t="s">
        <v>1465</v>
      </c>
      <c r="C772" s="66" t="s">
        <v>1466</v>
      </c>
      <c r="D772" s="67">
        <v>0.2174</v>
      </c>
      <c r="E772" s="68"/>
      <c r="F772" s="69">
        <v>0.5</v>
      </c>
      <c r="G772" s="70"/>
      <c r="H772" s="71">
        <v>0.3</v>
      </c>
    </row>
    <row r="773" ht="27.95" customHeight="1" spans="1:8">
      <c r="A773" s="64"/>
      <c r="B773" s="73" t="s">
        <v>1467</v>
      </c>
      <c r="C773" s="66" t="s">
        <v>1468</v>
      </c>
      <c r="D773" s="67">
        <v>0.1304</v>
      </c>
      <c r="E773" s="68"/>
      <c r="F773" s="69">
        <v>0.5</v>
      </c>
      <c r="G773" s="70"/>
      <c r="H773" s="71">
        <v>0.3</v>
      </c>
    </row>
    <row r="774" ht="27.95" customHeight="1" spans="1:8">
      <c r="A774" s="64"/>
      <c r="B774" s="73" t="s">
        <v>1469</v>
      </c>
      <c r="C774" s="66" t="s">
        <v>1470</v>
      </c>
      <c r="D774" s="67">
        <v>0.2174</v>
      </c>
      <c r="E774" s="68"/>
      <c r="F774" s="69">
        <v>1</v>
      </c>
      <c r="G774" s="70"/>
      <c r="H774" s="71">
        <v>0.5</v>
      </c>
    </row>
    <row r="775" ht="27.95" customHeight="1" spans="1:8">
      <c r="A775" s="64"/>
      <c r="B775" s="73" t="s">
        <v>1471</v>
      </c>
      <c r="C775" s="66" t="s">
        <v>1472</v>
      </c>
      <c r="D775" s="67">
        <v>0.0435</v>
      </c>
      <c r="E775" s="68"/>
      <c r="F775" s="69">
        <v>0.5</v>
      </c>
      <c r="G775" s="70"/>
      <c r="H775" s="71">
        <v>0.25</v>
      </c>
    </row>
    <row r="776" ht="27.95" customHeight="1" spans="1:8">
      <c r="A776" s="64"/>
      <c r="B776" s="73" t="s">
        <v>1473</v>
      </c>
      <c r="C776" s="66" t="s">
        <v>1474</v>
      </c>
      <c r="D776" s="67">
        <v>0.1304</v>
      </c>
      <c r="E776" s="68"/>
      <c r="F776" s="69">
        <v>0.5</v>
      </c>
      <c r="G776" s="70"/>
      <c r="H776" s="71">
        <v>0.3</v>
      </c>
    </row>
    <row r="777" ht="27.95" customHeight="1" spans="1:8">
      <c r="A777" s="64"/>
      <c r="B777" s="73" t="s">
        <v>1475</v>
      </c>
      <c r="C777" s="66" t="s">
        <v>1476</v>
      </c>
      <c r="D777" s="67">
        <v>0.1304</v>
      </c>
      <c r="E777" s="68"/>
      <c r="F777" s="69">
        <v>0.5</v>
      </c>
      <c r="G777" s="70"/>
      <c r="H777" s="71">
        <v>0.3</v>
      </c>
    </row>
    <row r="778" ht="27.95" customHeight="1" spans="1:8">
      <c r="A778" s="64"/>
      <c r="B778" s="73" t="s">
        <v>1477</v>
      </c>
      <c r="C778" s="66" t="s">
        <v>1478</v>
      </c>
      <c r="D778" s="67">
        <v>0.1739</v>
      </c>
      <c r="E778" s="68"/>
      <c r="F778" s="69">
        <v>0.6</v>
      </c>
      <c r="G778" s="70"/>
      <c r="H778" s="71">
        <v>0.4</v>
      </c>
    </row>
    <row r="779" ht="27.95" customHeight="1" spans="1:8">
      <c r="A779" s="64"/>
      <c r="B779" s="73" t="s">
        <v>1479</v>
      </c>
      <c r="C779" s="66" t="s">
        <v>1480</v>
      </c>
      <c r="D779" s="67">
        <v>0.1304</v>
      </c>
      <c r="E779" s="68"/>
      <c r="F779" s="69">
        <v>0.6</v>
      </c>
      <c r="G779" s="70"/>
      <c r="H779" s="71">
        <v>0.3</v>
      </c>
    </row>
    <row r="780" ht="27.95" customHeight="1" spans="1:8">
      <c r="A780" s="64"/>
      <c r="B780" s="73" t="s">
        <v>1481</v>
      </c>
      <c r="C780" s="66" t="s">
        <v>1482</v>
      </c>
      <c r="D780" s="67">
        <v>0.1304</v>
      </c>
      <c r="E780" s="68"/>
      <c r="F780" s="69">
        <v>0.5</v>
      </c>
      <c r="G780" s="70"/>
      <c r="H780" s="71">
        <v>0.3</v>
      </c>
    </row>
    <row r="781" ht="27.95" customHeight="1" spans="1:8">
      <c r="A781" s="64"/>
      <c r="B781" s="73" t="s">
        <v>1483</v>
      </c>
      <c r="C781" s="66" t="s">
        <v>1484</v>
      </c>
      <c r="D781" s="67">
        <v>0.1304</v>
      </c>
      <c r="E781" s="68"/>
      <c r="F781" s="69">
        <v>0.5</v>
      </c>
      <c r="G781" s="70"/>
      <c r="H781" s="71">
        <v>0.3</v>
      </c>
    </row>
    <row r="782" ht="27.95" customHeight="1" spans="1:8">
      <c r="A782" s="64"/>
      <c r="B782" s="73" t="s">
        <v>1485</v>
      </c>
      <c r="C782" s="66" t="s">
        <v>1486</v>
      </c>
      <c r="D782" s="67">
        <v>0.1739</v>
      </c>
      <c r="E782" s="68"/>
      <c r="F782" s="69">
        <v>0.5</v>
      </c>
      <c r="G782" s="70"/>
      <c r="H782" s="71">
        <v>0.4</v>
      </c>
    </row>
    <row r="783" ht="27.95" customHeight="1" spans="1:8">
      <c r="A783" s="64"/>
      <c r="B783" s="73" t="s">
        <v>1487</v>
      </c>
      <c r="C783" s="66" t="s">
        <v>1488</v>
      </c>
      <c r="D783" s="67">
        <v>0.1304</v>
      </c>
      <c r="E783" s="68"/>
      <c r="F783" s="69">
        <v>0.5</v>
      </c>
      <c r="G783" s="70"/>
      <c r="H783" s="71">
        <v>0.3</v>
      </c>
    </row>
    <row r="784" ht="27.95" customHeight="1" spans="1:8">
      <c r="A784" s="64"/>
      <c r="B784" s="73" t="s">
        <v>1489</v>
      </c>
      <c r="C784" s="66" t="s">
        <v>1490</v>
      </c>
      <c r="D784" s="67">
        <v>0.1304</v>
      </c>
      <c r="E784" s="68"/>
      <c r="F784" s="69">
        <v>0.5</v>
      </c>
      <c r="G784" s="70"/>
      <c r="H784" s="71">
        <v>0.3</v>
      </c>
    </row>
    <row r="785" ht="27.95" customHeight="1" spans="1:8">
      <c r="A785" s="64"/>
      <c r="B785" s="73" t="s">
        <v>1491</v>
      </c>
      <c r="C785" s="66" t="s">
        <v>1492</v>
      </c>
      <c r="D785" s="67">
        <v>0.1739</v>
      </c>
      <c r="E785" s="68"/>
      <c r="F785" s="69">
        <v>0.5</v>
      </c>
      <c r="G785" s="70"/>
      <c r="H785" s="71">
        <v>0.4</v>
      </c>
    </row>
    <row r="786" ht="27.95" customHeight="1" spans="1:8">
      <c r="A786" s="64"/>
      <c r="B786" s="73" t="s">
        <v>1493</v>
      </c>
      <c r="C786" s="66" t="s">
        <v>1494</v>
      </c>
      <c r="D786" s="67">
        <v>0.3478</v>
      </c>
      <c r="E786" s="68"/>
      <c r="F786" s="69">
        <v>1.2</v>
      </c>
      <c r="G786" s="70"/>
      <c r="H786" s="71">
        <v>0.8</v>
      </c>
    </row>
    <row r="787" ht="27.95" customHeight="1" spans="1:8">
      <c r="A787" s="64"/>
      <c r="B787" s="73" t="s">
        <v>1495</v>
      </c>
      <c r="C787" s="66" t="s">
        <v>1496</v>
      </c>
      <c r="D787" s="67">
        <v>0.6522</v>
      </c>
      <c r="E787" s="68"/>
      <c r="F787" s="69">
        <v>2.5</v>
      </c>
      <c r="G787" s="70"/>
      <c r="H787" s="71">
        <v>1.5</v>
      </c>
    </row>
    <row r="788" ht="27.95" customHeight="1" spans="1:8">
      <c r="A788" s="64"/>
      <c r="B788" s="73" t="s">
        <v>1497</v>
      </c>
      <c r="C788" s="66" t="s">
        <v>1498</v>
      </c>
      <c r="D788" s="67">
        <v>0.6522</v>
      </c>
      <c r="E788" s="68"/>
      <c r="F788" s="69">
        <v>2.5</v>
      </c>
      <c r="G788" s="70"/>
      <c r="H788" s="71">
        <v>1.5</v>
      </c>
    </row>
    <row r="789" ht="27.95" customHeight="1" spans="1:8">
      <c r="A789" s="64"/>
      <c r="B789" s="73" t="s">
        <v>1499</v>
      </c>
      <c r="C789" s="66" t="s">
        <v>1500</v>
      </c>
      <c r="D789" s="67">
        <v>0.5652</v>
      </c>
      <c r="E789" s="68"/>
      <c r="F789" s="69">
        <v>2.1</v>
      </c>
      <c r="G789" s="70"/>
      <c r="H789" s="71">
        <v>1.3</v>
      </c>
    </row>
    <row r="790" ht="27.95" customHeight="1" spans="1:8">
      <c r="A790" s="64"/>
      <c r="B790" s="73" t="s">
        <v>1501</v>
      </c>
      <c r="C790" s="66" t="s">
        <v>1502</v>
      </c>
      <c r="D790" s="67">
        <v>0.6522</v>
      </c>
      <c r="E790" s="68"/>
      <c r="F790" s="69">
        <v>2.5</v>
      </c>
      <c r="G790" s="70"/>
      <c r="H790" s="71">
        <v>1.5</v>
      </c>
    </row>
    <row r="791" ht="27.95" customHeight="1" spans="1:8">
      <c r="A791" s="74"/>
      <c r="B791" s="73" t="s">
        <v>1503</v>
      </c>
      <c r="C791" s="66" t="s">
        <v>1504</v>
      </c>
      <c r="D791" s="67">
        <v>0.4348</v>
      </c>
      <c r="E791" s="68"/>
      <c r="F791" s="69">
        <v>1.6</v>
      </c>
      <c r="G791" s="70"/>
      <c r="H791" s="71">
        <v>1</v>
      </c>
    </row>
    <row r="792" ht="27.95" customHeight="1" spans="1:8">
      <c r="A792" s="75"/>
      <c r="B792" s="73" t="s">
        <v>1505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</row>
    <row r="793" ht="27.95" customHeight="1" spans="1:8">
      <c r="A793" s="64"/>
      <c r="B793" s="73" t="s">
        <v>1506</v>
      </c>
      <c r="C793" s="66" t="s">
        <v>1507</v>
      </c>
      <c r="D793" s="67">
        <v>0.7826</v>
      </c>
      <c r="E793" s="68"/>
      <c r="F793" s="69">
        <v>2.8</v>
      </c>
      <c r="G793" s="70"/>
      <c r="H793" s="71">
        <v>1.8</v>
      </c>
    </row>
    <row r="794" ht="27.95" customHeight="1" spans="1:8">
      <c r="A794" s="64"/>
      <c r="B794" s="73" t="s">
        <v>1508</v>
      </c>
      <c r="C794" s="66" t="s">
        <v>1509</v>
      </c>
      <c r="D794" s="67">
        <v>0.8696</v>
      </c>
      <c r="E794" s="68"/>
      <c r="F794" s="69">
        <v>3.3</v>
      </c>
      <c r="G794" s="70"/>
      <c r="H794" s="71">
        <v>2</v>
      </c>
    </row>
    <row r="795" ht="27.95" customHeight="1" spans="1:8">
      <c r="A795" s="64"/>
      <c r="B795" s="73" t="s">
        <v>1510</v>
      </c>
      <c r="C795" s="66" t="s">
        <v>1511</v>
      </c>
      <c r="D795" s="67">
        <v>2.6087</v>
      </c>
      <c r="E795" s="68"/>
      <c r="F795" s="69">
        <v>9.6</v>
      </c>
      <c r="G795" s="70"/>
      <c r="H795" s="71">
        <v>6</v>
      </c>
    </row>
    <row r="796" ht="27.95" customHeight="1" spans="1:8">
      <c r="A796" s="64"/>
      <c r="B796" s="73" t="s">
        <v>1512</v>
      </c>
      <c r="C796" s="66" t="s">
        <v>1513</v>
      </c>
      <c r="D796" s="67">
        <v>0.4348</v>
      </c>
      <c r="E796" s="68"/>
      <c r="F796" s="69">
        <v>1.6</v>
      </c>
      <c r="G796" s="70"/>
      <c r="H796" s="71">
        <v>1</v>
      </c>
    </row>
    <row r="797" ht="27.95" customHeight="1" spans="1:8">
      <c r="A797" s="64"/>
      <c r="B797" s="73" t="s">
        <v>1514</v>
      </c>
      <c r="C797" s="66" t="s">
        <v>1515</v>
      </c>
      <c r="D797" s="67">
        <v>0.4348</v>
      </c>
      <c r="E797" s="68"/>
      <c r="F797" s="69">
        <v>1.7</v>
      </c>
      <c r="G797" s="70"/>
      <c r="H797" s="71">
        <v>1</v>
      </c>
    </row>
    <row r="798" ht="27.95" customHeight="1" spans="1:8">
      <c r="A798" s="64"/>
      <c r="B798" s="73" t="s">
        <v>1516</v>
      </c>
      <c r="C798" s="66" t="s">
        <v>1517</v>
      </c>
      <c r="D798" s="67">
        <v>0.1739</v>
      </c>
      <c r="E798" s="68"/>
      <c r="F798" s="69">
        <v>0.6</v>
      </c>
      <c r="G798" s="70"/>
      <c r="H798" s="71">
        <v>0.4</v>
      </c>
    </row>
    <row r="799" ht="27.95" customHeight="1" spans="1:8">
      <c r="A799" s="64"/>
      <c r="B799" s="73" t="s">
        <v>1518</v>
      </c>
      <c r="C799" s="66" t="s">
        <v>1519</v>
      </c>
      <c r="D799" s="67">
        <v>0.1739</v>
      </c>
      <c r="E799" s="68"/>
      <c r="F799" s="69">
        <v>0.6</v>
      </c>
      <c r="G799" s="70"/>
      <c r="H799" s="71">
        <v>0.4</v>
      </c>
    </row>
    <row r="800" ht="27.95" customHeight="1" spans="1:8">
      <c r="A800" s="64"/>
      <c r="B800" s="73" t="s">
        <v>1520</v>
      </c>
      <c r="C800" s="66" t="s">
        <v>1521</v>
      </c>
      <c r="D800" s="67">
        <v>0.1739</v>
      </c>
      <c r="E800" s="68"/>
      <c r="F800" s="69">
        <v>0.6</v>
      </c>
      <c r="G800" s="70"/>
      <c r="H800" s="71">
        <v>0.4</v>
      </c>
    </row>
    <row r="801" ht="27.95" customHeight="1" spans="1:8">
      <c r="A801" s="64"/>
      <c r="B801" s="103" t="s">
        <v>1522</v>
      </c>
      <c r="C801" s="104" t="s">
        <v>1523</v>
      </c>
      <c r="D801" s="67">
        <v>0.1739</v>
      </c>
      <c r="E801" s="68"/>
      <c r="F801" s="105">
        <v>0.6</v>
      </c>
      <c r="G801" s="106"/>
      <c r="H801" s="107">
        <v>0.4</v>
      </c>
    </row>
    <row r="802" ht="27.95" customHeight="1" spans="1:8">
      <c r="A802" s="64"/>
      <c r="B802" s="73" t="s">
        <v>1524</v>
      </c>
      <c r="C802" s="66" t="s">
        <v>1525</v>
      </c>
      <c r="D802" s="67">
        <v>0.2609</v>
      </c>
      <c r="E802" s="68"/>
      <c r="F802" s="69">
        <v>1</v>
      </c>
      <c r="G802" s="70"/>
      <c r="H802" s="71">
        <v>0.6</v>
      </c>
    </row>
    <row r="803" ht="27.95" customHeight="1" spans="1:8">
      <c r="A803" s="64"/>
      <c r="B803" s="103" t="s">
        <v>1526</v>
      </c>
      <c r="C803" s="104" t="s">
        <v>1527</v>
      </c>
      <c r="D803" s="67">
        <v>0.2609</v>
      </c>
      <c r="E803" s="68"/>
      <c r="F803" s="105">
        <v>1</v>
      </c>
      <c r="G803" s="106"/>
      <c r="H803" s="107">
        <v>0.6</v>
      </c>
    </row>
    <row r="804" ht="27.95" customHeight="1" spans="1:8">
      <c r="A804" s="64"/>
      <c r="B804" s="103" t="s">
        <v>1528</v>
      </c>
      <c r="C804" s="104" t="s">
        <v>1529</v>
      </c>
      <c r="D804" s="67">
        <v>0.2609</v>
      </c>
      <c r="E804" s="68"/>
      <c r="F804" s="105">
        <v>1</v>
      </c>
      <c r="G804" s="106"/>
      <c r="H804" s="107">
        <v>0.6</v>
      </c>
    </row>
    <row r="805" ht="27.95" customHeight="1" spans="1:8">
      <c r="A805" s="64"/>
      <c r="B805" s="103" t="s">
        <v>1530</v>
      </c>
      <c r="C805" s="104" t="s">
        <v>1531</v>
      </c>
      <c r="D805" s="67">
        <v>0.1739</v>
      </c>
      <c r="E805" s="68"/>
      <c r="F805" s="105">
        <v>1</v>
      </c>
      <c r="G805" s="106"/>
      <c r="H805" s="107">
        <v>0.5</v>
      </c>
    </row>
    <row r="806" ht="27.95" customHeight="1" spans="1:8">
      <c r="A806" s="64"/>
      <c r="B806" s="73" t="s">
        <v>1532</v>
      </c>
      <c r="C806" s="66" t="s">
        <v>1533</v>
      </c>
      <c r="D806" s="67">
        <v>1.2609</v>
      </c>
      <c r="E806" s="68"/>
      <c r="F806" s="69">
        <v>5</v>
      </c>
      <c r="G806" s="70"/>
      <c r="H806" s="71">
        <v>2.9</v>
      </c>
    </row>
    <row r="807" ht="27.95" customHeight="1" spans="1:8">
      <c r="A807" s="64"/>
      <c r="B807" s="73" t="s">
        <v>1534</v>
      </c>
      <c r="C807" s="66" t="s">
        <v>1535</v>
      </c>
      <c r="D807" s="67">
        <v>1.087</v>
      </c>
      <c r="E807" s="68"/>
      <c r="F807" s="69">
        <v>3.5</v>
      </c>
      <c r="G807" s="70"/>
      <c r="H807" s="71">
        <v>2.5</v>
      </c>
    </row>
    <row r="808" ht="27.95" customHeight="1" spans="1:8">
      <c r="A808" s="74"/>
      <c r="B808" s="73" t="s">
        <v>1536</v>
      </c>
      <c r="C808" s="66" t="s">
        <v>1537</v>
      </c>
      <c r="D808" s="67">
        <v>0.6522</v>
      </c>
      <c r="E808" s="68"/>
      <c r="F808" s="69">
        <v>3</v>
      </c>
      <c r="G808" s="70"/>
      <c r="H808" s="71">
        <v>1.5</v>
      </c>
    </row>
    <row r="809" ht="27.95" customHeight="1" spans="1:8">
      <c r="A809" s="75"/>
      <c r="B809" s="103" t="s">
        <v>1538</v>
      </c>
      <c r="C809" s="104" t="s">
        <v>1537</v>
      </c>
      <c r="D809" s="67">
        <v>1.087</v>
      </c>
      <c r="E809" s="68"/>
      <c r="F809" s="105">
        <v>4</v>
      </c>
      <c r="G809" s="106"/>
      <c r="H809" s="107">
        <v>2.5</v>
      </c>
    </row>
    <row r="810" ht="27.95" customHeight="1" spans="1:8">
      <c r="A810" s="74"/>
      <c r="B810" s="73" t="s">
        <v>1539</v>
      </c>
      <c r="C810" s="66" t="s">
        <v>1540</v>
      </c>
      <c r="D810" s="67">
        <v>2.3043</v>
      </c>
      <c r="E810" s="68"/>
      <c r="F810" s="69">
        <v>8</v>
      </c>
      <c r="G810" s="70"/>
      <c r="H810" s="71">
        <v>5.3</v>
      </c>
    </row>
    <row r="811" ht="27.95" customHeight="1" spans="1:8">
      <c r="A811" s="75"/>
      <c r="B811" s="73" t="s">
        <v>1541</v>
      </c>
      <c r="C811" s="66" t="s">
        <v>1540</v>
      </c>
      <c r="D811" s="67">
        <v>2.1739</v>
      </c>
      <c r="E811" s="68"/>
      <c r="F811" s="69">
        <v>7.9</v>
      </c>
      <c r="G811" s="70"/>
      <c r="H811" s="71">
        <v>5</v>
      </c>
    </row>
    <row r="812" ht="27.95" customHeight="1" spans="1:8">
      <c r="A812" s="64"/>
      <c r="B812" s="73" t="s">
        <v>1542</v>
      </c>
      <c r="C812" s="66" t="s">
        <v>1543</v>
      </c>
      <c r="D812" s="67">
        <v>1.8696</v>
      </c>
      <c r="E812" s="68"/>
      <c r="F812" s="69">
        <v>6</v>
      </c>
      <c r="G812" s="70"/>
      <c r="H812" s="71">
        <v>4.3</v>
      </c>
    </row>
    <row r="813" ht="27.95" customHeight="1" spans="1:8">
      <c r="A813" s="64"/>
      <c r="B813" s="114">
        <v>6901023647118</v>
      </c>
      <c r="C813" s="104" t="s">
        <v>1544</v>
      </c>
      <c r="D813" s="67">
        <v>0.3261</v>
      </c>
      <c r="E813" s="68"/>
      <c r="F813" s="105">
        <v>1.5</v>
      </c>
      <c r="G813" s="106"/>
      <c r="H813" s="107">
        <v>0.75</v>
      </c>
    </row>
    <row r="814" ht="27.95" customHeight="1" spans="1:8">
      <c r="A814" s="64"/>
      <c r="B814" s="73" t="s">
        <v>1545</v>
      </c>
      <c r="C814" s="66" t="s">
        <v>1546</v>
      </c>
      <c r="D814" s="67">
        <v>0.087</v>
      </c>
      <c r="E814" s="68"/>
      <c r="F814" s="69">
        <v>0.25</v>
      </c>
      <c r="G814" s="70"/>
      <c r="H814" s="71">
        <v>0.2</v>
      </c>
    </row>
    <row r="815" ht="27.95" customHeight="1" spans="1:8">
      <c r="A815" s="64"/>
      <c r="B815" s="73" t="s">
        <v>1547</v>
      </c>
      <c r="C815" s="66" t="s">
        <v>1548</v>
      </c>
      <c r="D815" s="67">
        <v>0.0435</v>
      </c>
      <c r="E815" s="68"/>
      <c r="F815" s="69">
        <v>0.2</v>
      </c>
      <c r="G815" s="70"/>
      <c r="H815" s="71">
        <v>0.1</v>
      </c>
    </row>
    <row r="816" ht="27.95" customHeight="1" spans="1:8">
      <c r="A816" s="64"/>
      <c r="B816" s="73" t="s">
        <v>1549</v>
      </c>
      <c r="C816" s="66" t="s">
        <v>1550</v>
      </c>
      <c r="D816" s="67">
        <v>0.9565</v>
      </c>
      <c r="E816" s="68"/>
      <c r="F816" s="69">
        <v>3.5</v>
      </c>
      <c r="G816" s="70"/>
      <c r="H816" s="71">
        <v>2.2</v>
      </c>
    </row>
    <row r="817" ht="27.95" customHeight="1" spans="1:8">
      <c r="A817" s="64"/>
      <c r="B817" s="65">
        <v>690209888</v>
      </c>
      <c r="C817" s="66" t="s">
        <v>1551</v>
      </c>
      <c r="D817" s="67">
        <v>0.1087</v>
      </c>
      <c r="E817" s="68"/>
      <c r="F817" s="69">
        <v>0.25</v>
      </c>
      <c r="G817" s="70"/>
      <c r="H817" s="71">
        <v>0.15</v>
      </c>
    </row>
    <row r="818" ht="27.95" customHeight="1" spans="1:8">
      <c r="A818" s="64"/>
      <c r="B818" s="73" t="s">
        <v>1552</v>
      </c>
      <c r="C818" s="66" t="s">
        <v>1553</v>
      </c>
      <c r="D818" s="67">
        <v>2.4348</v>
      </c>
      <c r="E818" s="68"/>
      <c r="F818" s="69">
        <v>9</v>
      </c>
      <c r="G818" s="70"/>
      <c r="H818" s="71">
        <v>5.6</v>
      </c>
    </row>
    <row r="819" ht="27.95" customHeight="1" spans="1:8">
      <c r="A819" s="64"/>
      <c r="B819" s="73" t="s">
        <v>1554</v>
      </c>
      <c r="C819" s="66" t="s">
        <v>1555</v>
      </c>
      <c r="D819" s="67">
        <v>1.6957</v>
      </c>
      <c r="E819" s="68"/>
      <c r="F819" s="69">
        <v>6.2</v>
      </c>
      <c r="G819" s="70"/>
      <c r="H819" s="71">
        <v>3.9</v>
      </c>
    </row>
    <row r="820" ht="27.95" customHeight="1" spans="1:8">
      <c r="A820" s="64"/>
      <c r="B820" s="65">
        <v>6970932052313</v>
      </c>
      <c r="C820" s="66" t="s">
        <v>1556</v>
      </c>
      <c r="D820" s="67">
        <v>0.8696</v>
      </c>
      <c r="E820" s="68"/>
      <c r="F820" s="69">
        <v>2</v>
      </c>
      <c r="G820" s="70"/>
      <c r="H820" s="71">
        <v>1.5</v>
      </c>
    </row>
    <row r="821" ht="27.95" customHeight="1" spans="1:8">
      <c r="A821" s="64"/>
      <c r="B821" s="65">
        <v>6939585590146</v>
      </c>
      <c r="C821" s="66" t="s">
        <v>1557</v>
      </c>
      <c r="D821" s="67">
        <v>0.5435</v>
      </c>
      <c r="E821" s="68"/>
      <c r="F821" s="69">
        <v>1.25</v>
      </c>
      <c r="G821" s="70"/>
      <c r="H821" s="71">
        <v>1</v>
      </c>
    </row>
    <row r="822" ht="27.95" customHeight="1" spans="1:8">
      <c r="A822" s="64"/>
      <c r="B822" s="73" t="s">
        <v>1558</v>
      </c>
      <c r="C822" s="66" t="s">
        <v>1559</v>
      </c>
      <c r="D822" s="67">
        <v>1.1304</v>
      </c>
      <c r="E822" s="68"/>
      <c r="F822" s="69">
        <v>4.1</v>
      </c>
      <c r="G822" s="70"/>
      <c r="H822" s="71">
        <v>2.6</v>
      </c>
    </row>
    <row r="823" ht="27.95" customHeight="1" spans="1:8">
      <c r="A823" s="64"/>
      <c r="B823" s="73" t="s">
        <v>1560</v>
      </c>
      <c r="C823" s="66" t="s">
        <v>1561</v>
      </c>
      <c r="D823" s="67">
        <v>1.2174</v>
      </c>
      <c r="E823" s="68"/>
      <c r="F823" s="69">
        <v>5</v>
      </c>
      <c r="G823" s="70"/>
      <c r="H823" s="71">
        <v>2.8</v>
      </c>
    </row>
    <row r="824" ht="27.95" customHeight="1" spans="1:8">
      <c r="A824" s="64"/>
      <c r="B824" s="73" t="s">
        <v>1562</v>
      </c>
      <c r="C824" s="66" t="s">
        <v>1563</v>
      </c>
      <c r="D824" s="67">
        <v>0.2174</v>
      </c>
      <c r="E824" s="68"/>
      <c r="F824" s="69">
        <v>2</v>
      </c>
      <c r="G824" s="70"/>
      <c r="H824" s="71">
        <v>1</v>
      </c>
    </row>
    <row r="825" ht="27.95" customHeight="1" spans="1:8">
      <c r="A825" s="74"/>
      <c r="B825" s="81" t="s">
        <v>1564</v>
      </c>
      <c r="C825" s="66" t="s">
        <v>1565</v>
      </c>
      <c r="D825" s="67">
        <v>0.2174</v>
      </c>
      <c r="E825" s="68"/>
      <c r="F825" s="69">
        <v>0.5</v>
      </c>
      <c r="G825" s="70"/>
      <c r="H825" s="71">
        <v>0.3</v>
      </c>
    </row>
    <row r="826" ht="27.95" customHeight="1" spans="1:8">
      <c r="A826" s="84"/>
      <c r="B826" s="73" t="s">
        <v>1566</v>
      </c>
      <c r="C826" s="66" t="s">
        <v>1565</v>
      </c>
      <c r="D826" s="67">
        <v>0.1304</v>
      </c>
      <c r="E826" s="68"/>
      <c r="F826" s="69">
        <v>0.4</v>
      </c>
      <c r="G826" s="70"/>
      <c r="H826" s="71">
        <v>0.3</v>
      </c>
    </row>
    <row r="827" ht="27.95" customHeight="1" spans="1:8">
      <c r="A827" s="75"/>
      <c r="B827" s="73" t="s">
        <v>1567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</row>
    <row r="828" ht="27.95" customHeight="1" spans="1:8">
      <c r="A828" s="64"/>
      <c r="B828" s="73" t="s">
        <v>1568</v>
      </c>
      <c r="C828" s="66" t="s">
        <v>1569</v>
      </c>
      <c r="D828" s="67">
        <v>0.1739</v>
      </c>
      <c r="E828" s="68"/>
      <c r="F828" s="69">
        <v>0.6</v>
      </c>
      <c r="G828" s="70"/>
      <c r="H828" s="71">
        <v>0.4</v>
      </c>
    </row>
    <row r="829" ht="27.95" customHeight="1" spans="1:8">
      <c r="A829" s="64"/>
      <c r="B829" s="73" t="s">
        <v>1570</v>
      </c>
      <c r="C829" s="66" t="s">
        <v>1571</v>
      </c>
      <c r="D829" s="67">
        <v>0.087</v>
      </c>
      <c r="E829" s="68"/>
      <c r="F829" s="69">
        <v>0.5</v>
      </c>
      <c r="G829" s="70"/>
      <c r="H829" s="71">
        <v>0.2</v>
      </c>
    </row>
    <row r="830" ht="27.95" customHeight="1" spans="1:8">
      <c r="A830" s="64"/>
      <c r="B830" s="73" t="s">
        <v>1572</v>
      </c>
      <c r="C830" s="66" t="s">
        <v>1573</v>
      </c>
      <c r="D830" s="67">
        <v>0.2609</v>
      </c>
      <c r="E830" s="68"/>
      <c r="F830" s="69">
        <v>1</v>
      </c>
      <c r="G830" s="70"/>
      <c r="H830" s="71">
        <v>0.6</v>
      </c>
    </row>
    <row r="831" ht="27.95" customHeight="1" spans="1:8">
      <c r="A831" s="64"/>
      <c r="B831" s="73" t="s">
        <v>1574</v>
      </c>
      <c r="C831" s="66" t="s">
        <v>1575</v>
      </c>
      <c r="D831" s="67">
        <v>0.087</v>
      </c>
      <c r="E831" s="68"/>
      <c r="F831" s="69">
        <v>0.4</v>
      </c>
      <c r="G831" s="70"/>
      <c r="H831" s="71">
        <v>0.2</v>
      </c>
    </row>
    <row r="832" ht="27.95" customHeight="1" spans="1:8">
      <c r="A832" s="64"/>
      <c r="B832" s="103" t="s">
        <v>1576</v>
      </c>
      <c r="C832" s="104" t="s">
        <v>1577</v>
      </c>
      <c r="D832" s="67">
        <v>0.1739</v>
      </c>
      <c r="E832" s="68"/>
      <c r="F832" s="105">
        <v>0.5</v>
      </c>
      <c r="G832" s="106"/>
      <c r="H832" s="107">
        <v>0.4</v>
      </c>
    </row>
    <row r="833" ht="27.95" customHeight="1" spans="1:8">
      <c r="A833" s="64"/>
      <c r="B833" s="114">
        <v>6936146707913</v>
      </c>
      <c r="C833" s="104" t="s">
        <v>1578</v>
      </c>
      <c r="D833" s="67">
        <v>0.087</v>
      </c>
      <c r="E833" s="68"/>
      <c r="F833" s="105">
        <v>0.5</v>
      </c>
      <c r="G833" s="106"/>
      <c r="H833" s="107">
        <v>0.25</v>
      </c>
    </row>
    <row r="834" ht="27.95" customHeight="1" spans="1:8">
      <c r="A834" s="64"/>
      <c r="B834" s="73" t="s">
        <v>1579</v>
      </c>
      <c r="C834" s="66" t="s">
        <v>1580</v>
      </c>
      <c r="D834" s="67">
        <v>0.1304</v>
      </c>
      <c r="E834" s="68"/>
      <c r="F834" s="69">
        <v>0.5</v>
      </c>
      <c r="G834" s="70"/>
      <c r="H834" s="71">
        <v>0.3</v>
      </c>
    </row>
    <row r="835" ht="27.95" customHeight="1" spans="1:8">
      <c r="A835" s="64"/>
      <c r="B835" s="73" t="s">
        <v>1581</v>
      </c>
      <c r="C835" s="66" t="s">
        <v>1582</v>
      </c>
      <c r="D835" s="67">
        <v>0.1304</v>
      </c>
      <c r="E835" s="68"/>
      <c r="F835" s="69">
        <v>0.5</v>
      </c>
      <c r="G835" s="70"/>
      <c r="H835" s="71">
        <v>0.3</v>
      </c>
    </row>
    <row r="836" ht="27.95" customHeight="1" spans="1:8">
      <c r="A836" s="64"/>
      <c r="B836" s="73" t="s">
        <v>1583</v>
      </c>
      <c r="C836" s="66" t="s">
        <v>1584</v>
      </c>
      <c r="D836" s="67">
        <v>0.1739</v>
      </c>
      <c r="E836" s="68"/>
      <c r="F836" s="69">
        <v>0.5</v>
      </c>
      <c r="G836" s="70"/>
      <c r="H836" s="71">
        <v>0.4</v>
      </c>
    </row>
    <row r="837" ht="27.95" customHeight="1" spans="1:8">
      <c r="A837" s="64"/>
      <c r="B837" s="73" t="s">
        <v>1585</v>
      </c>
      <c r="C837" s="66" t="s">
        <v>1586</v>
      </c>
      <c r="D837" s="67">
        <v>0.2174</v>
      </c>
      <c r="E837" s="68"/>
      <c r="F837" s="69">
        <v>0.7</v>
      </c>
      <c r="G837" s="70"/>
      <c r="H837" s="71">
        <v>0.5</v>
      </c>
    </row>
    <row r="838" ht="27.95" customHeight="1" spans="1:8">
      <c r="A838" s="64"/>
      <c r="B838" s="73" t="s">
        <v>1587</v>
      </c>
      <c r="C838" s="66" t="s">
        <v>1588</v>
      </c>
      <c r="D838" s="67">
        <v>6.087</v>
      </c>
      <c r="E838" s="68"/>
      <c r="F838" s="69">
        <v>15</v>
      </c>
      <c r="G838" s="70"/>
      <c r="H838" s="71">
        <v>14</v>
      </c>
    </row>
    <row r="839" ht="27.95" customHeight="1" spans="1:8">
      <c r="A839" s="64"/>
      <c r="B839" s="73" t="s">
        <v>1589</v>
      </c>
      <c r="C839" s="66" t="s">
        <v>1590</v>
      </c>
      <c r="D839" s="67">
        <v>8.6957</v>
      </c>
      <c r="E839" s="68"/>
      <c r="F839" s="69">
        <v>20</v>
      </c>
      <c r="G839" s="70"/>
      <c r="H839" s="71">
        <v>16.67</v>
      </c>
    </row>
    <row r="840" ht="27.95" customHeight="1" spans="1:8">
      <c r="A840" s="64"/>
      <c r="B840" s="73" t="s">
        <v>1591</v>
      </c>
      <c r="C840" s="66" t="s">
        <v>1592</v>
      </c>
      <c r="D840" s="67">
        <v>5.4348</v>
      </c>
      <c r="E840" s="68"/>
      <c r="F840" s="69">
        <v>20</v>
      </c>
      <c r="G840" s="70"/>
      <c r="H840" s="71">
        <v>12.5</v>
      </c>
    </row>
    <row r="841" ht="27.95" customHeight="1" spans="1:8">
      <c r="A841" s="64"/>
      <c r="B841" s="73" t="s">
        <v>1593</v>
      </c>
      <c r="C841" s="66" t="s">
        <v>1594</v>
      </c>
      <c r="D841" s="67">
        <v>8.6957</v>
      </c>
      <c r="E841" s="68"/>
      <c r="F841" s="69">
        <v>20</v>
      </c>
      <c r="G841" s="70"/>
      <c r="H841" s="71">
        <v>15</v>
      </c>
    </row>
    <row r="842" ht="27.95" customHeight="1" spans="1:8">
      <c r="A842" s="64"/>
      <c r="B842" s="73" t="s">
        <v>1595</v>
      </c>
      <c r="C842" s="66" t="s">
        <v>1596</v>
      </c>
      <c r="D842" s="67">
        <v>2.7826</v>
      </c>
      <c r="E842" s="68"/>
      <c r="F842" s="69">
        <v>10.5</v>
      </c>
      <c r="G842" s="70"/>
      <c r="H842" s="71">
        <v>6.4</v>
      </c>
    </row>
    <row r="843" ht="27.95" customHeight="1" spans="1:8">
      <c r="A843" s="64"/>
      <c r="B843" s="73" t="s">
        <v>1597</v>
      </c>
      <c r="C843" s="66" t="s">
        <v>1598</v>
      </c>
      <c r="D843" s="67">
        <v>2</v>
      </c>
      <c r="E843" s="68"/>
      <c r="F843" s="69">
        <v>7.5</v>
      </c>
      <c r="G843" s="70"/>
      <c r="H843" s="71">
        <v>4.6</v>
      </c>
    </row>
    <row r="844" ht="27.95" customHeight="1" spans="1:8">
      <c r="A844" s="64"/>
      <c r="B844" s="73" t="s">
        <v>1599</v>
      </c>
      <c r="C844" s="66" t="s">
        <v>1600</v>
      </c>
      <c r="D844" s="67">
        <v>3.8261</v>
      </c>
      <c r="E844" s="68"/>
      <c r="F844" s="69">
        <v>14</v>
      </c>
      <c r="G844" s="70"/>
      <c r="H844" s="71">
        <v>8.8</v>
      </c>
    </row>
    <row r="845" ht="27.95" customHeight="1" spans="1:8">
      <c r="A845" s="64"/>
      <c r="B845" s="73" t="s">
        <v>1601</v>
      </c>
      <c r="C845" s="66" t="s">
        <v>1602</v>
      </c>
      <c r="D845" s="67">
        <v>2.7391</v>
      </c>
      <c r="E845" s="68"/>
      <c r="F845" s="69">
        <v>15</v>
      </c>
      <c r="G845" s="70"/>
      <c r="H845" s="71">
        <v>6.3</v>
      </c>
    </row>
    <row r="846" ht="27.95" customHeight="1" spans="1:8">
      <c r="A846" s="64"/>
      <c r="B846" s="73" t="s">
        <v>1603</v>
      </c>
      <c r="C846" s="66" t="s">
        <v>1604</v>
      </c>
      <c r="D846" s="67">
        <v>4.5652</v>
      </c>
      <c r="E846" s="68"/>
      <c r="F846" s="69">
        <v>16.8</v>
      </c>
      <c r="G846" s="70"/>
      <c r="H846" s="71">
        <v>10.5</v>
      </c>
    </row>
    <row r="847" ht="27.95" customHeight="1" spans="1:8">
      <c r="A847" s="64"/>
      <c r="B847" s="73" t="s">
        <v>1605</v>
      </c>
      <c r="C847" s="66" t="s">
        <v>1606</v>
      </c>
      <c r="D847" s="67">
        <v>4.8696</v>
      </c>
      <c r="E847" s="68"/>
      <c r="F847" s="69">
        <v>18</v>
      </c>
      <c r="G847" s="70"/>
      <c r="H847" s="71">
        <v>11.2</v>
      </c>
    </row>
    <row r="848" ht="27.95" customHeight="1" spans="1:8">
      <c r="A848" s="64"/>
      <c r="B848" s="73" t="s">
        <v>1607</v>
      </c>
      <c r="C848" s="66" t="s">
        <v>1608</v>
      </c>
      <c r="D848" s="67">
        <v>4.1739</v>
      </c>
      <c r="E848" s="68"/>
      <c r="F848" s="69">
        <v>15.4</v>
      </c>
      <c r="G848" s="70"/>
      <c r="H848" s="71">
        <v>9.6</v>
      </c>
    </row>
    <row r="849" ht="27.95" customHeight="1" spans="1:8">
      <c r="A849" s="64"/>
      <c r="B849" s="73" t="s">
        <v>1609</v>
      </c>
      <c r="C849" s="66" t="s">
        <v>1610</v>
      </c>
      <c r="D849" s="67">
        <v>6.4783</v>
      </c>
      <c r="E849" s="68"/>
      <c r="F849" s="69">
        <v>20</v>
      </c>
      <c r="G849" s="70"/>
      <c r="H849" s="71">
        <v>14.9</v>
      </c>
    </row>
    <row r="850" ht="27.95" customHeight="1" spans="1:8">
      <c r="A850" s="64"/>
      <c r="B850" s="73" t="s">
        <v>1611</v>
      </c>
      <c r="C850" s="66" t="s">
        <v>1612</v>
      </c>
      <c r="D850" s="67">
        <v>8.4348</v>
      </c>
      <c r="E850" s="68"/>
      <c r="F850" s="69">
        <v>19</v>
      </c>
      <c r="G850" s="70"/>
      <c r="H850" s="71">
        <v>19.4</v>
      </c>
    </row>
    <row r="851" ht="27.95" customHeight="1" spans="1:8">
      <c r="A851" s="64"/>
      <c r="B851" s="73" t="s">
        <v>1613</v>
      </c>
      <c r="C851" s="66" t="s">
        <v>1614</v>
      </c>
      <c r="D851" s="67">
        <v>6.7826</v>
      </c>
      <c r="E851" s="68"/>
      <c r="F851" s="69">
        <v>25</v>
      </c>
      <c r="G851" s="70"/>
      <c r="H851" s="71">
        <v>15.6</v>
      </c>
    </row>
    <row r="852" ht="27.95" customHeight="1" spans="1:8">
      <c r="A852" s="64"/>
      <c r="B852" s="73" t="s">
        <v>1615</v>
      </c>
      <c r="C852" s="66" t="s">
        <v>1616</v>
      </c>
      <c r="D852" s="67">
        <v>1.4783</v>
      </c>
      <c r="E852" s="68"/>
      <c r="F852" s="69">
        <v>5.5</v>
      </c>
      <c r="G852" s="70"/>
      <c r="H852" s="71">
        <v>3.4</v>
      </c>
    </row>
    <row r="853" ht="27.95" customHeight="1" spans="1:8">
      <c r="A853" s="74"/>
      <c r="B853" s="73" t="s">
        <v>1617</v>
      </c>
      <c r="C853" s="66" t="s">
        <v>1618</v>
      </c>
      <c r="D853" s="67">
        <v>1.1739</v>
      </c>
      <c r="E853" s="68"/>
      <c r="F853" s="69">
        <v>4.5</v>
      </c>
      <c r="G853" s="70"/>
      <c r="H853" s="71">
        <v>2.7</v>
      </c>
    </row>
    <row r="854" ht="27.95" customHeight="1" spans="1:8">
      <c r="A854" s="75"/>
      <c r="B854" s="73" t="s">
        <v>1619</v>
      </c>
      <c r="C854" s="66" t="s">
        <v>1618</v>
      </c>
      <c r="D854" s="67">
        <v>1.1739</v>
      </c>
      <c r="E854" s="68"/>
      <c r="F854" s="69">
        <v>4.3</v>
      </c>
      <c r="G854" s="70"/>
      <c r="H854" s="71">
        <v>2.7</v>
      </c>
    </row>
    <row r="855" ht="27.95" customHeight="1" spans="1:8">
      <c r="A855" s="64"/>
      <c r="B855" s="73" t="s">
        <v>1620</v>
      </c>
      <c r="C855" s="66" t="s">
        <v>1621</v>
      </c>
      <c r="D855" s="82">
        <v>13.0435</v>
      </c>
      <c r="E855" s="83"/>
      <c r="F855" s="69">
        <v>25</v>
      </c>
      <c r="G855" s="70"/>
      <c r="H855" s="71">
        <v>20</v>
      </c>
    </row>
    <row r="856" ht="27.95" customHeight="1" spans="1:8">
      <c r="A856" s="64"/>
      <c r="B856" s="73" t="s">
        <v>1622</v>
      </c>
      <c r="C856" s="66" t="s">
        <v>1623</v>
      </c>
      <c r="D856" s="67">
        <v>0.45</v>
      </c>
      <c r="E856" s="68"/>
      <c r="F856" s="69">
        <v>0.53</v>
      </c>
      <c r="G856" s="70"/>
      <c r="H856" s="71">
        <v>0.65</v>
      </c>
    </row>
    <row r="857" ht="27.95" customHeight="1" spans="1:8">
      <c r="A857" s="64"/>
      <c r="B857" s="73" t="s">
        <v>1624</v>
      </c>
      <c r="C857" s="66" t="s">
        <v>1625</v>
      </c>
      <c r="D857" s="67">
        <v>0.1739</v>
      </c>
      <c r="E857" s="68"/>
      <c r="F857" s="69">
        <v>0.6</v>
      </c>
      <c r="G857" s="70"/>
      <c r="H857" s="71">
        <v>0.4</v>
      </c>
    </row>
    <row r="858" ht="27.95" customHeight="1" spans="1:8">
      <c r="A858" s="64"/>
      <c r="B858" s="73" t="s">
        <v>1626</v>
      </c>
      <c r="C858" s="66" t="s">
        <v>1627</v>
      </c>
      <c r="D858" s="67">
        <v>0.2174</v>
      </c>
      <c r="E858" s="68"/>
      <c r="F858" s="69">
        <v>1</v>
      </c>
      <c r="G858" s="70"/>
      <c r="H858" s="71">
        <v>0.5</v>
      </c>
    </row>
    <row r="859" ht="27.95" customHeight="1" spans="1:8">
      <c r="A859" s="64"/>
      <c r="B859" s="73" t="s">
        <v>1628</v>
      </c>
      <c r="C859" s="66" t="s">
        <v>1629</v>
      </c>
      <c r="D859" s="67">
        <v>1</v>
      </c>
      <c r="E859" s="68"/>
      <c r="F859" s="69">
        <v>3.5</v>
      </c>
      <c r="G859" s="70"/>
      <c r="H859" s="71">
        <v>2.3</v>
      </c>
    </row>
    <row r="860" ht="27.95" customHeight="1" spans="1:8">
      <c r="A860" s="64"/>
      <c r="B860" s="73" t="s">
        <v>1630</v>
      </c>
      <c r="C860" s="66" t="s">
        <v>1631</v>
      </c>
      <c r="D860" s="67">
        <v>1.3913</v>
      </c>
      <c r="E860" s="68"/>
      <c r="F860" s="69">
        <v>10</v>
      </c>
      <c r="G860" s="70"/>
      <c r="H860" s="71">
        <v>3.2</v>
      </c>
    </row>
    <row r="861" ht="27.95" customHeight="1" spans="1:8">
      <c r="A861" s="64"/>
      <c r="B861" s="73" t="s">
        <v>1632</v>
      </c>
      <c r="C861" s="66" t="s">
        <v>1633</v>
      </c>
      <c r="D861" s="67">
        <v>0.5652</v>
      </c>
      <c r="E861" s="68"/>
      <c r="F861" s="69">
        <v>2</v>
      </c>
      <c r="G861" s="70"/>
      <c r="H861" s="71">
        <v>1.3</v>
      </c>
    </row>
    <row r="862" ht="27.95" customHeight="1" spans="1:8">
      <c r="A862" s="64"/>
      <c r="B862" s="73" t="s">
        <v>1634</v>
      </c>
      <c r="C862" s="66" t="s">
        <v>1635</v>
      </c>
      <c r="D862" s="67">
        <v>1.2174</v>
      </c>
      <c r="E862" s="68"/>
      <c r="F862" s="69">
        <v>4.5</v>
      </c>
      <c r="G862" s="70"/>
      <c r="H862" s="71">
        <v>2.8</v>
      </c>
    </row>
    <row r="863" ht="27.95" customHeight="1" spans="1:8">
      <c r="A863" s="64"/>
      <c r="B863" s="73" t="s">
        <v>1636</v>
      </c>
      <c r="C863" s="66" t="s">
        <v>1637</v>
      </c>
      <c r="D863" s="67">
        <v>0.1304</v>
      </c>
      <c r="E863" s="68"/>
      <c r="F863" s="69">
        <v>0.5</v>
      </c>
      <c r="G863" s="70"/>
      <c r="H863" s="71">
        <v>0.3</v>
      </c>
    </row>
    <row r="864" ht="27.95" customHeight="1" spans="1:8">
      <c r="A864" s="64"/>
      <c r="B864" s="103" t="s">
        <v>1638</v>
      </c>
      <c r="C864" s="104" t="s">
        <v>1639</v>
      </c>
      <c r="D864" s="67">
        <v>0.4348</v>
      </c>
      <c r="E864" s="68"/>
      <c r="F864" s="105">
        <v>1</v>
      </c>
      <c r="G864" s="106"/>
      <c r="H864" s="107">
        <v>0.5</v>
      </c>
    </row>
    <row r="865" ht="27.95" customHeight="1" spans="1:8">
      <c r="A865" s="64"/>
      <c r="B865" s="73" t="s">
        <v>1640</v>
      </c>
      <c r="C865" s="66" t="s">
        <v>1641</v>
      </c>
      <c r="D865" s="67">
        <v>0.2609</v>
      </c>
      <c r="E865" s="68"/>
      <c r="F865" s="69">
        <v>1</v>
      </c>
      <c r="G865" s="70"/>
      <c r="H865" s="71">
        <v>0.6</v>
      </c>
    </row>
    <row r="866" ht="27.95" customHeight="1" spans="1:8">
      <c r="A866" s="64"/>
      <c r="B866" s="73" t="s">
        <v>1642</v>
      </c>
      <c r="C866" s="66" t="s">
        <v>1643</v>
      </c>
      <c r="D866" s="67">
        <v>0.2174</v>
      </c>
      <c r="E866" s="68"/>
      <c r="F866" s="69">
        <v>1</v>
      </c>
      <c r="G866" s="70"/>
      <c r="H866" s="71">
        <v>0.5</v>
      </c>
    </row>
    <row r="867" ht="27.95" customHeight="1" spans="1:8">
      <c r="A867" s="64"/>
      <c r="B867" s="73" t="s">
        <v>1644</v>
      </c>
      <c r="C867" s="66" t="s">
        <v>1645</v>
      </c>
      <c r="D867" s="67">
        <v>0.2174</v>
      </c>
      <c r="E867" s="68"/>
      <c r="F867" s="69">
        <v>0.9</v>
      </c>
      <c r="G867" s="70"/>
      <c r="H867" s="71">
        <v>0.5</v>
      </c>
    </row>
    <row r="868" ht="27.95" customHeight="1" spans="1:8">
      <c r="A868" s="64"/>
      <c r="B868" s="73" t="s">
        <v>1646</v>
      </c>
      <c r="C868" s="66" t="s">
        <v>1647</v>
      </c>
      <c r="D868" s="67">
        <v>0.2174</v>
      </c>
      <c r="E868" s="68"/>
      <c r="F868" s="69">
        <v>1</v>
      </c>
      <c r="G868" s="70"/>
      <c r="H868" s="71">
        <v>0.5</v>
      </c>
    </row>
    <row r="869" ht="27.95" customHeight="1" spans="1:8">
      <c r="A869" s="64"/>
      <c r="B869" s="73" t="s">
        <v>1648</v>
      </c>
      <c r="C869" s="66" t="s">
        <v>1649</v>
      </c>
      <c r="D869" s="67">
        <v>1.2609</v>
      </c>
      <c r="E869" s="68"/>
      <c r="F869" s="69">
        <v>4</v>
      </c>
      <c r="G869" s="70"/>
      <c r="H869" s="71">
        <v>2.9</v>
      </c>
    </row>
    <row r="870" ht="27.95" customHeight="1" spans="1:8">
      <c r="A870" s="64"/>
      <c r="B870" s="73" t="s">
        <v>1650</v>
      </c>
      <c r="C870" s="66" t="s">
        <v>1651</v>
      </c>
      <c r="D870" s="67">
        <v>1.6087</v>
      </c>
      <c r="E870" s="68"/>
      <c r="F870" s="69">
        <v>5</v>
      </c>
      <c r="G870" s="70"/>
      <c r="H870" s="71">
        <v>3.7</v>
      </c>
    </row>
    <row r="871" ht="27.95" customHeight="1" spans="1:8">
      <c r="A871" s="64"/>
      <c r="B871" s="73" t="s">
        <v>1652</v>
      </c>
      <c r="C871" s="66" t="s">
        <v>1653</v>
      </c>
      <c r="D871" s="67">
        <v>1.3043</v>
      </c>
      <c r="E871" s="68"/>
      <c r="F871" s="69">
        <v>4</v>
      </c>
      <c r="G871" s="70"/>
      <c r="H871" s="71">
        <v>3</v>
      </c>
    </row>
    <row r="872" ht="27.95" customHeight="1" spans="1:8">
      <c r="A872" s="64"/>
      <c r="B872" s="73" t="s">
        <v>1654</v>
      </c>
      <c r="C872" s="66" t="s">
        <v>1655</v>
      </c>
      <c r="D872" s="67">
        <v>0.913</v>
      </c>
      <c r="E872" s="68"/>
      <c r="F872" s="69">
        <v>3.5</v>
      </c>
      <c r="G872" s="70"/>
      <c r="H872" s="71">
        <v>2.1</v>
      </c>
    </row>
    <row r="873" ht="27.95" customHeight="1" spans="1:8">
      <c r="A873" s="64"/>
      <c r="B873" s="73" t="s">
        <v>1656</v>
      </c>
      <c r="C873" s="66" t="s">
        <v>1657</v>
      </c>
      <c r="D873" s="67">
        <v>0.2174</v>
      </c>
      <c r="E873" s="68"/>
      <c r="F873" s="69">
        <v>1</v>
      </c>
      <c r="G873" s="70"/>
      <c r="H873" s="71">
        <v>0.5</v>
      </c>
    </row>
    <row r="874" ht="27.95" customHeight="1" spans="1:8">
      <c r="A874" s="64"/>
      <c r="B874" s="73" t="s">
        <v>1658</v>
      </c>
      <c r="C874" s="66" t="s">
        <v>1659</v>
      </c>
      <c r="D874" s="67">
        <v>0.3043</v>
      </c>
      <c r="E874" s="68"/>
      <c r="F874" s="69">
        <v>1.1</v>
      </c>
      <c r="G874" s="70"/>
      <c r="H874" s="71">
        <v>0.7</v>
      </c>
    </row>
    <row r="875" ht="27.95" customHeight="1" spans="1:8">
      <c r="A875" s="64"/>
      <c r="B875" s="73" t="s">
        <v>1660</v>
      </c>
      <c r="C875" s="66" t="s">
        <v>1661</v>
      </c>
      <c r="D875" s="67">
        <v>0.2174</v>
      </c>
      <c r="E875" s="68"/>
      <c r="F875" s="69">
        <v>3</v>
      </c>
      <c r="G875" s="70"/>
      <c r="H875" s="71">
        <v>1.5</v>
      </c>
    </row>
    <row r="876" ht="27.95" customHeight="1" spans="1:8">
      <c r="A876" s="74"/>
      <c r="B876" s="73" t="s">
        <v>1662</v>
      </c>
      <c r="C876" s="66" t="s">
        <v>1663</v>
      </c>
      <c r="D876" s="67">
        <v>0.6957</v>
      </c>
      <c r="E876" s="68"/>
      <c r="F876" s="69">
        <v>2.6</v>
      </c>
      <c r="G876" s="70"/>
      <c r="H876" s="71">
        <v>1.6</v>
      </c>
    </row>
    <row r="877" ht="27.95" customHeight="1" spans="1:8">
      <c r="A877" s="84"/>
      <c r="B877" s="73" t="s">
        <v>1664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</row>
    <row r="878" ht="27.95" customHeight="1" spans="1:8">
      <c r="A878" s="75"/>
      <c r="B878" s="73" t="s">
        <v>1665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</row>
    <row r="879" ht="27.95" customHeight="1" spans="1:8">
      <c r="A879" s="64"/>
      <c r="B879" s="73" t="s">
        <v>1666</v>
      </c>
      <c r="C879" s="66" t="s">
        <v>1667</v>
      </c>
      <c r="D879" s="67">
        <v>3.913</v>
      </c>
      <c r="E879" s="68"/>
      <c r="F879" s="69">
        <v>9</v>
      </c>
      <c r="G879" s="70"/>
      <c r="H879" s="71">
        <v>6</v>
      </c>
    </row>
    <row r="880" ht="27.95" customHeight="1" spans="1:8">
      <c r="A880" s="64"/>
      <c r="B880" s="73" t="s">
        <v>1668</v>
      </c>
      <c r="C880" s="66" t="s">
        <v>1669</v>
      </c>
      <c r="D880" s="67">
        <v>0.7391</v>
      </c>
      <c r="E880" s="68"/>
      <c r="F880" s="69">
        <v>2.5</v>
      </c>
      <c r="G880" s="70"/>
      <c r="H880" s="71">
        <v>1.7</v>
      </c>
    </row>
    <row r="881" ht="27.95" customHeight="1" spans="1:8">
      <c r="A881" s="64"/>
      <c r="B881" s="73" t="s">
        <v>1670</v>
      </c>
      <c r="C881" s="66" t="s">
        <v>1671</v>
      </c>
      <c r="D881" s="67">
        <v>0.6522</v>
      </c>
      <c r="E881" s="68"/>
      <c r="F881" s="69">
        <v>2</v>
      </c>
      <c r="G881" s="70"/>
      <c r="H881" s="71">
        <v>1.5</v>
      </c>
    </row>
    <row r="882" ht="27.95" customHeight="1" spans="1:8">
      <c r="A882" s="64"/>
      <c r="B882" s="73" t="s">
        <v>1672</v>
      </c>
      <c r="C882" s="66" t="s">
        <v>1673</v>
      </c>
      <c r="D882" s="67">
        <v>0.5435</v>
      </c>
      <c r="E882" s="68"/>
      <c r="F882" s="69">
        <v>2</v>
      </c>
      <c r="G882" s="70"/>
      <c r="H882" s="71">
        <v>1.25</v>
      </c>
    </row>
    <row r="883" ht="27.95" customHeight="1" spans="1:8">
      <c r="A883" s="64"/>
      <c r="B883" s="73" t="s">
        <v>1674</v>
      </c>
      <c r="C883" s="66" t="s">
        <v>1675</v>
      </c>
      <c r="D883" s="67">
        <v>0.2174</v>
      </c>
      <c r="E883" s="68"/>
      <c r="F883" s="69">
        <v>0.8</v>
      </c>
      <c r="G883" s="70"/>
      <c r="H883" s="71">
        <v>0.5</v>
      </c>
    </row>
    <row r="884" ht="27.95" customHeight="1" spans="1:8">
      <c r="A884" s="64"/>
      <c r="B884" s="73" t="s">
        <v>1676</v>
      </c>
      <c r="C884" s="66" t="s">
        <v>1677</v>
      </c>
      <c r="D884" s="67">
        <v>1.3478</v>
      </c>
      <c r="E884" s="68"/>
      <c r="F884" s="69">
        <v>5</v>
      </c>
      <c r="G884" s="70"/>
      <c r="H884" s="71">
        <v>3.1</v>
      </c>
    </row>
    <row r="885" ht="27.95" customHeight="1" spans="1:8">
      <c r="A885" s="74"/>
      <c r="B885" s="73" t="s">
        <v>1678</v>
      </c>
      <c r="C885" s="66" t="s">
        <v>1679</v>
      </c>
      <c r="D885" s="67">
        <v>0.1739</v>
      </c>
      <c r="E885" s="68"/>
      <c r="F885" s="69">
        <v>0.6</v>
      </c>
      <c r="G885" s="70"/>
      <c r="H885" s="71">
        <v>0.4</v>
      </c>
    </row>
    <row r="886" ht="27.95" customHeight="1" spans="1:8">
      <c r="A886" s="84"/>
      <c r="B886" s="73" t="s">
        <v>1680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</row>
    <row r="887" ht="27.95" customHeight="1" spans="1:8">
      <c r="A887" s="84"/>
      <c r="B887" s="73" t="s">
        <v>1681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</row>
    <row r="888" ht="27.95" customHeight="1" spans="1:8">
      <c r="A888" s="75"/>
      <c r="B888" s="73" t="s">
        <v>1682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</row>
    <row r="889" ht="27.95" customHeight="1" spans="1:8">
      <c r="A889" s="64"/>
      <c r="B889" s="73" t="s">
        <v>1683</v>
      </c>
      <c r="C889" s="66" t="s">
        <v>1684</v>
      </c>
      <c r="D889" s="67">
        <v>0.0435</v>
      </c>
      <c r="E889" s="68"/>
      <c r="F889" s="69">
        <v>0.2</v>
      </c>
      <c r="G889" s="70"/>
      <c r="H889" s="71">
        <v>0.1</v>
      </c>
    </row>
    <row r="890" ht="27.95" customHeight="1" spans="1:8">
      <c r="A890" s="64"/>
      <c r="B890" s="73" t="s">
        <v>1685</v>
      </c>
      <c r="C890" s="66" t="s">
        <v>1686</v>
      </c>
      <c r="D890" s="67">
        <v>0.0435</v>
      </c>
      <c r="E890" s="68"/>
      <c r="F890" s="69">
        <v>0.2</v>
      </c>
      <c r="G890" s="70"/>
      <c r="H890" s="71">
        <v>0.1</v>
      </c>
    </row>
    <row r="891" ht="27.95" customHeight="1" spans="1:8">
      <c r="A891" s="64"/>
      <c r="B891" s="73" t="s">
        <v>1687</v>
      </c>
      <c r="C891" s="66" t="s">
        <v>1688</v>
      </c>
      <c r="D891" s="67">
        <v>0.0435</v>
      </c>
      <c r="E891" s="68"/>
      <c r="F891" s="69">
        <v>0.2</v>
      </c>
      <c r="G891" s="70"/>
      <c r="H891" s="71">
        <v>0.1</v>
      </c>
    </row>
    <row r="892" ht="27.95" customHeight="1" spans="1:8">
      <c r="A892" s="64"/>
      <c r="B892" s="73" t="s">
        <v>1689</v>
      </c>
      <c r="C892" s="66" t="s">
        <v>1690</v>
      </c>
      <c r="D892" s="67">
        <v>0.0435</v>
      </c>
      <c r="E892" s="68"/>
      <c r="F892" s="69">
        <v>0.2</v>
      </c>
      <c r="G892" s="70"/>
      <c r="H892" s="71">
        <v>0.1</v>
      </c>
    </row>
    <row r="893" ht="27.95" customHeight="1" spans="1:8">
      <c r="A893" s="64"/>
      <c r="B893" s="73" t="s">
        <v>1691</v>
      </c>
      <c r="C893" s="66" t="s">
        <v>1692</v>
      </c>
      <c r="D893" s="67">
        <v>1.7826</v>
      </c>
      <c r="E893" s="68"/>
      <c r="F893" s="69">
        <v>7</v>
      </c>
      <c r="G893" s="70"/>
      <c r="H893" s="71">
        <v>4.1</v>
      </c>
    </row>
    <row r="894" ht="27.95" customHeight="1" spans="1:8">
      <c r="A894" s="64"/>
      <c r="B894" s="73" t="s">
        <v>1693</v>
      </c>
      <c r="C894" s="66" t="s">
        <v>1694</v>
      </c>
      <c r="D894" s="67">
        <v>2.4783</v>
      </c>
      <c r="E894" s="68"/>
      <c r="F894" s="69">
        <v>7</v>
      </c>
      <c r="G894" s="70"/>
      <c r="H894" s="71">
        <v>5.7</v>
      </c>
    </row>
    <row r="895" ht="27.95" customHeight="1" spans="1:8">
      <c r="A895" s="64"/>
      <c r="B895" s="73" t="s">
        <v>1695</v>
      </c>
      <c r="C895" s="66" t="s">
        <v>1696</v>
      </c>
      <c r="D895" s="67">
        <v>0.4348</v>
      </c>
      <c r="E895" s="68"/>
      <c r="F895" s="69">
        <v>2</v>
      </c>
      <c r="G895" s="70"/>
      <c r="H895" s="71">
        <v>1</v>
      </c>
    </row>
    <row r="896" ht="27.95" customHeight="1" spans="1:8">
      <c r="A896" s="64"/>
      <c r="B896" s="73" t="s">
        <v>1697</v>
      </c>
      <c r="C896" s="66" t="s">
        <v>1698</v>
      </c>
      <c r="D896" s="67">
        <v>0.0435</v>
      </c>
      <c r="E896" s="68"/>
      <c r="F896" s="69">
        <v>0.5</v>
      </c>
      <c r="G896" s="70"/>
      <c r="H896" s="71">
        <v>0.1</v>
      </c>
    </row>
    <row r="897" ht="27.95" customHeight="1" spans="1:8">
      <c r="A897" s="64"/>
      <c r="B897" s="73" t="s">
        <v>1699</v>
      </c>
      <c r="C897" s="66" t="s">
        <v>1700</v>
      </c>
      <c r="D897" s="67">
        <v>0.6087</v>
      </c>
      <c r="E897" s="68"/>
      <c r="F897" s="69">
        <v>2.5</v>
      </c>
      <c r="G897" s="70"/>
      <c r="H897" s="71">
        <v>1.4</v>
      </c>
    </row>
    <row r="898" ht="27.95" customHeight="1" spans="1:8">
      <c r="A898" s="64"/>
      <c r="B898" s="73" t="s">
        <v>1701</v>
      </c>
      <c r="C898" s="66" t="s">
        <v>1702</v>
      </c>
      <c r="D898" s="67">
        <v>0.2609</v>
      </c>
      <c r="E898" s="68"/>
      <c r="F898" s="69">
        <v>1</v>
      </c>
      <c r="G898" s="70"/>
      <c r="H898" s="71">
        <v>0.6</v>
      </c>
    </row>
    <row r="899" ht="27.95" customHeight="1" spans="1:8">
      <c r="A899" s="64"/>
      <c r="B899" s="73" t="s">
        <v>1703</v>
      </c>
      <c r="C899" s="66" t="s">
        <v>1704</v>
      </c>
      <c r="D899" s="67">
        <v>0.2609</v>
      </c>
      <c r="E899" s="68"/>
      <c r="F899" s="69">
        <v>2.5</v>
      </c>
      <c r="G899" s="70"/>
      <c r="H899" s="71">
        <v>0.6</v>
      </c>
    </row>
    <row r="900" ht="27.95" customHeight="1" spans="1:8">
      <c r="A900" s="64"/>
      <c r="B900" s="73" t="s">
        <v>1705</v>
      </c>
      <c r="C900" s="66" t="s">
        <v>1706</v>
      </c>
      <c r="D900" s="67">
        <v>0.1304</v>
      </c>
      <c r="E900" s="68"/>
      <c r="F900" s="69">
        <v>0.5</v>
      </c>
      <c r="G900" s="70"/>
      <c r="H900" s="71">
        <v>0.3</v>
      </c>
    </row>
    <row r="901" ht="27.95" customHeight="1" spans="1:8">
      <c r="A901" s="64"/>
      <c r="B901" s="73" t="s">
        <v>1707</v>
      </c>
      <c r="C901" s="66" t="s">
        <v>1708</v>
      </c>
      <c r="D901" s="67">
        <v>0.4348</v>
      </c>
      <c r="E901" s="68"/>
      <c r="F901" s="69">
        <v>2.5</v>
      </c>
      <c r="G901" s="70"/>
      <c r="H901" s="71">
        <v>1</v>
      </c>
    </row>
    <row r="902" ht="27.95" customHeight="1" spans="1:8">
      <c r="A902" s="64"/>
      <c r="B902" s="73" t="s">
        <v>1709</v>
      </c>
      <c r="C902" s="66" t="s">
        <v>1710</v>
      </c>
      <c r="D902" s="67">
        <v>0.3913</v>
      </c>
      <c r="E902" s="68"/>
      <c r="F902" s="69">
        <v>2</v>
      </c>
      <c r="G902" s="70"/>
      <c r="H902" s="71">
        <v>0.9</v>
      </c>
    </row>
    <row r="903" ht="27.95" customHeight="1" spans="1:8">
      <c r="A903" s="64"/>
      <c r="B903" s="73" t="s">
        <v>1711</v>
      </c>
      <c r="C903" s="66" t="s">
        <v>1712</v>
      </c>
      <c r="D903" s="67">
        <v>0.3913</v>
      </c>
      <c r="E903" s="68"/>
      <c r="F903" s="69">
        <v>1.4</v>
      </c>
      <c r="G903" s="70"/>
      <c r="H903" s="71">
        <v>0.9</v>
      </c>
    </row>
    <row r="904" ht="27.95" customHeight="1" spans="1:8">
      <c r="A904" s="64"/>
      <c r="B904" s="73" t="s">
        <v>1713</v>
      </c>
      <c r="C904" s="66" t="s">
        <v>1714</v>
      </c>
      <c r="D904" s="67">
        <v>0.1304</v>
      </c>
      <c r="E904" s="68"/>
      <c r="F904" s="69">
        <v>1</v>
      </c>
      <c r="G904" s="70"/>
      <c r="H904" s="71">
        <v>0.5</v>
      </c>
    </row>
    <row r="905" ht="27.95" customHeight="1" spans="1:8">
      <c r="A905" s="64"/>
      <c r="B905" s="73" t="s">
        <v>1715</v>
      </c>
      <c r="C905" s="66" t="s">
        <v>1716</v>
      </c>
      <c r="D905" s="67">
        <v>0.2174</v>
      </c>
      <c r="E905" s="68"/>
      <c r="F905" s="69">
        <v>0.8</v>
      </c>
      <c r="G905" s="70"/>
      <c r="H905" s="71">
        <v>0.5</v>
      </c>
    </row>
    <row r="906" ht="27.95" customHeight="1" spans="1:8">
      <c r="A906" s="64"/>
      <c r="B906" s="73" t="s">
        <v>1717</v>
      </c>
      <c r="C906" s="66" t="s">
        <v>1718</v>
      </c>
      <c r="D906" s="67">
        <v>0.2174</v>
      </c>
      <c r="E906" s="68"/>
      <c r="F906" s="69">
        <v>0.8</v>
      </c>
      <c r="G906" s="70"/>
      <c r="H906" s="71">
        <v>0.5</v>
      </c>
    </row>
    <row r="907" ht="27.95" customHeight="1" spans="1:8">
      <c r="A907" s="64"/>
      <c r="B907" s="73" t="s">
        <v>1719</v>
      </c>
      <c r="C907" s="66" t="s">
        <v>1720</v>
      </c>
      <c r="D907" s="67">
        <v>0.4348</v>
      </c>
      <c r="E907" s="68"/>
      <c r="F907" s="69">
        <v>1</v>
      </c>
      <c r="G907" s="70"/>
      <c r="H907" s="71">
        <v>1</v>
      </c>
    </row>
    <row r="908" ht="27.95" customHeight="1" spans="1:8">
      <c r="A908" s="64"/>
      <c r="B908" s="73" t="s">
        <v>1721</v>
      </c>
      <c r="C908" s="66" t="s">
        <v>1722</v>
      </c>
      <c r="D908" s="67">
        <v>0.3913</v>
      </c>
      <c r="E908" s="68"/>
      <c r="F908" s="69">
        <v>1.4</v>
      </c>
      <c r="G908" s="70"/>
      <c r="H908" s="71">
        <v>0.9</v>
      </c>
    </row>
    <row r="909" ht="27.95" customHeight="1" spans="1:8">
      <c r="A909" s="64"/>
      <c r="B909" s="73" t="s">
        <v>1723</v>
      </c>
      <c r="C909" s="66" t="s">
        <v>1724</v>
      </c>
      <c r="D909" s="67">
        <v>0.7391</v>
      </c>
      <c r="E909" s="68"/>
      <c r="F909" s="69">
        <v>3</v>
      </c>
      <c r="G909" s="70"/>
      <c r="H909" s="71">
        <v>1.7</v>
      </c>
    </row>
    <row r="910" ht="27.95" customHeight="1" spans="1:8">
      <c r="A910" s="64"/>
      <c r="B910" s="73" t="s">
        <v>1725</v>
      </c>
      <c r="C910" s="66" t="s">
        <v>1726</v>
      </c>
      <c r="D910" s="67">
        <v>0.7826</v>
      </c>
      <c r="E910" s="68"/>
      <c r="F910" s="69">
        <v>3</v>
      </c>
      <c r="G910" s="70"/>
      <c r="H910" s="71">
        <v>1.8</v>
      </c>
    </row>
    <row r="911" ht="27.95" customHeight="1" spans="1:8">
      <c r="A911" s="64"/>
      <c r="B911" s="73" t="s">
        <v>1727</v>
      </c>
      <c r="C911" s="66" t="s">
        <v>1728</v>
      </c>
      <c r="D911" s="67">
        <v>0.7826</v>
      </c>
      <c r="E911" s="68"/>
      <c r="F911" s="69">
        <v>3</v>
      </c>
      <c r="G911" s="70"/>
      <c r="H911" s="71">
        <v>1.8</v>
      </c>
    </row>
    <row r="912" ht="27.95" customHeight="1" spans="1:8">
      <c r="A912" s="64"/>
      <c r="B912" s="73" t="s">
        <v>1729</v>
      </c>
      <c r="C912" s="66" t="s">
        <v>1730</v>
      </c>
      <c r="D912" s="67">
        <v>0.6522</v>
      </c>
      <c r="E912" s="68"/>
      <c r="F912" s="69">
        <v>3</v>
      </c>
      <c r="G912" s="70"/>
      <c r="H912" s="71">
        <v>1.5</v>
      </c>
    </row>
    <row r="913" ht="27.95" customHeight="1" spans="1:8">
      <c r="A913" s="64"/>
      <c r="B913" s="73" t="s">
        <v>1731</v>
      </c>
      <c r="C913" s="66" t="s">
        <v>1732</v>
      </c>
      <c r="D913" s="67">
        <v>0.6522</v>
      </c>
      <c r="E913" s="68"/>
      <c r="F913" s="69">
        <v>3</v>
      </c>
      <c r="G913" s="70"/>
      <c r="H913" s="71">
        <v>1.5</v>
      </c>
    </row>
    <row r="914" ht="27.95" customHeight="1" spans="1:8">
      <c r="A914" s="64"/>
      <c r="B914" s="73" t="s">
        <v>1733</v>
      </c>
      <c r="C914" s="66" t="s">
        <v>1734</v>
      </c>
      <c r="D914" s="67">
        <v>0.6522</v>
      </c>
      <c r="E914" s="68"/>
      <c r="F914" s="69">
        <v>3</v>
      </c>
      <c r="G914" s="70"/>
      <c r="H914" s="71">
        <v>1.5</v>
      </c>
    </row>
    <row r="915" ht="27.95" customHeight="1" spans="1:8">
      <c r="A915" s="64"/>
      <c r="B915" s="73" t="s">
        <v>1735</v>
      </c>
      <c r="C915" s="66" t="s">
        <v>1736</v>
      </c>
      <c r="D915" s="67">
        <v>0.6522</v>
      </c>
      <c r="E915" s="68"/>
      <c r="F915" s="69">
        <v>3</v>
      </c>
      <c r="G915" s="70"/>
      <c r="H915" s="71">
        <v>1.5</v>
      </c>
    </row>
    <row r="916" ht="27.95" customHeight="1" spans="1:8">
      <c r="A916" s="64"/>
      <c r="B916" s="73" t="s">
        <v>1737</v>
      </c>
      <c r="C916" s="66" t="s">
        <v>1738</v>
      </c>
      <c r="D916" s="67">
        <v>1.087</v>
      </c>
      <c r="E916" s="68"/>
      <c r="F916" s="69">
        <v>3</v>
      </c>
      <c r="G916" s="70"/>
      <c r="H916" s="71">
        <v>2.5</v>
      </c>
    </row>
    <row r="917" customHeight="1" spans="1:8">
      <c r="A917" s="64"/>
      <c r="B917" s="73" t="s">
        <v>1739</v>
      </c>
      <c r="C917" s="66" t="s">
        <v>1740</v>
      </c>
      <c r="D917" s="67">
        <v>0.6522</v>
      </c>
      <c r="E917" s="68"/>
      <c r="F917" s="69">
        <v>3</v>
      </c>
      <c r="G917" s="70"/>
      <c r="H917" s="71">
        <v>1.5</v>
      </c>
    </row>
    <row r="918" customHeight="1" spans="1:8">
      <c r="A918" s="64"/>
      <c r="B918" s="73" t="s">
        <v>1741</v>
      </c>
      <c r="C918" s="66" t="s">
        <v>1742</v>
      </c>
      <c r="D918" s="67">
        <v>0.6522</v>
      </c>
      <c r="E918" s="68"/>
      <c r="F918" s="69">
        <v>2.3</v>
      </c>
      <c r="G918" s="70"/>
      <c r="H918" s="71">
        <v>1.5</v>
      </c>
    </row>
    <row r="919" customHeight="1" spans="1:8">
      <c r="A919" s="64"/>
      <c r="B919" s="73" t="s">
        <v>1743</v>
      </c>
      <c r="C919" s="66" t="s">
        <v>1744</v>
      </c>
      <c r="D919" s="67">
        <v>0.6522</v>
      </c>
      <c r="E919" s="68"/>
      <c r="F919" s="69">
        <v>2.3</v>
      </c>
      <c r="G919" s="70"/>
      <c r="H919" s="71">
        <v>1.5</v>
      </c>
    </row>
    <row r="920" customHeight="1" spans="1:8">
      <c r="A920" s="64"/>
      <c r="B920" s="73" t="s">
        <v>1745</v>
      </c>
      <c r="C920" s="66" t="s">
        <v>1746</v>
      </c>
      <c r="D920" s="67">
        <v>0.6522</v>
      </c>
      <c r="E920" s="68"/>
      <c r="F920" s="69">
        <v>3</v>
      </c>
      <c r="G920" s="70"/>
      <c r="H920" s="71">
        <v>1.5</v>
      </c>
    </row>
    <row r="921" customHeight="1" spans="1:8">
      <c r="A921" s="64"/>
      <c r="B921" s="73" t="s">
        <v>1747</v>
      </c>
      <c r="C921" s="66" t="s">
        <v>1748</v>
      </c>
      <c r="D921" s="67">
        <v>0.6087</v>
      </c>
      <c r="E921" s="68"/>
      <c r="F921" s="69">
        <v>3</v>
      </c>
      <c r="G921" s="70"/>
      <c r="H921" s="71">
        <v>1.4</v>
      </c>
    </row>
    <row r="922" customHeight="1" spans="1:8">
      <c r="A922" s="64"/>
      <c r="B922" s="73" t="s">
        <v>1749</v>
      </c>
      <c r="C922" s="66" t="s">
        <v>1750</v>
      </c>
      <c r="D922" s="67">
        <v>0.6522</v>
      </c>
      <c r="E922" s="68"/>
      <c r="F922" s="69">
        <v>3</v>
      </c>
      <c r="G922" s="70"/>
      <c r="H922" s="71">
        <v>1.5</v>
      </c>
    </row>
    <row r="923" customHeight="1" spans="1:8">
      <c r="A923" s="64"/>
      <c r="B923" s="73" t="s">
        <v>1751</v>
      </c>
      <c r="C923" s="66" t="s">
        <v>1752</v>
      </c>
      <c r="D923" s="67">
        <v>0.5652</v>
      </c>
      <c r="E923" s="68"/>
      <c r="F923" s="69">
        <v>3</v>
      </c>
      <c r="G923" s="70"/>
      <c r="H923" s="71">
        <v>1.3</v>
      </c>
    </row>
    <row r="924" customHeight="1" spans="1:8">
      <c r="A924" s="64"/>
      <c r="B924" s="73" t="s">
        <v>1753</v>
      </c>
      <c r="C924" s="66" t="s">
        <v>1754</v>
      </c>
      <c r="D924" s="67">
        <v>0.4348</v>
      </c>
      <c r="E924" s="68"/>
      <c r="F924" s="69">
        <v>3</v>
      </c>
      <c r="G924" s="70"/>
      <c r="H924" s="71">
        <v>1</v>
      </c>
    </row>
    <row r="925" customHeight="1" spans="1:8">
      <c r="A925" s="64"/>
      <c r="B925" s="73" t="s">
        <v>1755</v>
      </c>
      <c r="C925" s="66" t="s">
        <v>1756</v>
      </c>
      <c r="D925" s="67">
        <v>0.6522</v>
      </c>
      <c r="E925" s="68"/>
      <c r="F925" s="69">
        <v>3</v>
      </c>
      <c r="G925" s="70"/>
      <c r="H925" s="71">
        <v>1.5</v>
      </c>
    </row>
    <row r="926" customHeight="1" spans="1:8">
      <c r="A926" s="64"/>
      <c r="B926" s="73" t="s">
        <v>1757</v>
      </c>
      <c r="C926" s="66" t="s">
        <v>1758</v>
      </c>
      <c r="D926" s="67">
        <v>0.4348</v>
      </c>
      <c r="E926" s="68"/>
      <c r="F926" s="69">
        <v>2.5</v>
      </c>
      <c r="G926" s="70"/>
      <c r="H926" s="71">
        <v>1</v>
      </c>
    </row>
    <row r="927" customHeight="1" spans="1:8">
      <c r="A927" s="64"/>
      <c r="B927" s="73" t="s">
        <v>1759</v>
      </c>
      <c r="C927" s="66" t="s">
        <v>1760</v>
      </c>
      <c r="D927" s="67">
        <v>0.0652</v>
      </c>
      <c r="E927" s="68"/>
      <c r="F927" s="69">
        <v>0.5</v>
      </c>
      <c r="G927" s="70"/>
      <c r="H927" s="71">
        <v>0.15</v>
      </c>
    </row>
    <row r="928" customHeight="1" spans="1:8">
      <c r="A928" s="64"/>
      <c r="B928" s="73" t="s">
        <v>1761</v>
      </c>
      <c r="C928" s="66" t="s">
        <v>1762</v>
      </c>
      <c r="D928" s="67">
        <v>0.2174</v>
      </c>
      <c r="E928" s="68"/>
      <c r="F928" s="69">
        <v>1.5</v>
      </c>
      <c r="G928" s="70"/>
      <c r="H928" s="71">
        <v>0.5</v>
      </c>
    </row>
    <row r="929" customHeight="1" spans="1:8">
      <c r="A929" s="64"/>
      <c r="B929" s="73" t="s">
        <v>1763</v>
      </c>
      <c r="C929" s="66" t="s">
        <v>1764</v>
      </c>
      <c r="D929" s="67">
        <v>0.1739</v>
      </c>
      <c r="E929" s="68"/>
      <c r="F929" s="69">
        <v>1.5</v>
      </c>
      <c r="G929" s="70"/>
      <c r="H929" s="71">
        <v>0.4</v>
      </c>
    </row>
    <row r="930" customHeight="1" spans="1:8">
      <c r="A930" s="64"/>
      <c r="B930" s="73" t="s">
        <v>1765</v>
      </c>
      <c r="C930" s="66" t="s">
        <v>1766</v>
      </c>
      <c r="D930" s="67">
        <v>0.1304</v>
      </c>
      <c r="E930" s="68"/>
      <c r="F930" s="69">
        <v>1</v>
      </c>
      <c r="G930" s="70"/>
      <c r="H930" s="71">
        <v>0.5</v>
      </c>
    </row>
    <row r="931" customHeight="1" spans="1:8">
      <c r="A931" s="64"/>
      <c r="B931" s="73" t="s">
        <v>1767</v>
      </c>
      <c r="C931" s="66" t="s">
        <v>1768</v>
      </c>
      <c r="D931" s="67">
        <v>0.1304</v>
      </c>
      <c r="E931" s="68"/>
      <c r="F931" s="69">
        <v>0.5</v>
      </c>
      <c r="G931" s="70"/>
      <c r="H931" s="71">
        <v>0.3</v>
      </c>
    </row>
    <row r="932" customHeight="1" spans="1:8">
      <c r="A932" s="64"/>
      <c r="B932" s="73" t="s">
        <v>1769</v>
      </c>
      <c r="C932" s="66" t="s">
        <v>1770</v>
      </c>
      <c r="D932" s="67">
        <v>0.1304</v>
      </c>
      <c r="E932" s="68"/>
      <c r="F932" s="69">
        <v>0.5</v>
      </c>
      <c r="G932" s="70"/>
      <c r="H932" s="71">
        <v>0.3</v>
      </c>
    </row>
    <row r="933" customHeight="1" spans="1:8">
      <c r="A933" s="64"/>
      <c r="B933" s="73" t="s">
        <v>1771</v>
      </c>
      <c r="C933" s="66" t="s">
        <v>1772</v>
      </c>
      <c r="D933" s="67">
        <v>0.1304</v>
      </c>
      <c r="E933" s="68"/>
      <c r="F933" s="69">
        <v>0.5</v>
      </c>
      <c r="G933" s="70"/>
      <c r="H933" s="71">
        <v>0.3</v>
      </c>
    </row>
    <row r="934" customHeight="1" spans="1:8">
      <c r="A934" s="64"/>
      <c r="B934" s="73" t="s">
        <v>1773</v>
      </c>
      <c r="C934" s="66" t="s">
        <v>1774</v>
      </c>
      <c r="D934" s="67">
        <v>0.1304</v>
      </c>
      <c r="E934" s="68"/>
      <c r="F934" s="69">
        <v>1</v>
      </c>
      <c r="G934" s="70"/>
      <c r="H934" s="71">
        <v>0.5</v>
      </c>
    </row>
    <row r="935" ht="25.5" customHeight="1" spans="1:8">
      <c r="A935" s="64"/>
      <c r="B935" s="73" t="s">
        <v>1775</v>
      </c>
      <c r="C935" s="66" t="s">
        <v>1776</v>
      </c>
      <c r="D935" s="67">
        <v>1.1304</v>
      </c>
      <c r="E935" s="68"/>
      <c r="F935" s="69">
        <v>3.5</v>
      </c>
      <c r="G935" s="70"/>
      <c r="H935" s="71">
        <v>2.6</v>
      </c>
    </row>
    <row r="936" spans="1:8">
      <c r="A936" s="74"/>
      <c r="B936" s="65">
        <v>168168001573</v>
      </c>
      <c r="C936" s="66" t="s">
        <v>1777</v>
      </c>
      <c r="D936" s="67">
        <v>1.087</v>
      </c>
      <c r="E936" s="68"/>
      <c r="F936" s="69">
        <v>2.5</v>
      </c>
      <c r="G936" s="70"/>
      <c r="H936" s="71">
        <v>1.8</v>
      </c>
    </row>
    <row r="937" spans="1:8">
      <c r="A937" s="84"/>
      <c r="B937" s="65">
        <v>7861038062353</v>
      </c>
      <c r="C937" s="66" t="s">
        <v>1777</v>
      </c>
      <c r="D937" s="67">
        <v>1.1957</v>
      </c>
      <c r="E937" s="68"/>
      <c r="F937" s="69">
        <v>2.75</v>
      </c>
      <c r="G937" s="70"/>
      <c r="H937" s="71">
        <v>1.9</v>
      </c>
    </row>
    <row r="938" spans="1:8">
      <c r="A938" s="75"/>
      <c r="B938" s="65">
        <v>7861038062490</v>
      </c>
      <c r="C938" s="66" t="s">
        <v>1777</v>
      </c>
      <c r="D938" s="67">
        <v>1.9565</v>
      </c>
      <c r="E938" s="68"/>
      <c r="F938" s="69">
        <v>4.5</v>
      </c>
      <c r="G938" s="70"/>
      <c r="H938" s="71">
        <v>3.25</v>
      </c>
    </row>
    <row r="939" customHeight="1" spans="1:8">
      <c r="A939" s="64"/>
      <c r="B939" s="73" t="s">
        <v>1778</v>
      </c>
      <c r="C939" s="66" t="s">
        <v>1779</v>
      </c>
      <c r="D939" s="67">
        <v>0.087</v>
      </c>
      <c r="E939" s="68"/>
      <c r="F939" s="69">
        <v>1</v>
      </c>
      <c r="G939" s="70"/>
      <c r="H939" s="71">
        <v>0.2</v>
      </c>
    </row>
    <row r="940" spans="1:8">
      <c r="A940" s="64"/>
      <c r="B940" s="73" t="s">
        <v>1780</v>
      </c>
      <c r="C940" s="66" t="s">
        <v>1781</v>
      </c>
      <c r="D940" s="67">
        <v>0.4348</v>
      </c>
      <c r="E940" s="68"/>
      <c r="F940" s="69">
        <v>1</v>
      </c>
      <c r="G940" s="70"/>
      <c r="H940" s="71">
        <v>0.5</v>
      </c>
    </row>
    <row r="941" customHeight="1" spans="1:8">
      <c r="A941" s="64"/>
      <c r="B941" s="73" t="s">
        <v>1782</v>
      </c>
      <c r="C941" s="66" t="s">
        <v>1783</v>
      </c>
      <c r="D941" s="67">
        <v>0.1304</v>
      </c>
      <c r="E941" s="68"/>
      <c r="F941" s="69">
        <v>0.5</v>
      </c>
      <c r="G941" s="70"/>
      <c r="H941" s="71">
        <v>0.3</v>
      </c>
    </row>
    <row r="942" customHeight="1" spans="1:8">
      <c r="A942" s="64"/>
      <c r="B942" s="73" t="s">
        <v>1784</v>
      </c>
      <c r="C942" s="66" t="s">
        <v>1785</v>
      </c>
      <c r="D942" s="67">
        <v>0.2609</v>
      </c>
      <c r="E942" s="68"/>
      <c r="F942" s="69">
        <v>1</v>
      </c>
      <c r="G942" s="70"/>
      <c r="H942" s="71">
        <v>0.6</v>
      </c>
    </row>
    <row r="943" customHeight="1" spans="1:8">
      <c r="A943" s="64"/>
      <c r="B943" s="103" t="s">
        <v>1786</v>
      </c>
      <c r="C943" s="104" t="s">
        <v>1787</v>
      </c>
      <c r="D943" s="67">
        <v>0.6957</v>
      </c>
      <c r="E943" s="68"/>
      <c r="F943" s="105">
        <v>2.5</v>
      </c>
      <c r="G943" s="106"/>
      <c r="H943" s="107">
        <v>1.6</v>
      </c>
    </row>
    <row r="944" customHeight="1" spans="1:8">
      <c r="A944" s="64"/>
      <c r="B944" s="73" t="s">
        <v>1788</v>
      </c>
      <c r="C944" s="66" t="s">
        <v>1789</v>
      </c>
      <c r="D944" s="67">
        <v>0.1304</v>
      </c>
      <c r="E944" s="68"/>
      <c r="F944" s="69">
        <v>1</v>
      </c>
      <c r="G944" s="70"/>
      <c r="H944" s="71">
        <v>0.3</v>
      </c>
    </row>
    <row r="945" customHeight="1" spans="1:8">
      <c r="A945" s="64"/>
      <c r="B945" s="73" t="s">
        <v>1790</v>
      </c>
      <c r="C945" s="66" t="s">
        <v>1791</v>
      </c>
      <c r="D945" s="67">
        <v>0.3913</v>
      </c>
      <c r="E945" s="68"/>
      <c r="F945" s="69">
        <v>1.5</v>
      </c>
      <c r="G945" s="70"/>
      <c r="H945" s="71">
        <v>0.9</v>
      </c>
    </row>
    <row r="946" customHeight="1" spans="1:8">
      <c r="A946" s="64"/>
      <c r="B946" s="73" t="s">
        <v>1792</v>
      </c>
      <c r="C946" s="66" t="s">
        <v>1793</v>
      </c>
      <c r="D946" s="67">
        <v>0.4348</v>
      </c>
      <c r="E946" s="68"/>
      <c r="F946" s="69">
        <v>1.5</v>
      </c>
      <c r="G946" s="70"/>
      <c r="H946" s="71">
        <v>1</v>
      </c>
    </row>
    <row r="947" customHeight="1" spans="1:8">
      <c r="A947" s="64"/>
      <c r="B947" s="73" t="s">
        <v>1794</v>
      </c>
      <c r="C947" s="66" t="s">
        <v>1795</v>
      </c>
      <c r="D947" s="67">
        <v>0.3913</v>
      </c>
      <c r="E947" s="68"/>
      <c r="F947" s="69">
        <v>1.5</v>
      </c>
      <c r="G947" s="70"/>
      <c r="H947" s="71">
        <v>0.9</v>
      </c>
    </row>
    <row r="948" customHeight="1" spans="1:8">
      <c r="A948" s="64"/>
      <c r="B948" s="73" t="s">
        <v>1796</v>
      </c>
      <c r="C948" s="66" t="s">
        <v>1797</v>
      </c>
      <c r="D948" s="67">
        <v>0.2174</v>
      </c>
      <c r="E948" s="68"/>
      <c r="F948" s="69">
        <v>1</v>
      </c>
      <c r="G948" s="70"/>
      <c r="H948" s="71">
        <v>0.5</v>
      </c>
    </row>
    <row r="949" customHeight="1" spans="1:8">
      <c r="A949" s="64"/>
      <c r="B949" s="73" t="s">
        <v>1798</v>
      </c>
      <c r="C949" s="66" t="s">
        <v>1799</v>
      </c>
      <c r="D949" s="67">
        <v>0.2174</v>
      </c>
      <c r="E949" s="68"/>
      <c r="F949" s="69">
        <v>1</v>
      </c>
      <c r="G949" s="70"/>
      <c r="H949" s="71">
        <v>0.5</v>
      </c>
    </row>
    <row r="950" customHeight="1" spans="1:8">
      <c r="A950" s="64"/>
      <c r="B950" s="73" t="s">
        <v>1800</v>
      </c>
      <c r="C950" s="66" t="s">
        <v>1801</v>
      </c>
      <c r="D950" s="67">
        <v>0.2174</v>
      </c>
      <c r="E950" s="68"/>
      <c r="F950" s="69">
        <v>1</v>
      </c>
      <c r="G950" s="70"/>
      <c r="H950" s="71">
        <v>0.5</v>
      </c>
    </row>
    <row r="951" customHeight="1" spans="1:8">
      <c r="A951" s="64"/>
      <c r="B951" s="73" t="s">
        <v>1802</v>
      </c>
      <c r="C951" s="66" t="s">
        <v>1803</v>
      </c>
      <c r="D951" s="67">
        <v>0.2174</v>
      </c>
      <c r="E951" s="68"/>
      <c r="F951" s="69">
        <v>1</v>
      </c>
      <c r="G951" s="70"/>
      <c r="H951" s="71">
        <v>0.5</v>
      </c>
    </row>
    <row r="952" customHeight="1" spans="1:8">
      <c r="A952" s="64"/>
      <c r="B952" s="73" t="s">
        <v>1804</v>
      </c>
      <c r="C952" s="66" t="s">
        <v>1805</v>
      </c>
      <c r="D952" s="67">
        <v>0.1739</v>
      </c>
      <c r="E952" s="68"/>
      <c r="F952" s="69">
        <v>1</v>
      </c>
      <c r="G952" s="70"/>
      <c r="H952" s="71">
        <v>0.4</v>
      </c>
    </row>
    <row r="953" customHeight="1" spans="1:8">
      <c r="A953" s="64"/>
      <c r="B953" s="73" t="s">
        <v>1806</v>
      </c>
      <c r="C953" s="66" t="s">
        <v>1807</v>
      </c>
      <c r="D953" s="67">
        <v>0.2174</v>
      </c>
      <c r="E953" s="68"/>
      <c r="F953" s="69">
        <v>1</v>
      </c>
      <c r="G953" s="70"/>
      <c r="H953" s="71">
        <v>0.5</v>
      </c>
    </row>
    <row r="954" customHeight="1" spans="1:8">
      <c r="A954" s="64"/>
      <c r="B954" s="73" t="s">
        <v>1808</v>
      </c>
      <c r="C954" s="66" t="s">
        <v>1809</v>
      </c>
      <c r="D954" s="67">
        <v>0.4348</v>
      </c>
      <c r="E954" s="68"/>
      <c r="F954" s="69">
        <v>1.5</v>
      </c>
      <c r="G954" s="70"/>
      <c r="H954" s="71">
        <v>1</v>
      </c>
    </row>
    <row r="955" customHeight="1" spans="1:8">
      <c r="A955" s="64"/>
      <c r="B955" s="73" t="s">
        <v>1810</v>
      </c>
      <c r="C955" s="66" t="s">
        <v>1811</v>
      </c>
      <c r="D955" s="67">
        <v>0.2609</v>
      </c>
      <c r="E955" s="68"/>
      <c r="F955" s="69">
        <v>1</v>
      </c>
      <c r="G955" s="70"/>
      <c r="H955" s="71">
        <v>0.6</v>
      </c>
    </row>
    <row r="956" customHeight="1" spans="1:8">
      <c r="A956" s="64"/>
      <c r="B956" s="73" t="s">
        <v>1812</v>
      </c>
      <c r="C956" s="66" t="s">
        <v>1813</v>
      </c>
      <c r="D956" s="67">
        <v>0.1304</v>
      </c>
      <c r="E956" s="68"/>
      <c r="F956" s="69">
        <v>0.5</v>
      </c>
      <c r="G956" s="70"/>
      <c r="H956" s="71">
        <v>0.3</v>
      </c>
    </row>
    <row r="957" customHeight="1" spans="1:8">
      <c r="A957" s="64"/>
      <c r="B957" s="103" t="s">
        <v>1814</v>
      </c>
      <c r="C957" s="104" t="s">
        <v>1815</v>
      </c>
      <c r="D957" s="67">
        <v>0.6087</v>
      </c>
      <c r="E957" s="68"/>
      <c r="F957" s="105">
        <v>2.2</v>
      </c>
      <c r="G957" s="106"/>
      <c r="H957" s="107">
        <v>1.4</v>
      </c>
    </row>
    <row r="958" customHeight="1" spans="1:8">
      <c r="A958" s="64"/>
      <c r="B958" s="73" t="s">
        <v>1816</v>
      </c>
      <c r="C958" s="66" t="s">
        <v>1817</v>
      </c>
      <c r="D958" s="67">
        <v>0.6087</v>
      </c>
      <c r="E958" s="68"/>
      <c r="F958" s="69">
        <v>2.5</v>
      </c>
      <c r="G958" s="70"/>
      <c r="H958" s="71">
        <v>1.4</v>
      </c>
    </row>
    <row r="959" customHeight="1" spans="1:8">
      <c r="A959" s="64"/>
      <c r="B959" s="73" t="s">
        <v>1818</v>
      </c>
      <c r="C959" s="66" t="s">
        <v>1819</v>
      </c>
      <c r="D959" s="67">
        <v>0.4348</v>
      </c>
      <c r="E959" s="68"/>
      <c r="F959" s="69">
        <v>1.5</v>
      </c>
      <c r="G959" s="70"/>
      <c r="H959" s="71">
        <v>1</v>
      </c>
    </row>
    <row r="960" customHeight="1" spans="1:8">
      <c r="A960" s="64"/>
      <c r="B960" s="73" t="s">
        <v>1820</v>
      </c>
      <c r="C960" s="66" t="s">
        <v>1821</v>
      </c>
      <c r="D960" s="67">
        <v>0.0435</v>
      </c>
      <c r="E960" s="68"/>
      <c r="F960" s="69">
        <v>0.5</v>
      </c>
      <c r="G960" s="70"/>
      <c r="H960" s="71">
        <v>0.1</v>
      </c>
    </row>
    <row r="961" customHeight="1" spans="1:8">
      <c r="A961" s="64"/>
      <c r="B961" s="73" t="s">
        <v>1822</v>
      </c>
      <c r="C961" s="66" t="s">
        <v>1823</v>
      </c>
      <c r="D961" s="67">
        <v>0.1739</v>
      </c>
      <c r="E961" s="68"/>
      <c r="F961" s="69">
        <v>1</v>
      </c>
      <c r="G961" s="70"/>
      <c r="H961" s="71">
        <v>0.5</v>
      </c>
    </row>
    <row r="962" customHeight="1" spans="1:8">
      <c r="A962" s="64"/>
      <c r="B962" s="73" t="s">
        <v>1824</v>
      </c>
      <c r="C962" s="66" t="s">
        <v>1825</v>
      </c>
      <c r="D962" s="67">
        <v>0.2609</v>
      </c>
      <c r="E962" s="68"/>
      <c r="F962" s="69">
        <v>0.9</v>
      </c>
      <c r="G962" s="70"/>
      <c r="H962" s="71">
        <v>0.6</v>
      </c>
    </row>
    <row r="963" customHeight="1" spans="1:8">
      <c r="A963" s="64"/>
      <c r="B963" s="73" t="s">
        <v>1826</v>
      </c>
      <c r="C963" s="66" t="s">
        <v>1827</v>
      </c>
      <c r="D963" s="67">
        <v>0.5217</v>
      </c>
      <c r="E963" s="68"/>
      <c r="F963" s="69">
        <v>2</v>
      </c>
      <c r="G963" s="70"/>
      <c r="H963" s="71">
        <v>1.2</v>
      </c>
    </row>
    <row r="964" customHeight="1" spans="1:8">
      <c r="A964" s="64"/>
      <c r="B964" s="73" t="s">
        <v>1828</v>
      </c>
      <c r="C964" s="66" t="s">
        <v>1829</v>
      </c>
      <c r="D964" s="67">
        <v>0.1739</v>
      </c>
      <c r="E964" s="68"/>
      <c r="F964" s="69">
        <v>0.6</v>
      </c>
      <c r="G964" s="70"/>
      <c r="H964" s="71">
        <v>0.4</v>
      </c>
    </row>
    <row r="965" customHeight="1" spans="1:8">
      <c r="A965" s="64"/>
      <c r="B965" s="73" t="s">
        <v>1830</v>
      </c>
      <c r="C965" s="66" t="s">
        <v>1831</v>
      </c>
      <c r="D965" s="67">
        <v>0.0435</v>
      </c>
      <c r="E965" s="68"/>
      <c r="F965" s="69">
        <v>0.25</v>
      </c>
      <c r="G965" s="70"/>
      <c r="H965" s="71">
        <v>0.1</v>
      </c>
    </row>
    <row r="966" customHeight="1" spans="1:8">
      <c r="A966" s="64"/>
      <c r="B966" s="73" t="s">
        <v>1832</v>
      </c>
      <c r="C966" s="66" t="s">
        <v>1833</v>
      </c>
      <c r="D966" s="67">
        <v>0.1739</v>
      </c>
      <c r="E966" s="68"/>
      <c r="F966" s="69">
        <v>0.6</v>
      </c>
      <c r="G966" s="70"/>
      <c r="H966" s="71">
        <v>0.4</v>
      </c>
    </row>
    <row r="967" customHeight="1" spans="1:8">
      <c r="A967" s="64"/>
      <c r="B967" s="73" t="s">
        <v>1834</v>
      </c>
      <c r="C967" s="66" t="s">
        <v>1835</v>
      </c>
      <c r="D967" s="67">
        <v>0.7391</v>
      </c>
      <c r="E967" s="68"/>
      <c r="F967" s="69">
        <v>2.8</v>
      </c>
      <c r="G967" s="70"/>
      <c r="H967" s="71">
        <v>1.7</v>
      </c>
    </row>
    <row r="968" customHeight="1" spans="1:8">
      <c r="A968" s="64"/>
      <c r="B968" s="73" t="s">
        <v>1836</v>
      </c>
      <c r="C968" s="66" t="s">
        <v>1837</v>
      </c>
      <c r="D968" s="67">
        <v>0.4348</v>
      </c>
      <c r="E968" s="68"/>
      <c r="F968" s="69">
        <v>1.5</v>
      </c>
      <c r="G968" s="70"/>
      <c r="H968" s="71">
        <v>1</v>
      </c>
    </row>
    <row r="969" customHeight="1" spans="1:8">
      <c r="A969" s="64"/>
      <c r="B969" s="73" t="s">
        <v>1838</v>
      </c>
      <c r="C969" s="66" t="s">
        <v>1839</v>
      </c>
      <c r="D969" s="67">
        <v>0.1304</v>
      </c>
      <c r="E969" s="68"/>
      <c r="F969" s="69">
        <v>0.4</v>
      </c>
      <c r="G969" s="70"/>
      <c r="H969" s="71">
        <v>0.3</v>
      </c>
    </row>
    <row r="970" customHeight="1" spans="1:8">
      <c r="A970" s="64"/>
      <c r="B970" s="73" t="s">
        <v>1840</v>
      </c>
      <c r="C970" s="66" t="s">
        <v>1841</v>
      </c>
      <c r="D970" s="67">
        <v>0.1304</v>
      </c>
      <c r="E970" s="68"/>
      <c r="F970" s="69">
        <v>0.5</v>
      </c>
      <c r="G970" s="70"/>
      <c r="H970" s="71">
        <v>0.3</v>
      </c>
    </row>
    <row r="971" customHeight="1" spans="1:8">
      <c r="A971" s="64"/>
      <c r="B971" s="73" t="s">
        <v>1842</v>
      </c>
      <c r="C971" s="66" t="s">
        <v>1843</v>
      </c>
      <c r="D971" s="67">
        <v>0.7391</v>
      </c>
      <c r="E971" s="68"/>
      <c r="F971" s="69">
        <v>2.7</v>
      </c>
      <c r="G971" s="70"/>
      <c r="H971" s="71">
        <v>1.7</v>
      </c>
    </row>
    <row r="972" customHeight="1" spans="1:8">
      <c r="A972" s="64"/>
      <c r="B972" s="73" t="s">
        <v>1844</v>
      </c>
      <c r="C972" s="66" t="s">
        <v>1845</v>
      </c>
      <c r="D972" s="67">
        <v>1.0435</v>
      </c>
      <c r="E972" s="68"/>
      <c r="F972" s="69">
        <v>3.9</v>
      </c>
      <c r="G972" s="70"/>
      <c r="H972" s="71">
        <v>2.4</v>
      </c>
    </row>
    <row r="973" customHeight="1" spans="1:8">
      <c r="A973" s="64"/>
      <c r="B973" s="73" t="s">
        <v>1846</v>
      </c>
      <c r="C973" s="66" t="s">
        <v>1847</v>
      </c>
      <c r="D973" s="67">
        <v>0.913</v>
      </c>
      <c r="E973" s="68"/>
      <c r="F973" s="69">
        <v>3.3</v>
      </c>
      <c r="G973" s="70"/>
      <c r="H973" s="71">
        <v>2.1</v>
      </c>
    </row>
    <row r="974" customHeight="1" spans="1:8">
      <c r="A974" s="64"/>
      <c r="B974" s="73" t="s">
        <v>1848</v>
      </c>
      <c r="C974" s="66" t="s">
        <v>1849</v>
      </c>
      <c r="D974" s="67">
        <v>0.913</v>
      </c>
      <c r="E974" s="68"/>
      <c r="F974" s="69">
        <v>3.3</v>
      </c>
      <c r="G974" s="70"/>
      <c r="H974" s="71">
        <v>2.1</v>
      </c>
    </row>
    <row r="975" customHeight="1" spans="1:8">
      <c r="A975" s="64"/>
      <c r="B975" s="73" t="s">
        <v>1850</v>
      </c>
      <c r="C975" s="66" t="s">
        <v>1851</v>
      </c>
      <c r="D975" s="67">
        <v>0.8261</v>
      </c>
      <c r="E975" s="68"/>
      <c r="F975" s="69">
        <v>3</v>
      </c>
      <c r="G975" s="70"/>
      <c r="H975" s="71">
        <v>1.9</v>
      </c>
    </row>
    <row r="976" customHeight="1" spans="1:8">
      <c r="A976" s="64"/>
      <c r="B976" s="73" t="s">
        <v>1852</v>
      </c>
      <c r="C976" s="66" t="s">
        <v>1853</v>
      </c>
      <c r="D976" s="67">
        <v>1.0435</v>
      </c>
      <c r="E976" s="68"/>
      <c r="F976" s="69">
        <v>3.9</v>
      </c>
      <c r="G976" s="70"/>
      <c r="H976" s="71">
        <v>2.4</v>
      </c>
    </row>
    <row r="977" spans="1:8">
      <c r="A977" s="64"/>
      <c r="B977" s="73" t="s">
        <v>1854</v>
      </c>
      <c r="C977" s="66" t="s">
        <v>1855</v>
      </c>
      <c r="D977" s="67">
        <v>3.087</v>
      </c>
      <c r="E977" s="68"/>
      <c r="F977" s="69">
        <v>7.1</v>
      </c>
      <c r="G977" s="70"/>
      <c r="H977" s="71">
        <v>6</v>
      </c>
    </row>
    <row r="978" customHeight="1" spans="1:8">
      <c r="A978" s="64"/>
      <c r="B978" s="73" t="s">
        <v>1856</v>
      </c>
      <c r="C978" s="66" t="s">
        <v>1857</v>
      </c>
      <c r="D978" s="67">
        <v>0.4348</v>
      </c>
      <c r="E978" s="68"/>
      <c r="F978" s="69">
        <v>1.6</v>
      </c>
      <c r="G978" s="70"/>
      <c r="H978" s="71">
        <v>1</v>
      </c>
    </row>
    <row r="979" customHeight="1" spans="1:8">
      <c r="A979" s="64"/>
      <c r="B979" s="73" t="s">
        <v>1858</v>
      </c>
      <c r="C979" s="66" t="s">
        <v>1859</v>
      </c>
      <c r="D979" s="67">
        <v>1.913</v>
      </c>
      <c r="E979" s="68"/>
      <c r="F979" s="69">
        <v>7</v>
      </c>
      <c r="G979" s="70"/>
      <c r="H979" s="71">
        <v>4.4</v>
      </c>
    </row>
    <row r="980" ht="25.5" customHeight="1" spans="1:8">
      <c r="A980" s="64"/>
      <c r="B980" s="73" t="s">
        <v>1860</v>
      </c>
      <c r="C980" s="66" t="s">
        <v>1861</v>
      </c>
      <c r="D980" s="67">
        <v>3.087</v>
      </c>
      <c r="E980" s="68"/>
      <c r="F980" s="69">
        <v>11.4</v>
      </c>
      <c r="G980" s="70"/>
      <c r="H980" s="71">
        <v>7.1</v>
      </c>
    </row>
    <row r="981" customHeight="1" spans="1:8">
      <c r="A981" s="64"/>
      <c r="B981" s="73" t="s">
        <v>1862</v>
      </c>
      <c r="C981" s="66" t="s">
        <v>1863</v>
      </c>
      <c r="D981" s="67">
        <v>2.8261</v>
      </c>
      <c r="E981" s="68"/>
      <c r="F981" s="69">
        <v>10</v>
      </c>
      <c r="G981" s="70"/>
      <c r="H981" s="71">
        <v>6.5</v>
      </c>
    </row>
    <row r="982" customHeight="1" spans="1:8">
      <c r="A982" s="64"/>
      <c r="B982" s="73" t="s">
        <v>1864</v>
      </c>
      <c r="C982" s="66" t="s">
        <v>1865</v>
      </c>
      <c r="D982" s="67">
        <v>3.087</v>
      </c>
      <c r="E982" s="68"/>
      <c r="F982" s="69">
        <v>11.3</v>
      </c>
      <c r="G982" s="70"/>
      <c r="H982" s="71">
        <v>7.1</v>
      </c>
    </row>
    <row r="983" customHeight="1" spans="1:8">
      <c r="A983" s="64"/>
      <c r="B983" s="73" t="s">
        <v>1866</v>
      </c>
      <c r="C983" s="66" t="s">
        <v>1867</v>
      </c>
      <c r="D983" s="67">
        <v>3</v>
      </c>
      <c r="E983" s="68"/>
      <c r="F983" s="69">
        <v>10</v>
      </c>
      <c r="G983" s="70"/>
      <c r="H983" s="71">
        <v>6.9</v>
      </c>
    </row>
    <row r="984" customHeight="1" spans="1:8">
      <c r="A984" s="64"/>
      <c r="B984" s="73" t="s">
        <v>1868</v>
      </c>
      <c r="C984" s="66" t="s">
        <v>1869</v>
      </c>
      <c r="D984" s="67">
        <v>0.9565</v>
      </c>
      <c r="E984" s="68"/>
      <c r="F984" s="69">
        <v>3.5</v>
      </c>
      <c r="G984" s="70"/>
      <c r="H984" s="71">
        <v>2.2</v>
      </c>
    </row>
    <row r="985" ht="25.5" customHeight="1" spans="1:8">
      <c r="A985" s="64"/>
      <c r="B985" s="73" t="s">
        <v>1870</v>
      </c>
      <c r="C985" s="66" t="s">
        <v>1871</v>
      </c>
      <c r="D985" s="67">
        <v>0.4348</v>
      </c>
      <c r="E985" s="68"/>
      <c r="F985" s="69">
        <v>2</v>
      </c>
      <c r="G985" s="70"/>
      <c r="H985" s="71">
        <v>1</v>
      </c>
    </row>
    <row r="986" ht="25.5" customHeight="1" spans="1:8">
      <c r="A986" s="64"/>
      <c r="B986" s="73" t="s">
        <v>1872</v>
      </c>
      <c r="C986" s="66" t="s">
        <v>1873</v>
      </c>
      <c r="D986" s="67">
        <v>0.3043</v>
      </c>
      <c r="E986" s="68"/>
      <c r="F986" s="69">
        <v>1</v>
      </c>
      <c r="G986" s="70"/>
      <c r="H986" s="71">
        <v>0.7</v>
      </c>
    </row>
    <row r="987" customHeight="1" spans="1:8">
      <c r="A987" s="64"/>
      <c r="B987" s="73" t="s">
        <v>1874</v>
      </c>
      <c r="C987" s="66" t="s">
        <v>1875</v>
      </c>
      <c r="D987" s="67">
        <v>0.2609</v>
      </c>
      <c r="E987" s="68"/>
      <c r="F987" s="69">
        <v>1</v>
      </c>
      <c r="G987" s="70"/>
      <c r="H987" s="71">
        <v>0.6</v>
      </c>
    </row>
    <row r="988" customHeight="1" spans="1:8">
      <c r="A988" s="64"/>
      <c r="B988" s="73" t="s">
        <v>1876</v>
      </c>
      <c r="C988" s="66" t="s">
        <v>1877</v>
      </c>
      <c r="D988" s="82">
        <v>13.3913</v>
      </c>
      <c r="E988" s="83"/>
      <c r="F988" s="69">
        <v>50</v>
      </c>
      <c r="G988" s="70"/>
      <c r="H988" s="71">
        <v>30.8</v>
      </c>
    </row>
    <row r="989" customHeight="1" spans="1:8">
      <c r="A989" s="64"/>
      <c r="B989" s="73" t="s">
        <v>1878</v>
      </c>
      <c r="C989" s="66" t="s">
        <v>1879</v>
      </c>
      <c r="D989" s="67">
        <v>0.0435</v>
      </c>
      <c r="E989" s="68"/>
      <c r="F989" s="69">
        <v>1</v>
      </c>
      <c r="G989" s="70"/>
      <c r="H989" s="71">
        <v>0.5</v>
      </c>
    </row>
    <row r="990" customHeight="1" spans="1:8">
      <c r="A990" s="64"/>
      <c r="B990" s="73" t="s">
        <v>1880</v>
      </c>
      <c r="C990" s="66" t="s">
        <v>1881</v>
      </c>
      <c r="D990" s="67">
        <v>0.1739</v>
      </c>
      <c r="E990" s="68"/>
      <c r="F990" s="69">
        <v>1</v>
      </c>
      <c r="G990" s="70"/>
      <c r="H990" s="71">
        <v>0.4</v>
      </c>
    </row>
    <row r="991" customHeight="1" spans="1:8">
      <c r="A991" s="64"/>
      <c r="B991" s="73" t="s">
        <v>1882</v>
      </c>
      <c r="C991" s="66" t="s">
        <v>1883</v>
      </c>
      <c r="D991" s="67">
        <v>0.2609</v>
      </c>
      <c r="E991" s="68"/>
      <c r="F991" s="69">
        <v>1</v>
      </c>
      <c r="G991" s="70"/>
      <c r="H991" s="71">
        <v>0.6</v>
      </c>
    </row>
    <row r="992" customHeight="1" spans="1:8">
      <c r="A992" s="64"/>
      <c r="B992" s="73" t="s">
        <v>1884</v>
      </c>
      <c r="C992" s="66" t="s">
        <v>1885</v>
      </c>
      <c r="D992" s="67">
        <v>2.9565</v>
      </c>
      <c r="E992" s="68"/>
      <c r="F992" s="69">
        <v>10</v>
      </c>
      <c r="G992" s="70"/>
      <c r="H992" s="71">
        <v>6.8</v>
      </c>
    </row>
    <row r="993" customHeight="1" spans="1:8">
      <c r="A993" s="64"/>
      <c r="B993" s="73" t="s">
        <v>1886</v>
      </c>
      <c r="C993" s="66" t="s">
        <v>1887</v>
      </c>
      <c r="D993" s="67">
        <v>1.2174</v>
      </c>
      <c r="E993" s="68"/>
      <c r="F993" s="69">
        <v>4.5</v>
      </c>
      <c r="G993" s="70"/>
      <c r="H993" s="71">
        <v>2.8</v>
      </c>
    </row>
    <row r="994" customHeight="1" spans="1:8">
      <c r="A994" s="64"/>
      <c r="B994" s="73" t="s">
        <v>1888</v>
      </c>
      <c r="C994" s="66" t="s">
        <v>1889</v>
      </c>
      <c r="D994" s="67">
        <v>1</v>
      </c>
      <c r="E994" s="68"/>
      <c r="F994" s="69">
        <v>4</v>
      </c>
      <c r="G994" s="70"/>
      <c r="H994" s="71">
        <v>2.3</v>
      </c>
    </row>
    <row r="995" customHeight="1" spans="1:8">
      <c r="A995" s="64"/>
      <c r="B995" s="73" t="s">
        <v>1890</v>
      </c>
      <c r="C995" s="66" t="s">
        <v>1891</v>
      </c>
      <c r="D995" s="67">
        <v>0.3043</v>
      </c>
      <c r="E995" s="68"/>
      <c r="F995" s="69">
        <v>1.1</v>
      </c>
      <c r="G995" s="70"/>
      <c r="H995" s="71">
        <v>0.7</v>
      </c>
    </row>
    <row r="996" customHeight="1" spans="1:8">
      <c r="A996" s="64"/>
      <c r="B996" s="73" t="s">
        <v>1892</v>
      </c>
      <c r="C996" s="66" t="s">
        <v>1893</v>
      </c>
      <c r="D996" s="67">
        <v>0.3043</v>
      </c>
      <c r="E996" s="68"/>
      <c r="F996" s="69">
        <v>1.1</v>
      </c>
      <c r="G996" s="70"/>
      <c r="H996" s="71">
        <v>0.7</v>
      </c>
    </row>
    <row r="997" customHeight="1" spans="1:8">
      <c r="A997" s="64"/>
      <c r="B997" s="73" t="s">
        <v>1894</v>
      </c>
      <c r="C997" s="66" t="s">
        <v>1895</v>
      </c>
      <c r="D997" s="67">
        <v>0.913</v>
      </c>
      <c r="E997" s="68"/>
      <c r="F997" s="69">
        <v>3.5</v>
      </c>
      <c r="G997" s="70"/>
      <c r="H997" s="71">
        <v>2.1</v>
      </c>
    </row>
    <row r="998" customHeight="1" spans="1:8">
      <c r="A998" s="64"/>
      <c r="B998" s="103" t="s">
        <v>1896</v>
      </c>
      <c r="C998" s="104" t="s">
        <v>1897</v>
      </c>
      <c r="D998" s="67">
        <v>0.913</v>
      </c>
      <c r="E998" s="68"/>
      <c r="F998" s="105">
        <v>3.5</v>
      </c>
      <c r="G998" s="106"/>
      <c r="H998" s="107">
        <v>2.1</v>
      </c>
    </row>
    <row r="999" customHeight="1" spans="1:8">
      <c r="A999" s="64"/>
      <c r="B999" s="73" t="s">
        <v>1898</v>
      </c>
      <c r="C999" s="66" t="s">
        <v>1899</v>
      </c>
      <c r="D999" s="67">
        <v>0.1304</v>
      </c>
      <c r="E999" s="68"/>
      <c r="F999" s="69">
        <v>0.5</v>
      </c>
      <c r="G999" s="70"/>
      <c r="H999" s="71">
        <v>0.3</v>
      </c>
    </row>
    <row r="1000" customHeight="1" spans="1:8">
      <c r="A1000" s="64"/>
      <c r="B1000" s="73" t="s">
        <v>1900</v>
      </c>
      <c r="C1000" s="66" t="s">
        <v>1901</v>
      </c>
      <c r="D1000" s="67">
        <v>0.1739</v>
      </c>
      <c r="E1000" s="68"/>
      <c r="F1000" s="69">
        <v>1</v>
      </c>
      <c r="G1000" s="70"/>
      <c r="H1000" s="71">
        <v>0.4</v>
      </c>
    </row>
    <row r="1001" customHeight="1" spans="1:8">
      <c r="A1001" s="64"/>
      <c r="B1001" s="73" t="s">
        <v>1902</v>
      </c>
      <c r="C1001" s="66" t="s">
        <v>1903</v>
      </c>
      <c r="D1001" s="67">
        <v>0.2609</v>
      </c>
      <c r="E1001" s="68"/>
      <c r="F1001" s="69">
        <v>1</v>
      </c>
      <c r="G1001" s="70"/>
      <c r="H1001" s="71">
        <v>0.6</v>
      </c>
    </row>
    <row r="1002" customHeight="1" spans="1:8">
      <c r="A1002" s="64"/>
      <c r="B1002" s="73" t="s">
        <v>1904</v>
      </c>
      <c r="C1002" s="66" t="s">
        <v>1905</v>
      </c>
      <c r="D1002" s="67">
        <v>0.2174</v>
      </c>
      <c r="E1002" s="68"/>
      <c r="F1002" s="69">
        <v>1</v>
      </c>
      <c r="G1002" s="70"/>
      <c r="H1002" s="71">
        <v>0.5</v>
      </c>
    </row>
    <row r="1003" ht="25.5" customHeight="1" spans="1:8">
      <c r="A1003" s="64"/>
      <c r="B1003" s="73" t="s">
        <v>1906</v>
      </c>
      <c r="C1003" s="66" t="s">
        <v>1907</v>
      </c>
      <c r="D1003" s="67">
        <v>0.5217</v>
      </c>
      <c r="E1003" s="68"/>
      <c r="F1003" s="69">
        <v>2.5</v>
      </c>
      <c r="G1003" s="70"/>
      <c r="H1003" s="71">
        <v>1.2</v>
      </c>
    </row>
    <row r="1004" customHeight="1" spans="1:8">
      <c r="A1004" s="64"/>
      <c r="B1004" s="73" t="s">
        <v>1908</v>
      </c>
      <c r="C1004" s="66" t="s">
        <v>1909</v>
      </c>
      <c r="D1004" s="67">
        <v>0.0435</v>
      </c>
      <c r="E1004" s="68"/>
      <c r="F1004" s="69">
        <v>0.2</v>
      </c>
      <c r="G1004" s="70"/>
      <c r="H1004" s="71">
        <v>0.1</v>
      </c>
    </row>
    <row r="1005" ht="25.5" customHeight="1" spans="1:8">
      <c r="A1005" s="64"/>
      <c r="B1005" s="73" t="s">
        <v>1910</v>
      </c>
      <c r="C1005" s="66" t="s">
        <v>1911</v>
      </c>
      <c r="D1005" s="67">
        <v>2.3478</v>
      </c>
      <c r="E1005" s="68"/>
      <c r="F1005" s="69">
        <v>8.6</v>
      </c>
      <c r="G1005" s="70"/>
      <c r="H1005" s="71">
        <v>5.4</v>
      </c>
    </row>
    <row r="1006" customHeight="1" spans="1:8">
      <c r="A1006" s="64"/>
      <c r="B1006" s="73" t="s">
        <v>1912</v>
      </c>
      <c r="C1006" s="66" t="s">
        <v>1913</v>
      </c>
      <c r="D1006" s="67">
        <v>0.9565</v>
      </c>
      <c r="E1006" s="68"/>
      <c r="F1006" s="69">
        <v>3.5</v>
      </c>
      <c r="G1006" s="70"/>
      <c r="H1006" s="71">
        <v>2.2</v>
      </c>
    </row>
    <row r="1007" customHeight="1" spans="1:8">
      <c r="A1007" s="64"/>
      <c r="B1007" s="73" t="s">
        <v>1914</v>
      </c>
      <c r="C1007" s="66" t="s">
        <v>1915</v>
      </c>
      <c r="D1007" s="67">
        <v>2</v>
      </c>
      <c r="E1007" s="68"/>
      <c r="F1007" s="69">
        <v>7.5</v>
      </c>
      <c r="G1007" s="70"/>
      <c r="H1007" s="71">
        <v>4.6</v>
      </c>
    </row>
    <row r="1008" ht="25.5" customHeight="1" spans="1:8">
      <c r="A1008" s="64"/>
      <c r="B1008" s="73" t="s">
        <v>1916</v>
      </c>
      <c r="C1008" s="66" t="s">
        <v>1917</v>
      </c>
      <c r="D1008" s="67">
        <v>1.5217</v>
      </c>
      <c r="E1008" s="68"/>
      <c r="F1008" s="69">
        <v>5.6</v>
      </c>
      <c r="G1008" s="70"/>
      <c r="H1008" s="71">
        <v>3.5</v>
      </c>
    </row>
    <row r="1009" customHeight="1" spans="1:8">
      <c r="A1009" s="64"/>
      <c r="B1009" s="73" t="s">
        <v>1918</v>
      </c>
      <c r="C1009" s="66" t="s">
        <v>1919</v>
      </c>
      <c r="D1009" s="67">
        <v>1.6087</v>
      </c>
      <c r="E1009" s="68"/>
      <c r="F1009" s="69">
        <v>5.9</v>
      </c>
      <c r="G1009" s="70"/>
      <c r="H1009" s="71">
        <v>3.7</v>
      </c>
    </row>
    <row r="1010" customHeight="1" spans="1:8">
      <c r="A1010" s="64"/>
      <c r="B1010" s="73" t="s">
        <v>1920</v>
      </c>
      <c r="C1010" s="66" t="s">
        <v>1921</v>
      </c>
      <c r="D1010" s="67">
        <v>2.4348</v>
      </c>
      <c r="E1010" s="68"/>
      <c r="F1010" s="69">
        <v>9</v>
      </c>
      <c r="G1010" s="70"/>
      <c r="H1010" s="71">
        <v>5.6</v>
      </c>
    </row>
    <row r="1011" customHeight="1" spans="1:8">
      <c r="A1011" s="64"/>
      <c r="B1011" s="73" t="s">
        <v>1922</v>
      </c>
      <c r="C1011" s="66" t="s">
        <v>1923</v>
      </c>
      <c r="D1011" s="67">
        <v>0.4783</v>
      </c>
      <c r="E1011" s="68"/>
      <c r="F1011" s="69">
        <v>1.7</v>
      </c>
      <c r="G1011" s="70"/>
      <c r="H1011" s="71">
        <v>1.1</v>
      </c>
    </row>
    <row r="1012" customHeight="1" spans="1:8">
      <c r="A1012" s="64"/>
      <c r="B1012" s="73" t="s">
        <v>1924</v>
      </c>
      <c r="C1012" s="66" t="s">
        <v>1925</v>
      </c>
      <c r="D1012" s="67">
        <v>0.6087</v>
      </c>
      <c r="E1012" s="68"/>
      <c r="F1012" s="69">
        <v>3</v>
      </c>
      <c r="G1012" s="70"/>
      <c r="H1012" s="71">
        <v>1.4</v>
      </c>
    </row>
    <row r="1013" customHeight="1" spans="1:8">
      <c r="A1013" s="64"/>
      <c r="B1013" s="73" t="s">
        <v>1926</v>
      </c>
      <c r="C1013" s="66" t="s">
        <v>1927</v>
      </c>
      <c r="D1013" s="67">
        <v>0.7391</v>
      </c>
      <c r="E1013" s="68"/>
      <c r="F1013" s="69">
        <v>3</v>
      </c>
      <c r="G1013" s="70"/>
      <c r="H1013" s="71">
        <v>1.7</v>
      </c>
    </row>
    <row r="1014" customHeight="1" spans="1:8">
      <c r="A1014" s="64"/>
      <c r="B1014" s="73" t="s">
        <v>1928</v>
      </c>
      <c r="C1014" s="66" t="s">
        <v>1929</v>
      </c>
      <c r="D1014" s="67">
        <v>1.1739</v>
      </c>
      <c r="E1014" s="68"/>
      <c r="F1014" s="69">
        <v>6</v>
      </c>
      <c r="G1014" s="70"/>
      <c r="H1014" s="71">
        <v>2.7</v>
      </c>
    </row>
    <row r="1015" customHeight="1" spans="1:8">
      <c r="A1015" s="64"/>
      <c r="B1015" s="73" t="s">
        <v>1930</v>
      </c>
      <c r="C1015" s="66" t="s">
        <v>1931</v>
      </c>
      <c r="D1015" s="67">
        <v>1.6522</v>
      </c>
      <c r="E1015" s="68"/>
      <c r="F1015" s="69">
        <v>6.1</v>
      </c>
      <c r="G1015" s="70"/>
      <c r="H1015" s="71">
        <v>3.8</v>
      </c>
    </row>
    <row r="1016" customHeight="1" spans="1:8">
      <c r="A1016" s="64"/>
      <c r="B1016" s="73" t="s">
        <v>1932</v>
      </c>
      <c r="C1016" s="66" t="s">
        <v>1933</v>
      </c>
      <c r="D1016" s="67">
        <v>1.913</v>
      </c>
      <c r="E1016" s="68"/>
      <c r="F1016" s="69">
        <v>7</v>
      </c>
      <c r="G1016" s="70"/>
      <c r="H1016" s="71">
        <v>4.4</v>
      </c>
    </row>
    <row r="1017" customHeight="1" spans="1:8">
      <c r="A1017" s="64"/>
      <c r="B1017" s="73" t="s">
        <v>1934</v>
      </c>
      <c r="C1017" s="66" t="s">
        <v>1935</v>
      </c>
      <c r="D1017" s="67">
        <v>1.3913</v>
      </c>
      <c r="E1017" s="68"/>
      <c r="F1017" s="69">
        <v>5.1</v>
      </c>
      <c r="G1017" s="70"/>
      <c r="H1017" s="71">
        <v>3.2</v>
      </c>
    </row>
    <row r="1018" customHeight="1" spans="1:8">
      <c r="A1018" s="64"/>
      <c r="B1018" s="73" t="s">
        <v>1936</v>
      </c>
      <c r="C1018" s="66" t="s">
        <v>1937</v>
      </c>
      <c r="D1018" s="67">
        <v>1.913</v>
      </c>
      <c r="E1018" s="68"/>
      <c r="F1018" s="69">
        <v>7</v>
      </c>
      <c r="G1018" s="70"/>
      <c r="H1018" s="71">
        <v>4.4</v>
      </c>
    </row>
    <row r="1019" customHeight="1" spans="1:8">
      <c r="A1019" s="64"/>
      <c r="B1019" s="73" t="s">
        <v>1938</v>
      </c>
      <c r="C1019" s="66" t="s">
        <v>1939</v>
      </c>
      <c r="D1019" s="67">
        <v>1.6522</v>
      </c>
      <c r="E1019" s="68"/>
      <c r="F1019" s="69">
        <v>6.1</v>
      </c>
      <c r="G1019" s="70"/>
      <c r="H1019" s="71">
        <v>3.8</v>
      </c>
    </row>
    <row r="1020" customHeight="1" spans="1:8">
      <c r="A1020" s="64"/>
      <c r="B1020" s="73" t="s">
        <v>1940</v>
      </c>
      <c r="C1020" s="66" t="s">
        <v>1941</v>
      </c>
      <c r="D1020" s="67">
        <v>1.3913</v>
      </c>
      <c r="E1020" s="68"/>
      <c r="F1020" s="69">
        <v>5.1</v>
      </c>
      <c r="G1020" s="70"/>
      <c r="H1020" s="71">
        <v>3.2</v>
      </c>
    </row>
    <row r="1021" customHeight="1" spans="1:8">
      <c r="A1021" s="64"/>
      <c r="B1021" s="73" t="s">
        <v>1942</v>
      </c>
      <c r="C1021" s="66" t="s">
        <v>1943</v>
      </c>
      <c r="D1021" s="67">
        <v>2.2174</v>
      </c>
      <c r="E1021" s="68"/>
      <c r="F1021" s="69">
        <v>8.2</v>
      </c>
      <c r="G1021" s="70"/>
      <c r="H1021" s="71">
        <v>5.1</v>
      </c>
    </row>
    <row r="1022" customHeight="1" spans="1:8">
      <c r="A1022" s="64"/>
      <c r="B1022" s="73" t="s">
        <v>1944</v>
      </c>
      <c r="C1022" s="66" t="s">
        <v>1945</v>
      </c>
      <c r="D1022" s="67">
        <v>4.913</v>
      </c>
      <c r="E1022" s="68"/>
      <c r="F1022" s="69">
        <v>18.1</v>
      </c>
      <c r="G1022" s="70"/>
      <c r="H1022" s="71">
        <v>11.3</v>
      </c>
    </row>
    <row r="1023" customHeight="1" spans="1:8">
      <c r="A1023" s="64"/>
      <c r="B1023" s="73" t="s">
        <v>1946</v>
      </c>
      <c r="C1023" s="66" t="s">
        <v>1947</v>
      </c>
      <c r="D1023" s="67">
        <v>0.2174</v>
      </c>
      <c r="E1023" s="68"/>
      <c r="F1023" s="69">
        <v>0.6</v>
      </c>
      <c r="G1023" s="70"/>
      <c r="H1023" s="71">
        <v>0.5</v>
      </c>
    </row>
    <row r="1024" customHeight="1" spans="1:8">
      <c r="A1024" s="64"/>
      <c r="B1024" s="73" t="s">
        <v>1948</v>
      </c>
      <c r="C1024" s="66" t="s">
        <v>1949</v>
      </c>
      <c r="D1024" s="67">
        <v>0.2609</v>
      </c>
      <c r="E1024" s="68"/>
      <c r="F1024" s="69">
        <v>1</v>
      </c>
      <c r="G1024" s="70"/>
      <c r="H1024" s="71">
        <v>0.6</v>
      </c>
    </row>
    <row r="1025" customHeight="1" spans="1:8">
      <c r="A1025" s="64"/>
      <c r="B1025" s="73" t="s">
        <v>1950</v>
      </c>
      <c r="C1025" s="66" t="s">
        <v>1951</v>
      </c>
      <c r="D1025" s="67">
        <v>7.4913</v>
      </c>
      <c r="E1025" s="68"/>
      <c r="F1025" s="69">
        <v>28</v>
      </c>
      <c r="G1025" s="70"/>
      <c r="H1025" s="71">
        <v>17.23</v>
      </c>
    </row>
    <row r="1026" customHeight="1" spans="1:8">
      <c r="A1026" s="64"/>
      <c r="B1026" s="73" t="s">
        <v>1952</v>
      </c>
      <c r="C1026" s="66" t="s">
        <v>1953</v>
      </c>
      <c r="D1026" s="67">
        <v>6.6522</v>
      </c>
      <c r="E1026" s="68"/>
      <c r="F1026" s="69">
        <v>24.4</v>
      </c>
      <c r="G1026" s="70"/>
      <c r="H1026" s="71">
        <v>15.3</v>
      </c>
    </row>
    <row r="1027" customHeight="1" spans="1:8">
      <c r="A1027" s="64"/>
      <c r="B1027" s="73" t="s">
        <v>1954</v>
      </c>
      <c r="C1027" s="66" t="s">
        <v>1955</v>
      </c>
      <c r="D1027" s="82">
        <v>10.4783</v>
      </c>
      <c r="E1027" s="83"/>
      <c r="F1027" s="69">
        <v>38.5</v>
      </c>
      <c r="G1027" s="70"/>
      <c r="H1027" s="71">
        <v>24.1</v>
      </c>
    </row>
    <row r="1028" customHeight="1" spans="1:8">
      <c r="A1028" s="64"/>
      <c r="B1028" s="73" t="s">
        <v>1956</v>
      </c>
      <c r="C1028" s="66" t="s">
        <v>1957</v>
      </c>
      <c r="D1028" s="82">
        <v>13.1304</v>
      </c>
      <c r="E1028" s="83"/>
      <c r="F1028" s="69">
        <v>48.5</v>
      </c>
      <c r="G1028" s="70"/>
      <c r="H1028" s="71">
        <v>30.2</v>
      </c>
    </row>
    <row r="1029" ht="25.5" customHeight="1" spans="1:8">
      <c r="A1029" s="64"/>
      <c r="B1029" s="65">
        <v>6933890371353</v>
      </c>
      <c r="C1029" s="66" t="s">
        <v>1958</v>
      </c>
      <c r="D1029" s="67">
        <v>1.7391</v>
      </c>
      <c r="E1029" s="68"/>
      <c r="F1029" s="69">
        <v>6</v>
      </c>
      <c r="G1029" s="70"/>
      <c r="H1029" s="71">
        <v>4</v>
      </c>
    </row>
    <row r="1030" customHeight="1" spans="1:8">
      <c r="A1030" s="64"/>
      <c r="B1030" s="73" t="s">
        <v>1959</v>
      </c>
      <c r="C1030" s="66" t="s">
        <v>1960</v>
      </c>
      <c r="D1030" s="67">
        <v>0.3043</v>
      </c>
      <c r="E1030" s="68"/>
      <c r="F1030" s="69">
        <v>1.1</v>
      </c>
      <c r="G1030" s="70"/>
      <c r="H1030" s="71">
        <v>0.7</v>
      </c>
    </row>
    <row r="1031" customHeight="1" spans="1:8">
      <c r="A1031" s="64"/>
      <c r="B1031" s="73" t="s">
        <v>1961</v>
      </c>
      <c r="C1031" s="66" t="s">
        <v>1962</v>
      </c>
      <c r="D1031" s="67">
        <v>0.8261</v>
      </c>
      <c r="E1031" s="68"/>
      <c r="F1031" s="69">
        <v>3.1</v>
      </c>
      <c r="G1031" s="70"/>
      <c r="H1031" s="71">
        <v>1.9</v>
      </c>
    </row>
    <row r="1032" customHeight="1" spans="1:8">
      <c r="A1032" s="64"/>
      <c r="B1032" s="73" t="s">
        <v>1963</v>
      </c>
      <c r="C1032" s="66" t="s">
        <v>1964</v>
      </c>
      <c r="D1032" s="67">
        <v>0.1739</v>
      </c>
      <c r="E1032" s="68"/>
      <c r="F1032" s="69">
        <v>0.6</v>
      </c>
      <c r="G1032" s="70"/>
      <c r="H1032" s="71">
        <v>0.4</v>
      </c>
    </row>
    <row r="1033" ht="22.5" spans="1:8">
      <c r="A1033" s="74"/>
      <c r="B1033" s="81" t="s">
        <v>1965</v>
      </c>
      <c r="C1033" s="66" t="s">
        <v>1966</v>
      </c>
      <c r="D1033" s="67">
        <v>0.4348</v>
      </c>
      <c r="E1033" s="68"/>
      <c r="F1033" s="69">
        <v>1</v>
      </c>
      <c r="G1033" s="70"/>
      <c r="H1033" s="71">
        <v>0.5</v>
      </c>
    </row>
    <row r="1034" ht="25.5" customHeight="1" spans="1:8">
      <c r="A1034" s="75"/>
      <c r="B1034" s="73" t="s">
        <v>1967</v>
      </c>
      <c r="C1034" s="66" t="s">
        <v>1966</v>
      </c>
      <c r="D1034" s="67">
        <v>0.1304</v>
      </c>
      <c r="E1034" s="68"/>
      <c r="F1034" s="69">
        <v>1</v>
      </c>
      <c r="G1034" s="70"/>
      <c r="H1034" s="71">
        <v>0.5</v>
      </c>
    </row>
    <row r="1035" spans="1:8">
      <c r="A1035" s="64"/>
      <c r="B1035" s="73" t="s">
        <v>1968</v>
      </c>
      <c r="C1035" s="66" t="s">
        <v>1969</v>
      </c>
      <c r="D1035" s="67">
        <v>2.1739</v>
      </c>
      <c r="E1035" s="68"/>
      <c r="F1035" s="69">
        <v>5</v>
      </c>
      <c r="G1035" s="70"/>
      <c r="H1035" s="71">
        <v>4</v>
      </c>
    </row>
    <row r="1036" customHeight="1" spans="1:8">
      <c r="A1036" s="64"/>
      <c r="B1036" s="73" t="s">
        <v>1970</v>
      </c>
      <c r="C1036" s="66" t="s">
        <v>1971</v>
      </c>
      <c r="D1036" s="67">
        <v>1.087</v>
      </c>
      <c r="E1036" s="68"/>
      <c r="F1036" s="69">
        <v>5</v>
      </c>
      <c r="G1036" s="70"/>
      <c r="H1036" s="71">
        <v>2.5</v>
      </c>
    </row>
    <row r="1037" ht="25.5" customHeight="1" spans="1:8">
      <c r="A1037" s="64"/>
      <c r="B1037" s="73" t="s">
        <v>1972</v>
      </c>
      <c r="C1037" s="66" t="s">
        <v>1973</v>
      </c>
      <c r="D1037" s="67">
        <v>0.4348</v>
      </c>
      <c r="E1037" s="68"/>
      <c r="F1037" s="69">
        <v>1.6</v>
      </c>
      <c r="G1037" s="70"/>
      <c r="H1037" s="71">
        <v>1</v>
      </c>
    </row>
    <row r="1038" customHeight="1" spans="1:8">
      <c r="A1038" s="64"/>
      <c r="B1038" s="73" t="s">
        <v>1974</v>
      </c>
      <c r="C1038" s="66" t="s">
        <v>1975</v>
      </c>
      <c r="D1038" s="67">
        <v>0.6522</v>
      </c>
      <c r="E1038" s="68"/>
      <c r="F1038" s="69">
        <v>2</v>
      </c>
      <c r="G1038" s="70"/>
      <c r="H1038" s="71">
        <v>1.5</v>
      </c>
    </row>
    <row r="1039" ht="25.5" customHeight="1" spans="1:8">
      <c r="A1039" s="64"/>
      <c r="B1039" s="73" t="s">
        <v>1976</v>
      </c>
      <c r="C1039" s="66" t="s">
        <v>1977</v>
      </c>
      <c r="D1039" s="67">
        <v>0.2174</v>
      </c>
      <c r="E1039" s="68"/>
      <c r="F1039" s="69">
        <v>1</v>
      </c>
      <c r="G1039" s="70"/>
      <c r="H1039" s="71">
        <v>0.5</v>
      </c>
    </row>
    <row r="1040" ht="25.5" customHeight="1" spans="1:8">
      <c r="A1040" s="64"/>
      <c r="B1040" s="73" t="s">
        <v>1978</v>
      </c>
      <c r="C1040" s="66" t="s">
        <v>1979</v>
      </c>
      <c r="D1040" s="67">
        <v>0.2174</v>
      </c>
      <c r="E1040" s="68"/>
      <c r="F1040" s="69">
        <v>0.8</v>
      </c>
      <c r="G1040" s="70"/>
      <c r="H1040" s="71">
        <v>0.5</v>
      </c>
    </row>
    <row r="1041" customHeight="1" spans="1:8">
      <c r="A1041" s="64"/>
      <c r="B1041" s="73" t="s">
        <v>1980</v>
      </c>
      <c r="C1041" s="66" t="s">
        <v>1981</v>
      </c>
      <c r="D1041" s="67">
        <v>0.2174</v>
      </c>
      <c r="E1041" s="68"/>
      <c r="F1041" s="69">
        <v>1</v>
      </c>
      <c r="G1041" s="70"/>
      <c r="H1041" s="71">
        <v>0.5</v>
      </c>
    </row>
    <row r="1042" ht="25.5" customHeight="1" spans="1:8">
      <c r="A1042" s="64"/>
      <c r="B1042" s="73" t="s">
        <v>1982</v>
      </c>
      <c r="C1042" s="66" t="s">
        <v>1983</v>
      </c>
      <c r="D1042" s="67">
        <v>0.2174</v>
      </c>
      <c r="E1042" s="68"/>
      <c r="F1042" s="69">
        <v>0.8</v>
      </c>
      <c r="G1042" s="70"/>
      <c r="H1042" s="71">
        <v>0.5</v>
      </c>
    </row>
    <row r="1043" ht="25.5" customHeight="1" spans="1:8">
      <c r="A1043" s="64"/>
      <c r="B1043" s="73" t="s">
        <v>1984</v>
      </c>
      <c r="C1043" s="66" t="s">
        <v>1985</v>
      </c>
      <c r="D1043" s="67">
        <v>0.2174</v>
      </c>
      <c r="E1043" s="68"/>
      <c r="F1043" s="69">
        <v>1</v>
      </c>
      <c r="G1043" s="70"/>
      <c r="H1043" s="71">
        <v>0.5</v>
      </c>
    </row>
    <row r="1044" customHeight="1" spans="1:8">
      <c r="A1044" s="64"/>
      <c r="B1044" s="73" t="s">
        <v>1986</v>
      </c>
      <c r="C1044" s="66" t="s">
        <v>1987</v>
      </c>
      <c r="D1044" s="67">
        <v>0.3913</v>
      </c>
      <c r="E1044" s="68"/>
      <c r="F1044" s="69">
        <v>1</v>
      </c>
      <c r="G1044" s="70"/>
      <c r="H1044" s="71">
        <v>0.9</v>
      </c>
    </row>
    <row r="1045" customHeight="1" spans="1:8">
      <c r="A1045" s="64"/>
      <c r="B1045" s="73" t="s">
        <v>1988</v>
      </c>
      <c r="C1045" s="66" t="s">
        <v>1989</v>
      </c>
      <c r="D1045" s="67">
        <v>0.1304</v>
      </c>
      <c r="E1045" s="68"/>
      <c r="F1045" s="69">
        <v>0.5</v>
      </c>
      <c r="G1045" s="70"/>
      <c r="H1045" s="71">
        <v>0.3</v>
      </c>
    </row>
    <row r="1046" customHeight="1" spans="1:8">
      <c r="A1046" s="64"/>
      <c r="B1046" s="73" t="s">
        <v>1990</v>
      </c>
      <c r="C1046" s="66" t="s">
        <v>1991</v>
      </c>
      <c r="D1046" s="67">
        <v>0.2174</v>
      </c>
      <c r="E1046" s="68"/>
      <c r="F1046" s="69">
        <v>1</v>
      </c>
      <c r="G1046" s="70"/>
      <c r="H1046" s="71">
        <v>0.5</v>
      </c>
    </row>
    <row r="1047" ht="25.5" customHeight="1" spans="1:8">
      <c r="A1047" s="64"/>
      <c r="B1047" s="73" t="s">
        <v>1992</v>
      </c>
      <c r="C1047" s="66" t="s">
        <v>1993</v>
      </c>
      <c r="D1047" s="67">
        <v>0.2174</v>
      </c>
      <c r="E1047" s="68"/>
      <c r="F1047" s="69">
        <v>1</v>
      </c>
      <c r="G1047" s="70"/>
      <c r="H1047" s="71">
        <v>0.5</v>
      </c>
    </row>
    <row r="1048" customHeight="1" spans="1:8">
      <c r="A1048" s="64"/>
      <c r="B1048" s="73" t="s">
        <v>1994</v>
      </c>
      <c r="C1048" s="66" t="s">
        <v>1995</v>
      </c>
      <c r="D1048" s="67">
        <v>0.1304</v>
      </c>
      <c r="E1048" s="68"/>
      <c r="F1048" s="69">
        <v>0.5</v>
      </c>
      <c r="G1048" s="70"/>
      <c r="H1048" s="71">
        <v>0.3</v>
      </c>
    </row>
    <row r="1049" ht="25.5" customHeight="1" spans="1:8">
      <c r="A1049" s="64"/>
      <c r="B1049" s="73" t="s">
        <v>1996</v>
      </c>
      <c r="C1049" s="66" t="s">
        <v>1997</v>
      </c>
      <c r="D1049" s="67">
        <v>0.4348</v>
      </c>
      <c r="E1049" s="68"/>
      <c r="F1049" s="69">
        <v>1.7</v>
      </c>
      <c r="G1049" s="70"/>
      <c r="H1049" s="71">
        <v>1</v>
      </c>
    </row>
    <row r="1050" ht="25.5" customHeight="1" spans="1:8">
      <c r="A1050" s="64"/>
      <c r="B1050" s="73" t="s">
        <v>1998</v>
      </c>
      <c r="C1050" s="66" t="s">
        <v>1999</v>
      </c>
      <c r="D1050" s="67">
        <v>0.087</v>
      </c>
      <c r="E1050" s="68"/>
      <c r="F1050" s="69">
        <v>0.5</v>
      </c>
      <c r="G1050" s="70"/>
      <c r="H1050" s="71">
        <v>0.2</v>
      </c>
    </row>
    <row r="1051" customHeight="1" spans="1:8">
      <c r="A1051" s="64"/>
      <c r="B1051" s="73" t="s">
        <v>2000</v>
      </c>
      <c r="C1051" s="66" t="s">
        <v>2001</v>
      </c>
      <c r="D1051" s="67">
        <v>0.4348</v>
      </c>
      <c r="E1051" s="68"/>
      <c r="F1051" s="69">
        <v>1.5</v>
      </c>
      <c r="G1051" s="70"/>
      <c r="H1051" s="71">
        <v>1</v>
      </c>
    </row>
    <row r="1052" ht="25.5" customHeight="1" spans="1:8">
      <c r="A1052" s="64"/>
      <c r="B1052" s="73" t="s">
        <v>2002</v>
      </c>
      <c r="C1052" s="66" t="s">
        <v>2003</v>
      </c>
      <c r="D1052" s="67">
        <v>0.4348</v>
      </c>
      <c r="E1052" s="68"/>
      <c r="F1052" s="69">
        <v>1.5</v>
      </c>
      <c r="G1052" s="70"/>
      <c r="H1052" s="71">
        <v>1</v>
      </c>
    </row>
    <row r="1053" customHeight="1" spans="1:8">
      <c r="A1053" s="64"/>
      <c r="B1053" s="73" t="s">
        <v>2004</v>
      </c>
      <c r="C1053" s="66" t="s">
        <v>2005</v>
      </c>
      <c r="D1053" s="67">
        <v>0.2174</v>
      </c>
      <c r="E1053" s="68"/>
      <c r="F1053" s="69">
        <v>0.8</v>
      </c>
      <c r="G1053" s="70"/>
      <c r="H1053" s="71">
        <v>0.5</v>
      </c>
    </row>
    <row r="1054" customHeight="1" spans="1:8">
      <c r="A1054" s="64"/>
      <c r="B1054" s="73" t="s">
        <v>2006</v>
      </c>
      <c r="C1054" s="66" t="s">
        <v>2007</v>
      </c>
      <c r="D1054" s="67">
        <v>1.087</v>
      </c>
      <c r="E1054" s="68"/>
      <c r="F1054" s="69">
        <v>3</v>
      </c>
      <c r="G1054" s="70"/>
      <c r="H1054" s="71">
        <v>2.5</v>
      </c>
    </row>
    <row r="1055" customHeight="1" spans="1:8">
      <c r="A1055" s="64"/>
      <c r="B1055" s="73" t="s">
        <v>2008</v>
      </c>
      <c r="C1055" s="66" t="s">
        <v>2009</v>
      </c>
      <c r="D1055" s="67">
        <v>0.0435</v>
      </c>
      <c r="E1055" s="68"/>
      <c r="F1055" s="69">
        <v>0.25</v>
      </c>
      <c r="G1055" s="70"/>
      <c r="H1055" s="71">
        <v>0.1</v>
      </c>
    </row>
    <row r="1056" customHeight="1" spans="1:8">
      <c r="A1056" s="64"/>
      <c r="B1056" s="73" t="s">
        <v>2010</v>
      </c>
      <c r="C1056" s="66" t="s">
        <v>2011</v>
      </c>
      <c r="D1056" s="67">
        <v>1.3043</v>
      </c>
      <c r="E1056" s="68"/>
      <c r="F1056" s="69">
        <v>4</v>
      </c>
      <c r="G1056" s="70"/>
      <c r="H1056" s="71">
        <v>3</v>
      </c>
    </row>
    <row r="1057" customHeight="1" spans="1:8">
      <c r="A1057" s="64"/>
      <c r="B1057" s="73" t="s">
        <v>2012</v>
      </c>
      <c r="C1057" s="66" t="s">
        <v>2013</v>
      </c>
      <c r="D1057" s="67">
        <v>4</v>
      </c>
      <c r="E1057" s="68"/>
      <c r="F1057" s="69">
        <v>14.6</v>
      </c>
      <c r="G1057" s="70"/>
      <c r="H1057" s="71">
        <v>9.2</v>
      </c>
    </row>
    <row r="1058" customHeight="1" spans="1:8">
      <c r="A1058" s="74"/>
      <c r="B1058" s="73" t="s">
        <v>2014</v>
      </c>
      <c r="C1058" s="66" t="s">
        <v>2015</v>
      </c>
      <c r="D1058" s="67">
        <v>0.1304</v>
      </c>
      <c r="E1058" s="68"/>
      <c r="F1058" s="69">
        <v>0.4</v>
      </c>
      <c r="G1058" s="70"/>
      <c r="H1058" s="71">
        <v>0.3</v>
      </c>
    </row>
    <row r="1059" customHeight="1" spans="1:8">
      <c r="A1059" s="75"/>
      <c r="B1059" s="73" t="s">
        <v>2016</v>
      </c>
      <c r="C1059" s="66" t="s">
        <v>2015</v>
      </c>
      <c r="D1059" s="67">
        <v>0.3913</v>
      </c>
      <c r="E1059" s="68"/>
      <c r="F1059" s="69">
        <v>1.4</v>
      </c>
      <c r="G1059" s="70"/>
      <c r="H1059" s="71">
        <v>0.9</v>
      </c>
    </row>
    <row r="1060" customHeight="1" spans="1:8">
      <c r="A1060" s="64"/>
      <c r="B1060" s="73" t="s">
        <v>2017</v>
      </c>
      <c r="C1060" s="66" t="s">
        <v>2018</v>
      </c>
      <c r="D1060" s="67">
        <v>0.087</v>
      </c>
      <c r="E1060" s="68"/>
      <c r="F1060" s="69">
        <v>0.3</v>
      </c>
      <c r="G1060" s="70"/>
      <c r="H1060" s="71">
        <v>0.2</v>
      </c>
    </row>
    <row r="1061" customHeight="1" spans="1:8">
      <c r="A1061" s="64"/>
      <c r="B1061" s="73" t="s">
        <v>2019</v>
      </c>
      <c r="C1061" s="66" t="s">
        <v>2020</v>
      </c>
      <c r="D1061" s="67">
        <v>0.0435</v>
      </c>
      <c r="E1061" s="68"/>
      <c r="F1061" s="69">
        <v>0.25</v>
      </c>
      <c r="G1061" s="70"/>
      <c r="H1061" s="71">
        <v>0.1</v>
      </c>
    </row>
    <row r="1062" customHeight="1" spans="1:8">
      <c r="A1062" s="64"/>
      <c r="B1062" s="73" t="s">
        <v>2021</v>
      </c>
      <c r="C1062" s="66" t="s">
        <v>2022</v>
      </c>
      <c r="D1062" s="67">
        <v>0.0435</v>
      </c>
      <c r="E1062" s="68"/>
      <c r="F1062" s="69">
        <v>0.25</v>
      </c>
      <c r="G1062" s="70"/>
      <c r="H1062" s="71">
        <v>0.1</v>
      </c>
    </row>
    <row r="1063" ht="25.5" customHeight="1" spans="1:8">
      <c r="A1063" s="64"/>
      <c r="B1063" s="73" t="s">
        <v>2023</v>
      </c>
      <c r="C1063" s="66" t="s">
        <v>2024</v>
      </c>
      <c r="D1063" s="67">
        <v>3.913</v>
      </c>
      <c r="E1063" s="68"/>
      <c r="F1063" s="69">
        <v>10</v>
      </c>
      <c r="G1063" s="70"/>
      <c r="H1063" s="71">
        <v>9</v>
      </c>
    </row>
    <row r="1064" customHeight="1" spans="1:8">
      <c r="A1064" s="64"/>
      <c r="B1064" s="73" t="s">
        <v>2025</v>
      </c>
      <c r="C1064" s="66" t="s">
        <v>2026</v>
      </c>
      <c r="D1064" s="67">
        <v>0.0652</v>
      </c>
      <c r="E1064" s="68"/>
      <c r="F1064" s="69">
        <v>0.25</v>
      </c>
      <c r="G1064" s="70"/>
      <c r="H1064" s="71">
        <v>0.15</v>
      </c>
    </row>
    <row r="1065" customHeight="1" spans="1:8">
      <c r="A1065" s="64"/>
      <c r="B1065" s="73" t="s">
        <v>2027</v>
      </c>
      <c r="C1065" s="66" t="s">
        <v>2028</v>
      </c>
      <c r="D1065" s="67">
        <v>2.2609</v>
      </c>
      <c r="E1065" s="68"/>
      <c r="F1065" s="69">
        <v>8.3</v>
      </c>
      <c r="G1065" s="70"/>
      <c r="H1065" s="71">
        <v>5.2</v>
      </c>
    </row>
    <row r="1066" customHeight="1" spans="1:8">
      <c r="A1066" s="64"/>
      <c r="B1066" s="73" t="s">
        <v>2029</v>
      </c>
      <c r="C1066" s="66" t="s">
        <v>2030</v>
      </c>
      <c r="D1066" s="67">
        <v>2.5217</v>
      </c>
      <c r="E1066" s="68"/>
      <c r="F1066" s="69">
        <v>9.2</v>
      </c>
      <c r="G1066" s="70"/>
      <c r="H1066" s="71">
        <v>5.8</v>
      </c>
    </row>
    <row r="1067" customHeight="1" spans="1:8">
      <c r="A1067" s="64"/>
      <c r="B1067" s="73" t="s">
        <v>2031</v>
      </c>
      <c r="C1067" s="66" t="s">
        <v>2032</v>
      </c>
      <c r="D1067" s="67">
        <v>0.0435</v>
      </c>
      <c r="E1067" s="68"/>
      <c r="F1067" s="69">
        <v>0.25</v>
      </c>
      <c r="G1067" s="70"/>
      <c r="H1067" s="71">
        <v>0.1</v>
      </c>
    </row>
    <row r="1068" customHeight="1" spans="1:8">
      <c r="A1068" s="64"/>
      <c r="B1068" s="73" t="s">
        <v>2033</v>
      </c>
      <c r="C1068" s="66" t="s">
        <v>2034</v>
      </c>
      <c r="D1068" s="67">
        <v>0.1304</v>
      </c>
      <c r="E1068" s="68"/>
      <c r="F1068" s="69">
        <v>0.4</v>
      </c>
      <c r="G1068" s="70"/>
      <c r="H1068" s="71">
        <v>0.3</v>
      </c>
    </row>
    <row r="1069" customHeight="1" spans="1:8">
      <c r="A1069" s="64"/>
      <c r="B1069" s="73" t="s">
        <v>2035</v>
      </c>
      <c r="C1069" s="66" t="s">
        <v>2036</v>
      </c>
      <c r="D1069" s="67">
        <v>1.3478</v>
      </c>
      <c r="E1069" s="68"/>
      <c r="F1069" s="69">
        <v>5</v>
      </c>
      <c r="G1069" s="70"/>
      <c r="H1069" s="71">
        <v>3.1</v>
      </c>
    </row>
    <row r="1070" ht="25.5" customHeight="1" spans="1:8">
      <c r="A1070" s="64"/>
      <c r="B1070" s="73" t="s">
        <v>2037</v>
      </c>
      <c r="C1070" s="66" t="s">
        <v>2038</v>
      </c>
      <c r="D1070" s="67">
        <v>0.1304</v>
      </c>
      <c r="E1070" s="68"/>
      <c r="F1070" s="69">
        <v>0.7</v>
      </c>
      <c r="G1070" s="70"/>
      <c r="H1070" s="71">
        <v>0.3</v>
      </c>
    </row>
    <row r="1071" ht="25.5" customHeight="1" spans="1:8">
      <c r="A1071" s="64"/>
      <c r="B1071" s="73" t="s">
        <v>2039</v>
      </c>
      <c r="C1071" s="66" t="s">
        <v>2040</v>
      </c>
      <c r="D1071" s="67">
        <v>0.7391</v>
      </c>
      <c r="E1071" s="68"/>
      <c r="F1071" s="69">
        <v>2.7</v>
      </c>
      <c r="G1071" s="70"/>
      <c r="H1071" s="71">
        <v>1.7</v>
      </c>
    </row>
    <row r="1072" customHeight="1" spans="1:8">
      <c r="A1072" s="64"/>
      <c r="B1072" s="73" t="s">
        <v>2041</v>
      </c>
      <c r="C1072" s="66" t="s">
        <v>2042</v>
      </c>
      <c r="D1072" s="67">
        <v>0.8696</v>
      </c>
      <c r="E1072" s="68"/>
      <c r="F1072" s="69">
        <v>2.5</v>
      </c>
      <c r="G1072" s="70"/>
      <c r="H1072" s="71">
        <v>2</v>
      </c>
    </row>
    <row r="1073" customHeight="1" spans="1:8">
      <c r="A1073" s="64"/>
      <c r="B1073" s="73" t="s">
        <v>2043</v>
      </c>
      <c r="C1073" s="66" t="s">
        <v>2044</v>
      </c>
      <c r="D1073" s="67">
        <v>0.8261</v>
      </c>
      <c r="E1073" s="68"/>
      <c r="F1073" s="69">
        <v>3</v>
      </c>
      <c r="G1073" s="70"/>
      <c r="H1073" s="71">
        <v>1.9</v>
      </c>
    </row>
    <row r="1074" customHeight="1" spans="1:8">
      <c r="A1074" s="64"/>
      <c r="B1074" s="73" t="s">
        <v>2045</v>
      </c>
      <c r="C1074" s="66" t="s">
        <v>2046</v>
      </c>
      <c r="D1074" s="67">
        <v>0.1739</v>
      </c>
      <c r="E1074" s="68"/>
      <c r="F1074" s="69">
        <v>0.6</v>
      </c>
      <c r="G1074" s="70"/>
      <c r="H1074" s="71">
        <v>0.4</v>
      </c>
    </row>
    <row r="1075" customHeight="1" spans="1:8">
      <c r="A1075" s="64"/>
      <c r="B1075" s="73" t="s">
        <v>2047</v>
      </c>
      <c r="C1075" s="66" t="s">
        <v>2048</v>
      </c>
      <c r="D1075" s="67">
        <v>0.7826</v>
      </c>
      <c r="E1075" s="68"/>
      <c r="F1075" s="69">
        <v>2.8</v>
      </c>
      <c r="G1075" s="70"/>
      <c r="H1075" s="71">
        <v>1.8</v>
      </c>
    </row>
    <row r="1076" customHeight="1" spans="1:8">
      <c r="A1076" s="64"/>
      <c r="B1076" s="103" t="s">
        <v>2049</v>
      </c>
      <c r="C1076" s="104" t="s">
        <v>2050</v>
      </c>
      <c r="D1076" s="67">
        <v>0.6522</v>
      </c>
      <c r="E1076" s="68"/>
      <c r="F1076" s="105">
        <v>2</v>
      </c>
      <c r="G1076" s="106"/>
      <c r="H1076" s="107">
        <v>1.5</v>
      </c>
    </row>
    <row r="1077" customHeight="1" spans="1:8">
      <c r="A1077" s="64"/>
      <c r="B1077" s="73" t="s">
        <v>2051</v>
      </c>
      <c r="C1077" s="66" t="s">
        <v>2052</v>
      </c>
      <c r="D1077" s="67">
        <v>0.4783</v>
      </c>
      <c r="E1077" s="68"/>
      <c r="F1077" s="69">
        <v>2</v>
      </c>
      <c r="G1077" s="70"/>
      <c r="H1077" s="71">
        <v>1.1</v>
      </c>
    </row>
    <row r="1078" customHeight="1" spans="1:8">
      <c r="A1078" s="64"/>
      <c r="B1078" s="73" t="s">
        <v>2053</v>
      </c>
      <c r="C1078" s="66" t="s">
        <v>2054</v>
      </c>
      <c r="D1078" s="67">
        <v>1.7391</v>
      </c>
      <c r="E1078" s="68"/>
      <c r="F1078" s="69">
        <v>6.5</v>
      </c>
      <c r="G1078" s="70"/>
      <c r="H1078" s="71">
        <v>4</v>
      </c>
    </row>
    <row r="1079" customHeight="1" spans="1:8">
      <c r="A1079" s="64"/>
      <c r="B1079" s="73" t="s">
        <v>2055</v>
      </c>
      <c r="C1079" s="66" t="s">
        <v>2056</v>
      </c>
      <c r="D1079" s="67">
        <v>0.5652</v>
      </c>
      <c r="E1079" s="68"/>
      <c r="F1079" s="69">
        <v>2.1</v>
      </c>
      <c r="G1079" s="70"/>
      <c r="H1079" s="71">
        <v>1.3</v>
      </c>
    </row>
    <row r="1080" customHeight="1" spans="1:8">
      <c r="A1080" s="64"/>
      <c r="B1080" s="73" t="s">
        <v>2057</v>
      </c>
      <c r="C1080" s="66" t="s">
        <v>2058</v>
      </c>
      <c r="D1080" s="67">
        <v>0.5217</v>
      </c>
      <c r="E1080" s="68"/>
      <c r="F1080" s="69">
        <v>2</v>
      </c>
      <c r="G1080" s="70"/>
      <c r="H1080" s="71">
        <v>1.2</v>
      </c>
    </row>
    <row r="1081" customHeight="1" spans="1:8">
      <c r="A1081" s="64"/>
      <c r="B1081" s="73" t="s">
        <v>2059</v>
      </c>
      <c r="C1081" s="66" t="s">
        <v>2060</v>
      </c>
      <c r="D1081" s="67">
        <v>0.5435</v>
      </c>
      <c r="E1081" s="68"/>
      <c r="F1081" s="69">
        <v>2</v>
      </c>
      <c r="G1081" s="70"/>
      <c r="H1081" s="71">
        <v>1.25</v>
      </c>
    </row>
    <row r="1082" customHeight="1" spans="1:8">
      <c r="A1082" s="64"/>
      <c r="B1082" s="73" t="s">
        <v>2061</v>
      </c>
      <c r="C1082" s="66" t="s">
        <v>2062</v>
      </c>
      <c r="D1082" s="67">
        <v>0.4783</v>
      </c>
      <c r="E1082" s="68"/>
      <c r="F1082" s="69">
        <v>2</v>
      </c>
      <c r="G1082" s="70"/>
      <c r="H1082" s="71">
        <v>1.1</v>
      </c>
    </row>
    <row r="1083" customHeight="1" spans="1:8">
      <c r="A1083" s="64"/>
      <c r="B1083" s="73" t="s">
        <v>2063</v>
      </c>
      <c r="C1083" s="66" t="s">
        <v>2064</v>
      </c>
      <c r="D1083" s="67">
        <v>2.1304</v>
      </c>
      <c r="E1083" s="68"/>
      <c r="F1083" s="69">
        <v>7.8</v>
      </c>
      <c r="G1083" s="70"/>
      <c r="H1083" s="71">
        <v>4.9</v>
      </c>
    </row>
    <row r="1084" customHeight="1" spans="1:8">
      <c r="A1084" s="64"/>
      <c r="B1084" s="73" t="s">
        <v>2065</v>
      </c>
      <c r="C1084" s="66" t="s">
        <v>2066</v>
      </c>
      <c r="D1084" s="67">
        <v>1.2609</v>
      </c>
      <c r="E1084" s="68"/>
      <c r="F1084" s="69">
        <v>5</v>
      </c>
      <c r="G1084" s="70"/>
      <c r="H1084" s="71">
        <v>2.9</v>
      </c>
    </row>
    <row r="1085" customHeight="1" spans="1:8">
      <c r="A1085" s="64"/>
      <c r="B1085" s="73" t="s">
        <v>2067</v>
      </c>
      <c r="C1085" s="66" t="s">
        <v>2068</v>
      </c>
      <c r="D1085" s="67">
        <v>1.6957</v>
      </c>
      <c r="E1085" s="68"/>
      <c r="F1085" s="69">
        <v>6.2</v>
      </c>
      <c r="G1085" s="70"/>
      <c r="H1085" s="71">
        <v>3.9</v>
      </c>
    </row>
    <row r="1086" customHeight="1" spans="1:8">
      <c r="A1086" s="64"/>
      <c r="B1086" s="73" t="s">
        <v>2069</v>
      </c>
      <c r="C1086" s="66" t="s">
        <v>2070</v>
      </c>
      <c r="D1086" s="67">
        <v>0.6087</v>
      </c>
      <c r="E1086" s="68"/>
      <c r="F1086" s="69">
        <v>2.8</v>
      </c>
      <c r="G1086" s="70"/>
      <c r="H1086" s="71">
        <v>1.4</v>
      </c>
    </row>
    <row r="1087" spans="1:8">
      <c r="A1087" s="64"/>
      <c r="B1087" s="73" t="s">
        <v>2071</v>
      </c>
      <c r="C1087" s="66" t="s">
        <v>2072</v>
      </c>
      <c r="D1087" s="67">
        <v>1.5217</v>
      </c>
      <c r="E1087" s="68"/>
      <c r="F1087" s="69">
        <v>3.5</v>
      </c>
      <c r="G1087" s="70"/>
      <c r="H1087" s="71">
        <v>2.5</v>
      </c>
    </row>
    <row r="1088" customHeight="1" spans="1:8">
      <c r="A1088" s="64"/>
      <c r="B1088" s="73" t="s">
        <v>2073</v>
      </c>
      <c r="C1088" s="66" t="s">
        <v>2074</v>
      </c>
      <c r="D1088" s="67">
        <v>0.1739</v>
      </c>
      <c r="E1088" s="68"/>
      <c r="F1088" s="69">
        <v>0.6</v>
      </c>
      <c r="G1088" s="70"/>
      <c r="H1088" s="71">
        <v>0.4</v>
      </c>
    </row>
    <row r="1089" customHeight="1" spans="1:8">
      <c r="A1089" s="64"/>
      <c r="B1089" s="73" t="s">
        <v>2075</v>
      </c>
      <c r="C1089" s="66" t="s">
        <v>2076</v>
      </c>
      <c r="D1089" s="67">
        <v>0.1304</v>
      </c>
      <c r="E1089" s="68"/>
      <c r="F1089" s="69">
        <v>0.5</v>
      </c>
      <c r="G1089" s="70"/>
      <c r="H1089" s="71">
        <v>0.3</v>
      </c>
    </row>
    <row r="1090" customHeight="1" spans="1:8">
      <c r="A1090" s="64"/>
      <c r="B1090" s="103" t="s">
        <v>2077</v>
      </c>
      <c r="C1090" s="104" t="s">
        <v>2078</v>
      </c>
      <c r="D1090" s="67">
        <v>0.1304</v>
      </c>
      <c r="E1090" s="68"/>
      <c r="F1090" s="105">
        <v>0.5</v>
      </c>
      <c r="G1090" s="106"/>
      <c r="H1090" s="107">
        <v>0.3</v>
      </c>
    </row>
    <row r="1091" customHeight="1" spans="1:8">
      <c r="A1091" s="64"/>
      <c r="B1091" s="73" t="s">
        <v>2079</v>
      </c>
      <c r="C1091" s="66" t="s">
        <v>2080</v>
      </c>
      <c r="D1091" s="67">
        <v>0.3043</v>
      </c>
      <c r="E1091" s="68"/>
      <c r="F1091" s="69">
        <v>1</v>
      </c>
      <c r="G1091" s="70"/>
      <c r="H1091" s="71">
        <v>0.7</v>
      </c>
    </row>
    <row r="1092" customHeight="1" spans="1:8">
      <c r="A1092" s="64"/>
      <c r="B1092" s="73" t="s">
        <v>2081</v>
      </c>
      <c r="C1092" s="66" t="s">
        <v>2082</v>
      </c>
      <c r="D1092" s="67">
        <v>0.4348</v>
      </c>
      <c r="E1092" s="68"/>
      <c r="F1092" s="69">
        <v>2</v>
      </c>
      <c r="G1092" s="70"/>
      <c r="H1092" s="71">
        <v>1</v>
      </c>
    </row>
    <row r="1093" customHeight="1" spans="1:8">
      <c r="A1093" s="64"/>
      <c r="B1093" s="73" t="s">
        <v>2083</v>
      </c>
      <c r="C1093" s="66" t="s">
        <v>2084</v>
      </c>
      <c r="D1093" s="67">
        <v>0.1304</v>
      </c>
      <c r="E1093" s="68"/>
      <c r="F1093" s="69">
        <v>0.5</v>
      </c>
      <c r="G1093" s="70"/>
      <c r="H1093" s="71">
        <v>0.3</v>
      </c>
    </row>
    <row r="1094" customHeight="1" spans="1:8">
      <c r="A1094" s="64"/>
      <c r="B1094" s="73" t="s">
        <v>2085</v>
      </c>
      <c r="C1094" s="66" t="s">
        <v>2086</v>
      </c>
      <c r="D1094" s="67">
        <v>0.1304</v>
      </c>
      <c r="E1094" s="68"/>
      <c r="F1094" s="69">
        <v>1</v>
      </c>
      <c r="G1094" s="70"/>
      <c r="H1094" s="71">
        <v>0.3</v>
      </c>
    </row>
    <row r="1095" customHeight="1" spans="1:8">
      <c r="A1095" s="64"/>
      <c r="B1095" s="73" t="s">
        <v>2087</v>
      </c>
      <c r="C1095" s="66" t="s">
        <v>2088</v>
      </c>
      <c r="D1095" s="67">
        <v>0.2174</v>
      </c>
      <c r="E1095" s="68"/>
      <c r="F1095" s="69">
        <v>1</v>
      </c>
      <c r="G1095" s="70"/>
      <c r="H1095" s="71">
        <v>0.5</v>
      </c>
    </row>
    <row r="1096" customHeight="1" spans="1:8">
      <c r="A1096" s="64"/>
      <c r="B1096" s="73" t="s">
        <v>2089</v>
      </c>
      <c r="C1096" s="66" t="s">
        <v>2090</v>
      </c>
      <c r="D1096" s="67">
        <v>0.2609</v>
      </c>
      <c r="E1096" s="68"/>
      <c r="F1096" s="69">
        <v>1</v>
      </c>
      <c r="G1096" s="70"/>
      <c r="H1096" s="71">
        <v>0.6</v>
      </c>
    </row>
    <row r="1097" customHeight="1" spans="1:8">
      <c r="A1097" s="64"/>
      <c r="B1097" s="73" t="s">
        <v>2091</v>
      </c>
      <c r="C1097" s="66" t="s">
        <v>2092</v>
      </c>
      <c r="D1097" s="67">
        <v>0.5217</v>
      </c>
      <c r="E1097" s="68"/>
      <c r="F1097" s="69">
        <v>2</v>
      </c>
      <c r="G1097" s="70"/>
      <c r="H1097" s="71">
        <v>1.2</v>
      </c>
    </row>
    <row r="1098" ht="25.5" customHeight="1" spans="1:8">
      <c r="A1098" s="64"/>
      <c r="B1098" s="73" t="s">
        <v>2093</v>
      </c>
      <c r="C1098" s="66" t="s">
        <v>2094</v>
      </c>
      <c r="D1098" s="67">
        <v>0.2609</v>
      </c>
      <c r="E1098" s="68"/>
      <c r="F1098" s="69">
        <v>1</v>
      </c>
      <c r="G1098" s="70"/>
      <c r="H1098" s="71">
        <v>0.6</v>
      </c>
    </row>
    <row r="1099" customHeight="1" spans="1:8">
      <c r="A1099" s="64"/>
      <c r="B1099" s="73" t="s">
        <v>2095</v>
      </c>
      <c r="C1099" s="66" t="s">
        <v>2096</v>
      </c>
      <c r="D1099" s="67">
        <v>2.6087</v>
      </c>
      <c r="E1099" s="68"/>
      <c r="F1099" s="69">
        <v>10.5</v>
      </c>
      <c r="G1099" s="70"/>
      <c r="H1099" s="71">
        <v>6</v>
      </c>
    </row>
    <row r="1100" ht="25.5" customHeight="1" spans="1:8">
      <c r="A1100" s="64"/>
      <c r="B1100" s="73" t="s">
        <v>2097</v>
      </c>
      <c r="C1100" s="66" t="s">
        <v>2098</v>
      </c>
      <c r="D1100" s="67">
        <v>0.2174</v>
      </c>
      <c r="E1100" s="68"/>
      <c r="F1100" s="69">
        <v>1.45</v>
      </c>
      <c r="G1100" s="70"/>
      <c r="H1100" s="71">
        <v>0.7</v>
      </c>
    </row>
    <row r="1101" customHeight="1" spans="1:8">
      <c r="A1101" s="64"/>
      <c r="B1101" s="73" t="s">
        <v>2099</v>
      </c>
      <c r="C1101" s="66" t="s">
        <v>2100</v>
      </c>
      <c r="D1101" s="67">
        <v>0.1304</v>
      </c>
      <c r="E1101" s="68"/>
      <c r="F1101" s="69">
        <v>0.5</v>
      </c>
      <c r="G1101" s="70"/>
      <c r="H1101" s="71">
        <v>0.3</v>
      </c>
    </row>
    <row r="1102" customHeight="1" spans="1:8">
      <c r="A1102" s="64"/>
      <c r="B1102" s="73" t="s">
        <v>2101</v>
      </c>
      <c r="C1102" s="66" t="s">
        <v>2102</v>
      </c>
      <c r="D1102" s="67">
        <v>0.6957</v>
      </c>
      <c r="E1102" s="68"/>
      <c r="F1102" s="69">
        <v>2.5</v>
      </c>
      <c r="G1102" s="70"/>
      <c r="H1102" s="71">
        <v>1.6</v>
      </c>
    </row>
    <row r="1103" customHeight="1" spans="1:8">
      <c r="A1103" s="64"/>
      <c r="B1103" s="73" t="s">
        <v>2103</v>
      </c>
      <c r="C1103" s="66" t="s">
        <v>2104</v>
      </c>
      <c r="D1103" s="67">
        <v>0.3913</v>
      </c>
      <c r="E1103" s="68"/>
      <c r="F1103" s="69">
        <v>1.5</v>
      </c>
      <c r="G1103" s="70"/>
      <c r="H1103" s="71">
        <v>0.9</v>
      </c>
    </row>
    <row r="1104" customHeight="1" spans="1:8">
      <c r="A1104" s="64"/>
      <c r="B1104" s="73" t="s">
        <v>2105</v>
      </c>
      <c r="C1104" s="66" t="s">
        <v>2106</v>
      </c>
      <c r="D1104" s="67">
        <v>0.3913</v>
      </c>
      <c r="E1104" s="68"/>
      <c r="F1104" s="69">
        <v>1.5</v>
      </c>
      <c r="G1104" s="70"/>
      <c r="H1104" s="71">
        <v>0.9</v>
      </c>
    </row>
    <row r="1105" customHeight="1" spans="1:8">
      <c r="A1105" s="64"/>
      <c r="B1105" s="73" t="s">
        <v>2107</v>
      </c>
      <c r="C1105" s="66" t="s">
        <v>2108</v>
      </c>
      <c r="D1105" s="67">
        <v>0.3913</v>
      </c>
      <c r="E1105" s="68"/>
      <c r="F1105" s="69">
        <v>1.5</v>
      </c>
      <c r="G1105" s="70"/>
      <c r="H1105" s="71">
        <v>0.9</v>
      </c>
    </row>
    <row r="1106" customHeight="1" spans="1:8">
      <c r="A1106" s="64"/>
      <c r="B1106" s="73" t="s">
        <v>2109</v>
      </c>
      <c r="C1106" s="66" t="s">
        <v>2110</v>
      </c>
      <c r="D1106" s="67">
        <v>0.4348</v>
      </c>
      <c r="E1106" s="68"/>
      <c r="F1106" s="69">
        <v>1.6</v>
      </c>
      <c r="G1106" s="70"/>
      <c r="H1106" s="71">
        <v>1</v>
      </c>
    </row>
    <row r="1107" customHeight="1" spans="1:8">
      <c r="A1107" s="64"/>
      <c r="B1107" s="73" t="s">
        <v>2111</v>
      </c>
      <c r="C1107" s="66" t="s">
        <v>2112</v>
      </c>
      <c r="D1107" s="67">
        <v>0.5652</v>
      </c>
      <c r="E1107" s="68"/>
      <c r="F1107" s="69">
        <v>2.1</v>
      </c>
      <c r="G1107" s="70"/>
      <c r="H1107" s="71">
        <v>1.3</v>
      </c>
    </row>
    <row r="1108" customHeight="1" spans="1:8">
      <c r="A1108" s="64"/>
      <c r="B1108" s="73" t="s">
        <v>2113</v>
      </c>
      <c r="C1108" s="66" t="s">
        <v>2114</v>
      </c>
      <c r="D1108" s="67">
        <v>0.8696</v>
      </c>
      <c r="E1108" s="68"/>
      <c r="F1108" s="69">
        <v>3</v>
      </c>
      <c r="G1108" s="70"/>
      <c r="H1108" s="71">
        <v>2</v>
      </c>
    </row>
    <row r="1109" customHeight="1" spans="1:8">
      <c r="A1109" s="64"/>
      <c r="B1109" s="73" t="s">
        <v>2115</v>
      </c>
      <c r="C1109" s="66" t="s">
        <v>2116</v>
      </c>
      <c r="D1109" s="67">
        <v>0.2174</v>
      </c>
      <c r="E1109" s="68"/>
      <c r="F1109" s="69">
        <v>2</v>
      </c>
      <c r="G1109" s="70"/>
      <c r="H1109" s="71">
        <v>0.5</v>
      </c>
    </row>
    <row r="1110" customHeight="1" spans="1:8">
      <c r="A1110" s="64"/>
      <c r="B1110" s="73" t="s">
        <v>2117</v>
      </c>
      <c r="C1110" s="66" t="s">
        <v>2118</v>
      </c>
      <c r="D1110" s="67">
        <v>0.3913</v>
      </c>
      <c r="E1110" s="68"/>
      <c r="F1110" s="69">
        <v>1.4</v>
      </c>
      <c r="G1110" s="70"/>
      <c r="H1110" s="71">
        <v>0.9</v>
      </c>
    </row>
    <row r="1111" customHeight="1" spans="1:8">
      <c r="A1111" s="64"/>
      <c r="B1111" s="73" t="s">
        <v>2119</v>
      </c>
      <c r="C1111" s="66" t="s">
        <v>2120</v>
      </c>
      <c r="D1111" s="67">
        <v>0.2609</v>
      </c>
      <c r="E1111" s="68"/>
      <c r="F1111" s="69">
        <v>2</v>
      </c>
      <c r="G1111" s="70"/>
      <c r="H1111" s="71">
        <v>0.6</v>
      </c>
    </row>
    <row r="1112" customHeight="1" spans="1:8">
      <c r="A1112" s="64"/>
      <c r="B1112" s="73" t="s">
        <v>2121</v>
      </c>
      <c r="C1112" s="66" t="s">
        <v>2122</v>
      </c>
      <c r="D1112" s="67">
        <v>0.6087</v>
      </c>
      <c r="E1112" s="68"/>
      <c r="F1112" s="69">
        <v>2.5</v>
      </c>
      <c r="G1112" s="70"/>
      <c r="H1112" s="71">
        <v>1.4</v>
      </c>
    </row>
    <row r="1113" customHeight="1" spans="1:8">
      <c r="A1113" s="64"/>
      <c r="B1113" s="73" t="s">
        <v>2123</v>
      </c>
      <c r="C1113" s="66" t="s">
        <v>2124</v>
      </c>
      <c r="D1113" s="67">
        <v>0.3913</v>
      </c>
      <c r="E1113" s="68"/>
      <c r="F1113" s="69">
        <v>1.4</v>
      </c>
      <c r="G1113" s="70"/>
      <c r="H1113" s="71">
        <v>0.9</v>
      </c>
    </row>
    <row r="1114" customHeight="1" spans="1:8">
      <c r="A1114" s="64"/>
      <c r="B1114" s="73" t="s">
        <v>2125</v>
      </c>
      <c r="C1114" s="66" t="s">
        <v>2126</v>
      </c>
      <c r="D1114" s="67">
        <v>0.5217</v>
      </c>
      <c r="E1114" s="68"/>
      <c r="F1114" s="69">
        <v>2</v>
      </c>
      <c r="G1114" s="70"/>
      <c r="H1114" s="71">
        <v>1.2</v>
      </c>
    </row>
    <row r="1115" customHeight="1" spans="1:8">
      <c r="A1115" s="64"/>
      <c r="B1115" s="73" t="s">
        <v>2127</v>
      </c>
      <c r="C1115" s="66" t="s">
        <v>2128</v>
      </c>
      <c r="D1115" s="67">
        <v>1.6957</v>
      </c>
      <c r="E1115" s="68"/>
      <c r="F1115" s="69">
        <v>6</v>
      </c>
      <c r="G1115" s="70"/>
      <c r="H1115" s="71">
        <v>3.9</v>
      </c>
    </row>
    <row r="1116" spans="1:8">
      <c r="A1116" s="64"/>
      <c r="B1116" s="65">
        <v>6903072257454</v>
      </c>
      <c r="C1116" s="66" t="s">
        <v>2129</v>
      </c>
      <c r="D1116" s="67">
        <v>0.5435</v>
      </c>
      <c r="E1116" s="68"/>
      <c r="F1116" s="69">
        <v>1.25</v>
      </c>
      <c r="G1116" s="70"/>
      <c r="H1116" s="71">
        <v>1</v>
      </c>
    </row>
    <row r="1117" customHeight="1" spans="1:8">
      <c r="A1117" s="64"/>
      <c r="B1117" s="73" t="s">
        <v>2130</v>
      </c>
      <c r="C1117" s="66" t="s">
        <v>2131</v>
      </c>
      <c r="D1117" s="67">
        <v>0.1739</v>
      </c>
      <c r="E1117" s="68"/>
      <c r="F1117" s="69">
        <v>0.6</v>
      </c>
      <c r="G1117" s="70"/>
      <c r="H1117" s="71">
        <v>0.4</v>
      </c>
    </row>
    <row r="1118" customHeight="1" spans="1:8">
      <c r="A1118" s="74"/>
      <c r="B1118" s="103" t="s">
        <v>2132</v>
      </c>
      <c r="C1118" s="104" t="s">
        <v>2133</v>
      </c>
      <c r="D1118" s="67">
        <v>2.0435</v>
      </c>
      <c r="E1118" s="68"/>
      <c r="F1118" s="105">
        <v>8</v>
      </c>
      <c r="G1118" s="106"/>
      <c r="H1118" s="107">
        <v>4.7</v>
      </c>
    </row>
    <row r="1119" customHeight="1" spans="1:8">
      <c r="A1119" s="75"/>
      <c r="B1119" s="73" t="s">
        <v>2134</v>
      </c>
      <c r="C1119" s="66" t="s">
        <v>2133</v>
      </c>
      <c r="D1119" s="67">
        <v>1.2609</v>
      </c>
      <c r="E1119" s="68"/>
      <c r="F1119" s="69">
        <v>5</v>
      </c>
      <c r="G1119" s="70"/>
      <c r="H1119" s="71">
        <v>2.9</v>
      </c>
    </row>
    <row r="1120" customHeight="1" spans="1:8">
      <c r="A1120" s="64"/>
      <c r="B1120" s="73" t="s">
        <v>2135</v>
      </c>
      <c r="C1120" s="66" t="s">
        <v>2136</v>
      </c>
      <c r="D1120" s="67">
        <v>1.5217</v>
      </c>
      <c r="E1120" s="68"/>
      <c r="F1120" s="69">
        <v>5.5</v>
      </c>
      <c r="G1120" s="70"/>
      <c r="H1120" s="71">
        <v>3.5</v>
      </c>
    </row>
    <row r="1121" customHeight="1" spans="1:8">
      <c r="A1121" s="64"/>
      <c r="B1121" s="73" t="s">
        <v>2137</v>
      </c>
      <c r="C1121" s="66" t="s">
        <v>2138</v>
      </c>
      <c r="D1121" s="67">
        <v>1.4348</v>
      </c>
      <c r="E1121" s="68"/>
      <c r="F1121" s="69">
        <v>5.3</v>
      </c>
      <c r="G1121" s="70"/>
      <c r="H1121" s="71">
        <v>3.3</v>
      </c>
    </row>
    <row r="1122" customHeight="1" spans="1:8">
      <c r="A1122" s="64"/>
      <c r="B1122" s="73" t="s">
        <v>2139</v>
      </c>
      <c r="C1122" s="66" t="s">
        <v>2140</v>
      </c>
      <c r="D1122" s="67">
        <v>0.913</v>
      </c>
      <c r="E1122" s="68"/>
      <c r="F1122" s="69">
        <v>3.3</v>
      </c>
      <c r="G1122" s="70"/>
      <c r="H1122" s="71">
        <v>2.1</v>
      </c>
    </row>
    <row r="1123" customHeight="1" spans="1:8">
      <c r="A1123" s="64"/>
      <c r="B1123" s="73" t="s">
        <v>2141</v>
      </c>
      <c r="C1123" s="66" t="s">
        <v>2142</v>
      </c>
      <c r="D1123" s="67">
        <v>0.913</v>
      </c>
      <c r="E1123" s="68"/>
      <c r="F1123" s="69">
        <v>3.5</v>
      </c>
      <c r="G1123" s="70"/>
      <c r="H1123" s="71">
        <v>2.1</v>
      </c>
    </row>
    <row r="1124" customHeight="1" spans="1:8">
      <c r="A1124" s="64"/>
      <c r="B1124" s="73" t="s">
        <v>2143</v>
      </c>
      <c r="C1124" s="66" t="s">
        <v>2144</v>
      </c>
      <c r="D1124" s="67">
        <v>1.0435</v>
      </c>
      <c r="E1124" s="68"/>
      <c r="F1124" s="69">
        <v>3.9</v>
      </c>
      <c r="G1124" s="70"/>
      <c r="H1124" s="71">
        <v>2.4</v>
      </c>
    </row>
    <row r="1125" customHeight="1" spans="1:8">
      <c r="A1125" s="64"/>
      <c r="B1125" s="73" t="s">
        <v>2145</v>
      </c>
      <c r="C1125" s="66" t="s">
        <v>2146</v>
      </c>
      <c r="D1125" s="67">
        <v>1.0435</v>
      </c>
      <c r="E1125" s="68"/>
      <c r="F1125" s="69">
        <v>3.9</v>
      </c>
      <c r="G1125" s="70"/>
      <c r="H1125" s="71">
        <v>2.4</v>
      </c>
    </row>
    <row r="1126" customHeight="1" spans="1:8">
      <c r="A1126" s="64"/>
      <c r="B1126" s="73" t="s">
        <v>2147</v>
      </c>
      <c r="C1126" s="66" t="s">
        <v>2148</v>
      </c>
      <c r="D1126" s="67">
        <v>1.4348</v>
      </c>
      <c r="E1126" s="68"/>
      <c r="F1126" s="69">
        <v>5.5</v>
      </c>
      <c r="G1126" s="70"/>
      <c r="H1126" s="71">
        <v>3.3</v>
      </c>
    </row>
    <row r="1127" customHeight="1" spans="1:8">
      <c r="A1127" s="64"/>
      <c r="B1127" s="73" t="s">
        <v>2149</v>
      </c>
      <c r="C1127" s="66" t="s">
        <v>2150</v>
      </c>
      <c r="D1127" s="67">
        <v>0.0435</v>
      </c>
      <c r="E1127" s="68"/>
      <c r="F1127" s="69">
        <v>0.2</v>
      </c>
      <c r="G1127" s="70"/>
      <c r="H1127" s="71">
        <v>0.1</v>
      </c>
    </row>
    <row r="1128" customHeight="1" spans="1:8">
      <c r="A1128" s="64"/>
      <c r="B1128" s="103" t="s">
        <v>2151</v>
      </c>
      <c r="C1128" s="104" t="s">
        <v>2152</v>
      </c>
      <c r="D1128" s="67">
        <v>1</v>
      </c>
      <c r="E1128" s="68"/>
      <c r="F1128" s="105">
        <v>3.5</v>
      </c>
      <c r="G1128" s="106"/>
      <c r="H1128" s="107">
        <v>2.3</v>
      </c>
    </row>
    <row r="1129" customHeight="1" spans="1:8">
      <c r="A1129" s="64"/>
      <c r="B1129" s="65">
        <v>6985474121427</v>
      </c>
      <c r="C1129" s="66" t="s">
        <v>2153</v>
      </c>
      <c r="D1129" s="67">
        <v>0.2174</v>
      </c>
      <c r="E1129" s="68"/>
      <c r="F1129" s="69">
        <v>0.7</v>
      </c>
      <c r="G1129" s="70"/>
      <c r="H1129" s="71">
        <v>0.5</v>
      </c>
    </row>
    <row r="1130" customHeight="1" spans="1:8">
      <c r="A1130" s="64"/>
      <c r="B1130" s="103" t="s">
        <v>2154</v>
      </c>
      <c r="C1130" s="104" t="s">
        <v>2155</v>
      </c>
      <c r="D1130" s="67">
        <v>0.1304</v>
      </c>
      <c r="E1130" s="68"/>
      <c r="F1130" s="105">
        <v>0.4</v>
      </c>
      <c r="G1130" s="106"/>
      <c r="H1130" s="107">
        <v>0.3</v>
      </c>
    </row>
    <row r="1131" customHeight="1" spans="1:8">
      <c r="A1131" s="64"/>
      <c r="B1131" s="114">
        <v>6903268285223</v>
      </c>
      <c r="C1131" s="104" t="s">
        <v>2156</v>
      </c>
      <c r="D1131" s="67">
        <v>0.2174</v>
      </c>
      <c r="E1131" s="68"/>
      <c r="F1131" s="105">
        <v>0.7</v>
      </c>
      <c r="G1131" s="106"/>
      <c r="H1131" s="107">
        <v>0.5</v>
      </c>
    </row>
    <row r="1132" customHeight="1" spans="1:8">
      <c r="A1132" s="64"/>
      <c r="B1132" s="103" t="s">
        <v>2157</v>
      </c>
      <c r="C1132" s="104" t="s">
        <v>2158</v>
      </c>
      <c r="D1132" s="67">
        <v>0.6087</v>
      </c>
      <c r="E1132" s="68"/>
      <c r="F1132" s="105">
        <v>2.3</v>
      </c>
      <c r="G1132" s="106"/>
      <c r="H1132" s="107">
        <v>1.4</v>
      </c>
    </row>
    <row r="1133" customHeight="1" spans="1:8">
      <c r="A1133" s="64"/>
      <c r="B1133" s="103" t="s">
        <v>2159</v>
      </c>
      <c r="C1133" s="104" t="s">
        <v>2160</v>
      </c>
      <c r="D1133" s="67">
        <v>2.3478</v>
      </c>
      <c r="E1133" s="68"/>
      <c r="F1133" s="105">
        <v>7</v>
      </c>
      <c r="G1133" s="106"/>
      <c r="H1133" s="107">
        <v>5.4</v>
      </c>
    </row>
    <row r="1134" customHeight="1" spans="1:8">
      <c r="A1134" s="64"/>
      <c r="B1134" s="103" t="s">
        <v>2161</v>
      </c>
      <c r="C1134" s="104" t="s">
        <v>2162</v>
      </c>
      <c r="D1134" s="67">
        <v>0.2174</v>
      </c>
      <c r="E1134" s="68"/>
      <c r="F1134" s="105">
        <v>1</v>
      </c>
      <c r="G1134" s="106"/>
      <c r="H1134" s="107">
        <v>0.5</v>
      </c>
    </row>
    <row r="1135" customHeight="1" spans="1:8">
      <c r="A1135" s="64"/>
      <c r="B1135" s="73" t="s">
        <v>2163</v>
      </c>
      <c r="C1135" s="66" t="s">
        <v>2164</v>
      </c>
      <c r="D1135" s="67">
        <v>0.6522</v>
      </c>
      <c r="E1135" s="68"/>
      <c r="F1135" s="69">
        <v>2</v>
      </c>
      <c r="G1135" s="70"/>
      <c r="H1135" s="71">
        <v>1.5</v>
      </c>
    </row>
    <row r="1136" customHeight="1" spans="1:8">
      <c r="A1136" s="64"/>
      <c r="B1136" s="103" t="s">
        <v>2165</v>
      </c>
      <c r="C1136" s="104" t="s">
        <v>2166</v>
      </c>
      <c r="D1136" s="67">
        <v>0.4348</v>
      </c>
      <c r="E1136" s="68"/>
      <c r="F1136" s="105">
        <v>1.6</v>
      </c>
      <c r="G1136" s="106"/>
      <c r="H1136" s="107">
        <v>1</v>
      </c>
    </row>
    <row r="1137" customHeight="1" spans="1:8">
      <c r="A1137" s="64"/>
      <c r="B1137" s="73" t="s">
        <v>2167</v>
      </c>
      <c r="C1137" s="66" t="s">
        <v>2168</v>
      </c>
      <c r="D1137" s="67">
        <v>0.3478</v>
      </c>
      <c r="E1137" s="68"/>
      <c r="F1137" s="69">
        <v>1.6</v>
      </c>
      <c r="G1137" s="70"/>
      <c r="H1137" s="71">
        <v>0.8</v>
      </c>
    </row>
    <row r="1138" customHeight="1" spans="1:8">
      <c r="A1138" s="64"/>
      <c r="B1138" s="103" t="s">
        <v>2169</v>
      </c>
      <c r="C1138" s="104" t="s">
        <v>2170</v>
      </c>
      <c r="D1138" s="67">
        <v>0.9565</v>
      </c>
      <c r="E1138" s="68"/>
      <c r="F1138" s="105">
        <v>3.5</v>
      </c>
      <c r="G1138" s="106"/>
      <c r="H1138" s="107">
        <v>2.2</v>
      </c>
    </row>
    <row r="1139" customHeight="1" spans="1:8">
      <c r="A1139" s="64"/>
      <c r="B1139" s="103" t="s">
        <v>2171</v>
      </c>
      <c r="C1139" s="104" t="s">
        <v>2172</v>
      </c>
      <c r="D1139" s="67">
        <v>3.2609</v>
      </c>
      <c r="E1139" s="68"/>
      <c r="F1139" s="105">
        <v>14</v>
      </c>
      <c r="G1139" s="106"/>
      <c r="H1139" s="107">
        <v>8.5</v>
      </c>
    </row>
    <row r="1140" customHeight="1" spans="1:8">
      <c r="A1140" s="64"/>
      <c r="B1140" s="73" t="s">
        <v>2173</v>
      </c>
      <c r="C1140" s="66" t="s">
        <v>2174</v>
      </c>
      <c r="D1140" s="67">
        <v>1.2609</v>
      </c>
      <c r="E1140" s="68"/>
      <c r="F1140" s="69">
        <v>4.6</v>
      </c>
      <c r="G1140" s="70"/>
      <c r="H1140" s="71">
        <v>2.9</v>
      </c>
    </row>
    <row r="1141" customHeight="1" spans="1:8">
      <c r="A1141" s="64"/>
      <c r="B1141" s="73" t="s">
        <v>2175</v>
      </c>
      <c r="C1141" s="66" t="s">
        <v>2176</v>
      </c>
      <c r="D1141" s="67">
        <v>2</v>
      </c>
      <c r="E1141" s="68"/>
      <c r="F1141" s="69">
        <v>7</v>
      </c>
      <c r="G1141" s="70"/>
      <c r="H1141" s="71">
        <v>4.6</v>
      </c>
    </row>
    <row r="1142" customHeight="1" spans="1:8">
      <c r="A1142" s="64"/>
      <c r="B1142" s="103" t="s">
        <v>2177</v>
      </c>
      <c r="C1142" s="104" t="s">
        <v>2178</v>
      </c>
      <c r="D1142" s="67">
        <v>2.2174</v>
      </c>
      <c r="E1142" s="68"/>
      <c r="F1142" s="105">
        <v>8.2</v>
      </c>
      <c r="G1142" s="106"/>
      <c r="H1142" s="107">
        <v>5.1</v>
      </c>
    </row>
    <row r="1143" customHeight="1" spans="1:8">
      <c r="A1143" s="64"/>
      <c r="B1143" s="73" t="s">
        <v>2179</v>
      </c>
      <c r="C1143" s="66" t="s">
        <v>2180</v>
      </c>
      <c r="D1143" s="67">
        <v>2.2174</v>
      </c>
      <c r="E1143" s="68"/>
      <c r="F1143" s="69">
        <v>8.2</v>
      </c>
      <c r="G1143" s="70"/>
      <c r="H1143" s="71">
        <v>5.1</v>
      </c>
    </row>
    <row r="1144" customHeight="1" spans="1:8">
      <c r="A1144" s="64"/>
      <c r="B1144" s="73" t="s">
        <v>2181</v>
      </c>
      <c r="C1144" s="66" t="s">
        <v>2182</v>
      </c>
      <c r="D1144" s="67">
        <v>1.2609</v>
      </c>
      <c r="E1144" s="68"/>
      <c r="F1144" s="69">
        <v>5</v>
      </c>
      <c r="G1144" s="70"/>
      <c r="H1144" s="71">
        <v>2.9</v>
      </c>
    </row>
    <row r="1145" customHeight="1" spans="1:8">
      <c r="A1145" s="64"/>
      <c r="B1145" s="73" t="s">
        <v>2183</v>
      </c>
      <c r="C1145" s="66" t="s">
        <v>2184</v>
      </c>
      <c r="D1145" s="67">
        <v>2.087</v>
      </c>
      <c r="E1145" s="68"/>
      <c r="F1145" s="69">
        <v>8</v>
      </c>
      <c r="G1145" s="70"/>
      <c r="H1145" s="71">
        <v>4.8</v>
      </c>
    </row>
    <row r="1146" customHeight="1" spans="1:8">
      <c r="A1146" s="64"/>
      <c r="B1146" s="73" t="s">
        <v>2185</v>
      </c>
      <c r="C1146" s="66" t="s">
        <v>2186</v>
      </c>
      <c r="D1146" s="67">
        <v>2.7826</v>
      </c>
      <c r="E1146" s="68"/>
      <c r="F1146" s="69">
        <v>10.5</v>
      </c>
      <c r="G1146" s="70"/>
      <c r="H1146" s="71">
        <v>6.4</v>
      </c>
    </row>
    <row r="1147" ht="25.5" customHeight="1" spans="1:8">
      <c r="A1147" s="64"/>
      <c r="B1147" s="73" t="s">
        <v>2187</v>
      </c>
      <c r="C1147" s="66" t="s">
        <v>2188</v>
      </c>
      <c r="D1147" s="67">
        <v>1.3043</v>
      </c>
      <c r="E1147" s="68"/>
      <c r="F1147" s="69">
        <v>4.8</v>
      </c>
      <c r="G1147" s="70"/>
      <c r="H1147" s="71">
        <v>3</v>
      </c>
    </row>
    <row r="1148" customHeight="1" spans="1:8">
      <c r="A1148" s="64"/>
      <c r="B1148" s="73" t="s">
        <v>2189</v>
      </c>
      <c r="C1148" s="66" t="s">
        <v>2190</v>
      </c>
      <c r="D1148" s="67">
        <v>4.1739</v>
      </c>
      <c r="E1148" s="68"/>
      <c r="F1148" s="69">
        <v>15.5</v>
      </c>
      <c r="G1148" s="70"/>
      <c r="H1148" s="71">
        <v>9.6</v>
      </c>
    </row>
    <row r="1149" customHeight="1" spans="1:8">
      <c r="A1149" s="64"/>
      <c r="B1149" s="73" t="s">
        <v>2191</v>
      </c>
      <c r="C1149" s="66" t="s">
        <v>2192</v>
      </c>
      <c r="D1149" s="67">
        <v>2.8696</v>
      </c>
      <c r="E1149" s="68"/>
      <c r="F1149" s="69">
        <v>9</v>
      </c>
      <c r="G1149" s="70"/>
      <c r="H1149" s="71">
        <v>6.6</v>
      </c>
    </row>
    <row r="1150" customHeight="1" spans="1:8">
      <c r="A1150" s="64"/>
      <c r="B1150" s="73" t="s">
        <v>2193</v>
      </c>
      <c r="C1150" s="66" t="s">
        <v>2194</v>
      </c>
      <c r="D1150" s="67">
        <v>0.1739</v>
      </c>
      <c r="E1150" s="68"/>
      <c r="F1150" s="69">
        <v>0.5</v>
      </c>
      <c r="G1150" s="70"/>
      <c r="H1150" s="71">
        <v>0.4</v>
      </c>
    </row>
    <row r="1151" customHeight="1" spans="1:8">
      <c r="A1151" s="64"/>
      <c r="B1151" s="73" t="s">
        <v>2195</v>
      </c>
      <c r="C1151" s="66" t="s">
        <v>2196</v>
      </c>
      <c r="D1151" s="67">
        <v>0.1739</v>
      </c>
      <c r="E1151" s="68"/>
      <c r="F1151" s="69">
        <v>0.5</v>
      </c>
      <c r="G1151" s="70"/>
      <c r="H1151" s="71">
        <v>0.4</v>
      </c>
    </row>
    <row r="1152" customHeight="1" spans="1:8">
      <c r="A1152" s="64"/>
      <c r="B1152" s="73" t="s">
        <v>2197</v>
      </c>
      <c r="C1152" s="66" t="s">
        <v>2198</v>
      </c>
      <c r="D1152" s="67">
        <v>1.3043</v>
      </c>
      <c r="E1152" s="68"/>
      <c r="F1152" s="69">
        <v>4</v>
      </c>
      <c r="G1152" s="70"/>
      <c r="H1152" s="71">
        <v>3</v>
      </c>
    </row>
    <row r="1153" customHeight="1" spans="1:8">
      <c r="A1153" s="64"/>
      <c r="B1153" s="73" t="s">
        <v>2199</v>
      </c>
      <c r="C1153" s="66" t="s">
        <v>2200</v>
      </c>
      <c r="D1153" s="67">
        <v>0.1304</v>
      </c>
      <c r="E1153" s="68"/>
      <c r="F1153" s="69">
        <v>0.5</v>
      </c>
      <c r="G1153" s="70"/>
      <c r="H1153" s="71">
        <v>0.3</v>
      </c>
    </row>
    <row r="1154" customHeight="1" spans="1:8">
      <c r="A1154" s="64"/>
      <c r="B1154" s="73" t="s">
        <v>2201</v>
      </c>
      <c r="C1154" s="66" t="s">
        <v>2202</v>
      </c>
      <c r="D1154" s="67">
        <v>0.087</v>
      </c>
      <c r="E1154" s="68"/>
      <c r="F1154" s="69">
        <v>0.4</v>
      </c>
      <c r="G1154" s="70"/>
      <c r="H1154" s="71">
        <v>0.2</v>
      </c>
    </row>
    <row r="1155" customHeight="1" spans="1:8">
      <c r="A1155" s="64"/>
      <c r="B1155" s="73" t="s">
        <v>2203</v>
      </c>
      <c r="C1155" s="66" t="s">
        <v>2204</v>
      </c>
      <c r="D1155" s="67">
        <v>0.7391</v>
      </c>
      <c r="E1155" s="68"/>
      <c r="F1155" s="69">
        <v>3</v>
      </c>
      <c r="G1155" s="70"/>
      <c r="H1155" s="71">
        <v>1.7</v>
      </c>
    </row>
    <row r="1156" customHeight="1" spans="1:8">
      <c r="A1156" s="64"/>
      <c r="B1156" s="73" t="s">
        <v>2205</v>
      </c>
      <c r="C1156" s="66" t="s">
        <v>2206</v>
      </c>
      <c r="D1156" s="67">
        <v>0.1304</v>
      </c>
      <c r="E1156" s="68"/>
      <c r="F1156" s="69">
        <v>0.5</v>
      </c>
      <c r="G1156" s="70"/>
      <c r="H1156" s="71">
        <v>0.3</v>
      </c>
    </row>
    <row r="1157" customHeight="1" spans="1:8">
      <c r="A1157" s="64"/>
      <c r="B1157" s="73" t="s">
        <v>2207</v>
      </c>
      <c r="C1157" s="66" t="s">
        <v>2208</v>
      </c>
      <c r="D1157" s="67">
        <v>0.087</v>
      </c>
      <c r="E1157" s="68"/>
      <c r="F1157" s="69">
        <v>0.5</v>
      </c>
      <c r="G1157" s="70"/>
      <c r="H1157" s="71">
        <v>0.2</v>
      </c>
    </row>
    <row r="1158" customHeight="1" spans="1:8">
      <c r="A1158" s="64"/>
      <c r="B1158" s="73" t="s">
        <v>2209</v>
      </c>
      <c r="C1158" s="66" t="s">
        <v>2210</v>
      </c>
      <c r="D1158" s="67">
        <v>0.2609</v>
      </c>
      <c r="E1158" s="68"/>
      <c r="F1158" s="69">
        <v>1</v>
      </c>
      <c r="G1158" s="70"/>
      <c r="H1158" s="71">
        <v>0.6</v>
      </c>
    </row>
    <row r="1159" customHeight="1" spans="1:8">
      <c r="A1159" s="64"/>
      <c r="B1159" s="73" t="s">
        <v>2211</v>
      </c>
      <c r="C1159" s="66" t="s">
        <v>2212</v>
      </c>
      <c r="D1159" s="67">
        <v>0.2609</v>
      </c>
      <c r="E1159" s="68"/>
      <c r="F1159" s="69">
        <v>1</v>
      </c>
      <c r="G1159" s="70"/>
      <c r="H1159" s="71">
        <v>0.6</v>
      </c>
    </row>
    <row r="1160" customHeight="1" spans="1:8">
      <c r="A1160" s="64"/>
      <c r="B1160" s="73" t="s">
        <v>2213</v>
      </c>
      <c r="C1160" s="66" t="s">
        <v>2214</v>
      </c>
      <c r="D1160" s="67">
        <v>0.2609</v>
      </c>
      <c r="E1160" s="68"/>
      <c r="F1160" s="69">
        <v>1</v>
      </c>
      <c r="G1160" s="70"/>
      <c r="H1160" s="71">
        <v>0.6</v>
      </c>
    </row>
    <row r="1161" customHeight="1" spans="1:8">
      <c r="A1161" s="64"/>
      <c r="B1161" s="73" t="s">
        <v>2215</v>
      </c>
      <c r="C1161" s="66" t="s">
        <v>2216</v>
      </c>
      <c r="D1161" s="67">
        <v>0.2174</v>
      </c>
      <c r="E1161" s="68"/>
      <c r="F1161" s="69">
        <v>1</v>
      </c>
      <c r="G1161" s="70"/>
      <c r="H1161" s="71">
        <v>0.5</v>
      </c>
    </row>
    <row r="1162" ht="25.5" customHeight="1" spans="1:8">
      <c r="A1162" s="64"/>
      <c r="B1162" s="73" t="s">
        <v>2217</v>
      </c>
      <c r="C1162" s="66" t="s">
        <v>2218</v>
      </c>
      <c r="D1162" s="67">
        <v>0.2174</v>
      </c>
      <c r="E1162" s="68"/>
      <c r="F1162" s="69">
        <v>1</v>
      </c>
      <c r="G1162" s="70"/>
      <c r="H1162" s="71">
        <v>0.5</v>
      </c>
    </row>
    <row r="1163" customHeight="1" spans="1:8">
      <c r="A1163" s="64"/>
      <c r="B1163" s="73" t="s">
        <v>2219</v>
      </c>
      <c r="C1163" s="66" t="s">
        <v>2220</v>
      </c>
      <c r="D1163" s="67">
        <v>0.2174</v>
      </c>
      <c r="E1163" s="68"/>
      <c r="F1163" s="69">
        <v>1</v>
      </c>
      <c r="G1163" s="70"/>
      <c r="H1163" s="71">
        <v>0.5</v>
      </c>
    </row>
    <row r="1164" ht="25.5" customHeight="1" spans="1:8">
      <c r="A1164" s="64"/>
      <c r="B1164" s="73" t="s">
        <v>2221</v>
      </c>
      <c r="C1164" s="66" t="s">
        <v>2222</v>
      </c>
      <c r="D1164" s="67">
        <v>0.2174</v>
      </c>
      <c r="E1164" s="68"/>
      <c r="F1164" s="69">
        <v>1</v>
      </c>
      <c r="G1164" s="70"/>
      <c r="H1164" s="71">
        <v>0.5</v>
      </c>
    </row>
    <row r="1165" ht="25.5" customHeight="1" spans="1:8">
      <c r="A1165" s="64"/>
      <c r="B1165" s="73" t="s">
        <v>2223</v>
      </c>
      <c r="C1165" s="66" t="s">
        <v>2224</v>
      </c>
      <c r="D1165" s="67">
        <v>0.2174</v>
      </c>
      <c r="E1165" s="68"/>
      <c r="F1165" s="69">
        <v>1</v>
      </c>
      <c r="G1165" s="70"/>
      <c r="H1165" s="71">
        <v>0.5</v>
      </c>
    </row>
    <row r="1166" ht="25.5" customHeight="1" spans="1:8">
      <c r="A1166" s="64"/>
      <c r="B1166" s="73" t="s">
        <v>2225</v>
      </c>
      <c r="C1166" s="66" t="s">
        <v>2226</v>
      </c>
      <c r="D1166" s="67">
        <v>0.2174</v>
      </c>
      <c r="E1166" s="68"/>
      <c r="F1166" s="69">
        <v>1</v>
      </c>
      <c r="G1166" s="70"/>
      <c r="H1166" s="71">
        <v>0.5</v>
      </c>
    </row>
    <row r="1167" ht="25.5" customHeight="1" spans="1:8">
      <c r="A1167" s="64"/>
      <c r="B1167" s="73" t="s">
        <v>2227</v>
      </c>
      <c r="C1167" s="66" t="s">
        <v>2228</v>
      </c>
      <c r="D1167" s="67">
        <v>0.6522</v>
      </c>
      <c r="E1167" s="68"/>
      <c r="F1167" s="69">
        <v>2.5</v>
      </c>
      <c r="G1167" s="70"/>
      <c r="H1167" s="71">
        <v>1.5</v>
      </c>
    </row>
    <row r="1168" customHeight="1" spans="1:8">
      <c r="A1168" s="64"/>
      <c r="B1168" s="73" t="s">
        <v>2229</v>
      </c>
      <c r="C1168" s="66" t="s">
        <v>2230</v>
      </c>
      <c r="D1168" s="67">
        <v>0.3043</v>
      </c>
      <c r="E1168" s="68"/>
      <c r="F1168" s="69">
        <v>1</v>
      </c>
      <c r="G1168" s="70"/>
      <c r="H1168" s="71">
        <v>0.7</v>
      </c>
    </row>
    <row r="1169" customHeight="1" spans="1:8">
      <c r="A1169" s="64"/>
      <c r="B1169" s="73" t="s">
        <v>2231</v>
      </c>
      <c r="C1169" s="66" t="s">
        <v>2232</v>
      </c>
      <c r="D1169" s="67">
        <v>0.3043</v>
      </c>
      <c r="E1169" s="68"/>
      <c r="F1169" s="69">
        <v>1</v>
      </c>
      <c r="G1169" s="70"/>
      <c r="H1169" s="71">
        <v>0.7</v>
      </c>
    </row>
    <row r="1170" customHeight="1" spans="1:8">
      <c r="A1170" s="64"/>
      <c r="B1170" s="73" t="s">
        <v>2233</v>
      </c>
      <c r="C1170" s="66" t="s">
        <v>2234</v>
      </c>
      <c r="D1170" s="67">
        <v>0.3043</v>
      </c>
      <c r="E1170" s="68"/>
      <c r="F1170" s="69">
        <v>1</v>
      </c>
      <c r="G1170" s="70"/>
      <c r="H1170" s="71">
        <v>0.7</v>
      </c>
    </row>
    <row r="1171" customHeight="1" spans="1:8">
      <c r="A1171" s="64"/>
      <c r="B1171" s="73" t="s">
        <v>2235</v>
      </c>
      <c r="C1171" s="66" t="s">
        <v>2236</v>
      </c>
      <c r="D1171" s="67">
        <v>0.3043</v>
      </c>
      <c r="E1171" s="68"/>
      <c r="F1171" s="69">
        <v>1</v>
      </c>
      <c r="G1171" s="70"/>
      <c r="H1171" s="71">
        <v>0.7</v>
      </c>
    </row>
    <row r="1172" customHeight="1" spans="1:8">
      <c r="A1172" s="64"/>
      <c r="B1172" s="73" t="s">
        <v>2237</v>
      </c>
      <c r="C1172" s="66" t="s">
        <v>2238</v>
      </c>
      <c r="D1172" s="67">
        <v>0.3043</v>
      </c>
      <c r="E1172" s="68"/>
      <c r="F1172" s="69">
        <v>1</v>
      </c>
      <c r="G1172" s="70"/>
      <c r="H1172" s="71">
        <v>0.7</v>
      </c>
    </row>
    <row r="1173" ht="25.5" customHeight="1" spans="1:8">
      <c r="A1173" s="64"/>
      <c r="B1173" s="73" t="s">
        <v>2239</v>
      </c>
      <c r="C1173" s="66" t="s">
        <v>2240</v>
      </c>
      <c r="D1173" s="67">
        <v>0.3043</v>
      </c>
      <c r="E1173" s="68"/>
      <c r="F1173" s="69">
        <v>0.5</v>
      </c>
      <c r="G1173" s="70"/>
      <c r="H1173" s="71">
        <v>0.3</v>
      </c>
    </row>
    <row r="1174" ht="25.5" customHeight="1" spans="1:8">
      <c r="A1174" s="64"/>
      <c r="B1174" s="73" t="s">
        <v>2241</v>
      </c>
      <c r="C1174" s="66" t="s">
        <v>2242</v>
      </c>
      <c r="D1174" s="67">
        <v>0.3043</v>
      </c>
      <c r="E1174" s="68"/>
      <c r="F1174" s="69">
        <v>1</v>
      </c>
      <c r="G1174" s="70"/>
      <c r="H1174" s="71">
        <v>5</v>
      </c>
    </row>
    <row r="1175" ht="25.5" customHeight="1" spans="1:8">
      <c r="A1175" s="64"/>
      <c r="B1175" s="73" t="s">
        <v>2243</v>
      </c>
      <c r="C1175" s="66" t="s">
        <v>2244</v>
      </c>
      <c r="D1175" s="67">
        <v>0.3043</v>
      </c>
      <c r="E1175" s="68"/>
      <c r="F1175" s="69">
        <v>1</v>
      </c>
      <c r="G1175" s="70"/>
      <c r="H1175" s="71">
        <v>0.7</v>
      </c>
    </row>
    <row r="1176" customHeight="1" spans="1:8">
      <c r="A1176" s="64"/>
      <c r="B1176" s="73" t="s">
        <v>2245</v>
      </c>
      <c r="C1176" s="66" t="s">
        <v>2246</v>
      </c>
      <c r="D1176" s="67">
        <v>0.3043</v>
      </c>
      <c r="E1176" s="68"/>
      <c r="F1176" s="69">
        <v>1</v>
      </c>
      <c r="G1176" s="70"/>
      <c r="H1176" s="71">
        <v>0.7</v>
      </c>
    </row>
    <row r="1177" customHeight="1" spans="1:8">
      <c r="A1177" s="64"/>
      <c r="B1177" s="73" t="s">
        <v>2247</v>
      </c>
      <c r="C1177" s="66" t="s">
        <v>2248</v>
      </c>
      <c r="D1177" s="67">
        <v>0.3043</v>
      </c>
      <c r="E1177" s="68"/>
      <c r="F1177" s="69">
        <v>1</v>
      </c>
      <c r="G1177" s="70"/>
      <c r="H1177" s="71">
        <v>0.7</v>
      </c>
    </row>
    <row r="1178" customHeight="1" spans="1:8">
      <c r="A1178" s="64"/>
      <c r="B1178" s="73" t="s">
        <v>2249</v>
      </c>
      <c r="C1178" s="66" t="s">
        <v>2250</v>
      </c>
      <c r="D1178" s="67">
        <v>0.3043</v>
      </c>
      <c r="E1178" s="68"/>
      <c r="F1178" s="69">
        <v>1</v>
      </c>
      <c r="G1178" s="70"/>
      <c r="H1178" s="71">
        <v>0.7</v>
      </c>
    </row>
    <row r="1179" ht="25.5" customHeight="1" spans="1:8">
      <c r="A1179" s="64"/>
      <c r="B1179" s="73" t="s">
        <v>2251</v>
      </c>
      <c r="C1179" s="66" t="s">
        <v>2252</v>
      </c>
      <c r="D1179" s="67">
        <v>0.3043</v>
      </c>
      <c r="E1179" s="68"/>
      <c r="F1179" s="69">
        <v>1</v>
      </c>
      <c r="G1179" s="70"/>
      <c r="H1179" s="71">
        <v>0.7</v>
      </c>
    </row>
    <row r="1180" customHeight="1" spans="1:8">
      <c r="A1180" s="64"/>
      <c r="B1180" s="73" t="s">
        <v>2253</v>
      </c>
      <c r="C1180" s="66" t="s">
        <v>2254</v>
      </c>
      <c r="D1180" s="67">
        <v>0.913</v>
      </c>
      <c r="E1180" s="68"/>
      <c r="F1180" s="69">
        <v>3.5</v>
      </c>
      <c r="G1180" s="70"/>
      <c r="H1180" s="71">
        <v>2.1</v>
      </c>
    </row>
    <row r="1181" customHeight="1" spans="1:8">
      <c r="A1181" s="64"/>
      <c r="B1181" s="73" t="s">
        <v>2255</v>
      </c>
      <c r="C1181" s="66" t="s">
        <v>2256</v>
      </c>
      <c r="D1181" s="67">
        <v>0.6522</v>
      </c>
      <c r="E1181" s="68"/>
      <c r="F1181" s="69">
        <v>2.4</v>
      </c>
      <c r="G1181" s="70"/>
      <c r="H1181" s="71">
        <v>1.5</v>
      </c>
    </row>
    <row r="1182" customHeight="1" spans="1:8">
      <c r="A1182" s="64"/>
      <c r="B1182" s="73" t="s">
        <v>2257</v>
      </c>
      <c r="C1182" s="66" t="s">
        <v>2258</v>
      </c>
      <c r="D1182" s="67">
        <v>0.087</v>
      </c>
      <c r="E1182" s="68"/>
      <c r="F1182" s="69">
        <v>0.3</v>
      </c>
      <c r="G1182" s="70"/>
      <c r="H1182" s="71">
        <v>0.2</v>
      </c>
    </row>
    <row r="1183" customHeight="1" spans="1:8">
      <c r="A1183" s="74"/>
      <c r="B1183" s="73" t="s">
        <v>2259</v>
      </c>
      <c r="C1183" s="66" t="s">
        <v>2260</v>
      </c>
      <c r="D1183" s="67">
        <v>0.2174</v>
      </c>
      <c r="E1183" s="68"/>
      <c r="F1183" s="69">
        <v>1</v>
      </c>
      <c r="G1183" s="70"/>
      <c r="H1183" s="71">
        <v>0.5</v>
      </c>
    </row>
    <row r="1184" customHeight="1" spans="1:8">
      <c r="A1184" s="84"/>
      <c r="B1184" s="73" t="s">
        <v>2261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</row>
    <row r="1185" customHeight="1" spans="1:8">
      <c r="A1185" s="84"/>
      <c r="B1185" s="73" t="s">
        <v>2262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</row>
    <row r="1186" customHeight="1" spans="1:8">
      <c r="A1186" s="84"/>
      <c r="B1186" s="73" t="s">
        <v>2263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</row>
    <row r="1187" customHeight="1" spans="1:8">
      <c r="A1187" s="84"/>
      <c r="B1187" s="73" t="s">
        <v>2264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</row>
    <row r="1188" customHeight="1" spans="1:8">
      <c r="A1188" s="84"/>
      <c r="B1188" s="73" t="s">
        <v>2265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</row>
    <row r="1189" customHeight="1" spans="1:8">
      <c r="A1189" s="84"/>
      <c r="B1189" s="73" t="s">
        <v>2266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</row>
    <row r="1190" customHeight="1" spans="1:8">
      <c r="A1190" s="84"/>
      <c r="B1190" s="73" t="s">
        <v>2267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</row>
    <row r="1191" customHeight="1" spans="1:8">
      <c r="A1191" s="84"/>
      <c r="B1191" s="73" t="s">
        <v>2268</v>
      </c>
      <c r="C1191" s="66" t="s">
        <v>2260</v>
      </c>
      <c r="D1191" s="67">
        <v>0.2609</v>
      </c>
      <c r="E1191" s="68"/>
      <c r="F1191" s="69">
        <v>1</v>
      </c>
      <c r="G1191" s="70"/>
      <c r="H1191" s="71">
        <v>0.6</v>
      </c>
    </row>
    <row r="1192" customHeight="1" spans="1:8">
      <c r="A1192" s="84"/>
      <c r="B1192" s="73" t="s">
        <v>2269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</row>
    <row r="1193" customHeight="1" spans="1:8">
      <c r="A1193" s="84"/>
      <c r="B1193" s="73" t="s">
        <v>2270</v>
      </c>
      <c r="C1193" s="66" t="s">
        <v>2260</v>
      </c>
      <c r="D1193" s="67">
        <v>0.2174</v>
      </c>
      <c r="E1193" s="68"/>
      <c r="F1193" s="69">
        <v>1</v>
      </c>
      <c r="G1193" s="70"/>
      <c r="H1193" s="71">
        <v>0.5</v>
      </c>
    </row>
    <row r="1194" customHeight="1" spans="1:8">
      <c r="A1194" s="75"/>
      <c r="B1194" s="73" t="s">
        <v>2271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</row>
    <row r="1195" customHeight="1" spans="1:8">
      <c r="A1195" s="64"/>
      <c r="B1195" s="73" t="s">
        <v>2272</v>
      </c>
      <c r="C1195" s="66" t="s">
        <v>2273</v>
      </c>
      <c r="D1195" s="67">
        <v>0.2174</v>
      </c>
      <c r="E1195" s="68"/>
      <c r="F1195" s="69">
        <v>1</v>
      </c>
      <c r="G1195" s="70"/>
      <c r="H1195" s="71">
        <v>0.5</v>
      </c>
    </row>
    <row r="1196" customHeight="1" spans="1:8">
      <c r="A1196" s="64"/>
      <c r="B1196" s="73" t="s">
        <v>2274</v>
      </c>
      <c r="C1196" s="66" t="s">
        <v>2275</v>
      </c>
      <c r="D1196" s="67">
        <v>0.5652</v>
      </c>
      <c r="E1196" s="68"/>
      <c r="F1196" s="69">
        <v>2.1</v>
      </c>
      <c r="G1196" s="70"/>
      <c r="H1196" s="71">
        <v>1.3</v>
      </c>
    </row>
    <row r="1197" customHeight="1" spans="1:8">
      <c r="A1197" s="64"/>
      <c r="B1197" s="73" t="s">
        <v>2276</v>
      </c>
      <c r="C1197" s="66" t="s">
        <v>2277</v>
      </c>
      <c r="D1197" s="67">
        <v>0.5217</v>
      </c>
      <c r="E1197" s="68"/>
      <c r="F1197" s="69">
        <v>2</v>
      </c>
      <c r="G1197" s="70"/>
      <c r="H1197" s="71">
        <v>1.2</v>
      </c>
    </row>
    <row r="1198" customHeight="1" spans="1:8">
      <c r="A1198" s="64"/>
      <c r="B1198" s="73" t="s">
        <v>2278</v>
      </c>
      <c r="C1198" s="66" t="s">
        <v>2279</v>
      </c>
      <c r="D1198" s="67">
        <v>0.1304</v>
      </c>
      <c r="E1198" s="68"/>
      <c r="F1198" s="69">
        <v>0.5</v>
      </c>
      <c r="G1198" s="70"/>
      <c r="H1198" s="71">
        <v>0.3</v>
      </c>
    </row>
    <row r="1199" customHeight="1" spans="1:8">
      <c r="A1199" s="64"/>
      <c r="B1199" s="73" t="s">
        <v>2280</v>
      </c>
      <c r="C1199" s="66" t="s">
        <v>2281</v>
      </c>
      <c r="D1199" s="67">
        <v>0.9565</v>
      </c>
      <c r="E1199" s="68"/>
      <c r="F1199" s="69">
        <v>3.5</v>
      </c>
      <c r="G1199" s="70"/>
      <c r="H1199" s="71">
        <v>2.2</v>
      </c>
    </row>
    <row r="1200" customHeight="1" spans="1:8">
      <c r="A1200" s="64"/>
      <c r="B1200" s="73" t="s">
        <v>2282</v>
      </c>
      <c r="C1200" s="66" t="s">
        <v>2283</v>
      </c>
      <c r="D1200" s="67">
        <v>2.6087</v>
      </c>
      <c r="E1200" s="68"/>
      <c r="F1200" s="69">
        <v>9</v>
      </c>
      <c r="G1200" s="70"/>
      <c r="H1200" s="71">
        <v>6</v>
      </c>
    </row>
    <row r="1201" customHeight="1" spans="1:8">
      <c r="A1201" s="64"/>
      <c r="B1201" s="73" t="s">
        <v>2284</v>
      </c>
      <c r="C1201" s="66" t="s">
        <v>2285</v>
      </c>
      <c r="D1201" s="67">
        <v>2.6087</v>
      </c>
      <c r="E1201" s="68"/>
      <c r="F1201" s="69">
        <v>9</v>
      </c>
      <c r="G1201" s="70"/>
      <c r="H1201" s="71">
        <v>6</v>
      </c>
    </row>
    <row r="1202" customHeight="1" spans="1:8">
      <c r="A1202" s="64"/>
      <c r="B1202" s="73" t="s">
        <v>2286</v>
      </c>
      <c r="C1202" s="66" t="s">
        <v>2287</v>
      </c>
      <c r="D1202" s="67">
        <v>2.6087</v>
      </c>
      <c r="E1202" s="68"/>
      <c r="F1202" s="69">
        <v>9</v>
      </c>
      <c r="G1202" s="70"/>
      <c r="H1202" s="71">
        <v>6</v>
      </c>
    </row>
    <row r="1203" customHeight="1" spans="1:8">
      <c r="A1203" s="64"/>
      <c r="B1203" s="73" t="s">
        <v>2288</v>
      </c>
      <c r="C1203" s="66" t="s">
        <v>2289</v>
      </c>
      <c r="D1203" s="67">
        <v>2.6087</v>
      </c>
      <c r="E1203" s="68"/>
      <c r="F1203" s="69">
        <v>9</v>
      </c>
      <c r="G1203" s="70"/>
      <c r="H1203" s="71">
        <v>6</v>
      </c>
    </row>
    <row r="1204" customHeight="1" spans="1:8">
      <c r="A1204" s="64"/>
      <c r="B1204" s="73" t="s">
        <v>2290</v>
      </c>
      <c r="C1204" s="66" t="s">
        <v>2291</v>
      </c>
      <c r="D1204" s="67">
        <v>2.6087</v>
      </c>
      <c r="E1204" s="68"/>
      <c r="F1204" s="69">
        <v>9</v>
      </c>
      <c r="G1204" s="70"/>
      <c r="H1204" s="71">
        <v>6</v>
      </c>
    </row>
    <row r="1205" customHeight="1" spans="1:8">
      <c r="A1205" s="64"/>
      <c r="B1205" s="73" t="s">
        <v>2292</v>
      </c>
      <c r="C1205" s="66" t="s">
        <v>2293</v>
      </c>
      <c r="D1205" s="67">
        <v>2.6087</v>
      </c>
      <c r="E1205" s="68"/>
      <c r="F1205" s="69">
        <v>9</v>
      </c>
      <c r="G1205" s="70"/>
      <c r="H1205" s="71">
        <v>6</v>
      </c>
    </row>
    <row r="1206" customHeight="1" spans="1:8">
      <c r="A1206" s="64"/>
      <c r="B1206" s="73" t="s">
        <v>2294</v>
      </c>
      <c r="C1206" s="66" t="s">
        <v>2295</v>
      </c>
      <c r="D1206" s="67">
        <v>2.6087</v>
      </c>
      <c r="E1206" s="68"/>
      <c r="F1206" s="69">
        <v>9</v>
      </c>
      <c r="G1206" s="70"/>
      <c r="H1206" s="71">
        <v>6</v>
      </c>
    </row>
    <row r="1207" customHeight="1" spans="1:8">
      <c r="A1207" s="64"/>
      <c r="B1207" s="73" t="s">
        <v>2296</v>
      </c>
      <c r="C1207" s="66" t="s">
        <v>2297</v>
      </c>
      <c r="D1207" s="67">
        <v>2.6087</v>
      </c>
      <c r="E1207" s="68"/>
      <c r="F1207" s="69">
        <v>9</v>
      </c>
      <c r="G1207" s="70"/>
      <c r="H1207" s="71">
        <v>6</v>
      </c>
    </row>
    <row r="1208" customHeight="1" spans="1:8">
      <c r="A1208" s="64"/>
      <c r="B1208" s="73" t="s">
        <v>2298</v>
      </c>
      <c r="C1208" s="66" t="s">
        <v>2299</v>
      </c>
      <c r="D1208" s="67">
        <v>2.6087</v>
      </c>
      <c r="E1208" s="68"/>
      <c r="F1208" s="69">
        <v>9</v>
      </c>
      <c r="G1208" s="70"/>
      <c r="H1208" s="71">
        <v>6</v>
      </c>
    </row>
    <row r="1209" customHeight="1" spans="1:8">
      <c r="A1209" s="64"/>
      <c r="B1209" s="73" t="s">
        <v>2300</v>
      </c>
      <c r="C1209" s="66" t="s">
        <v>2301</v>
      </c>
      <c r="D1209" s="67">
        <v>2.6087</v>
      </c>
      <c r="E1209" s="68"/>
      <c r="F1209" s="69">
        <v>9</v>
      </c>
      <c r="G1209" s="70"/>
      <c r="H1209" s="71">
        <v>6</v>
      </c>
    </row>
    <row r="1210" customHeight="1" spans="1:8">
      <c r="A1210" s="64"/>
      <c r="B1210" s="73" t="s">
        <v>2302</v>
      </c>
      <c r="C1210" s="66" t="s">
        <v>2303</v>
      </c>
      <c r="D1210" s="67">
        <v>2.6087</v>
      </c>
      <c r="E1210" s="68"/>
      <c r="F1210" s="69">
        <v>9</v>
      </c>
      <c r="G1210" s="70"/>
      <c r="H1210" s="71">
        <v>6</v>
      </c>
    </row>
    <row r="1211" customHeight="1" spans="1:8">
      <c r="A1211" s="64"/>
      <c r="B1211" s="73" t="s">
        <v>2304</v>
      </c>
      <c r="C1211" s="66" t="s">
        <v>2305</v>
      </c>
      <c r="D1211" s="67">
        <v>2.6087</v>
      </c>
      <c r="E1211" s="68"/>
      <c r="F1211" s="69">
        <v>9</v>
      </c>
      <c r="G1211" s="70"/>
      <c r="H1211" s="71">
        <v>6</v>
      </c>
    </row>
    <row r="1212" customHeight="1" spans="1:8">
      <c r="A1212" s="64"/>
      <c r="B1212" s="73" t="s">
        <v>2306</v>
      </c>
      <c r="C1212" s="66" t="s">
        <v>2307</v>
      </c>
      <c r="D1212" s="67">
        <v>2.6087</v>
      </c>
      <c r="E1212" s="68"/>
      <c r="F1212" s="69">
        <v>9</v>
      </c>
      <c r="G1212" s="70"/>
      <c r="H1212" s="71">
        <v>6</v>
      </c>
    </row>
    <row r="1213" customHeight="1" spans="1:8">
      <c r="A1213" s="64"/>
      <c r="B1213" s="73" t="s">
        <v>2308</v>
      </c>
      <c r="C1213" s="66" t="s">
        <v>2309</v>
      </c>
      <c r="D1213" s="67">
        <v>2.6087</v>
      </c>
      <c r="E1213" s="68"/>
      <c r="F1213" s="69">
        <v>9</v>
      </c>
      <c r="G1213" s="70"/>
      <c r="H1213" s="71">
        <v>6</v>
      </c>
    </row>
    <row r="1214" customHeight="1" spans="1:8">
      <c r="A1214" s="64"/>
      <c r="B1214" s="103" t="s">
        <v>2310</v>
      </c>
      <c r="C1214" s="104" t="s">
        <v>2311</v>
      </c>
      <c r="D1214" s="67">
        <v>2.6087</v>
      </c>
      <c r="E1214" s="68"/>
      <c r="F1214" s="105">
        <v>9</v>
      </c>
      <c r="G1214" s="106"/>
      <c r="H1214" s="107">
        <v>6</v>
      </c>
    </row>
    <row r="1215" customHeight="1" spans="1:8">
      <c r="A1215" s="64"/>
      <c r="B1215" s="73" t="s">
        <v>2312</v>
      </c>
      <c r="C1215" s="66" t="s">
        <v>2313</v>
      </c>
      <c r="D1215" s="67">
        <v>0.8696</v>
      </c>
      <c r="E1215" s="68"/>
      <c r="F1215" s="69">
        <v>3.5</v>
      </c>
      <c r="G1215" s="70"/>
      <c r="H1215" s="71">
        <v>2</v>
      </c>
    </row>
    <row r="1216" customHeight="1" spans="1:8">
      <c r="A1216" s="64"/>
      <c r="B1216" s="73" t="s">
        <v>2314</v>
      </c>
      <c r="C1216" s="66" t="s">
        <v>2315</v>
      </c>
      <c r="D1216" s="67">
        <v>0.8696</v>
      </c>
      <c r="E1216" s="68"/>
      <c r="F1216" s="69">
        <v>3.2</v>
      </c>
      <c r="G1216" s="70"/>
      <c r="H1216" s="71">
        <v>2</v>
      </c>
    </row>
    <row r="1217" customHeight="1" spans="1:8">
      <c r="A1217" s="64"/>
      <c r="B1217" s="73" t="s">
        <v>2316</v>
      </c>
      <c r="C1217" s="66" t="s">
        <v>2317</v>
      </c>
      <c r="D1217" s="67">
        <v>0.8696</v>
      </c>
      <c r="E1217" s="68"/>
      <c r="F1217" s="69">
        <v>3.5</v>
      </c>
      <c r="G1217" s="70"/>
      <c r="H1217" s="71">
        <v>2</v>
      </c>
    </row>
    <row r="1218" customHeight="1" spans="1:8">
      <c r="A1218" s="64"/>
      <c r="B1218" s="73" t="s">
        <v>2318</v>
      </c>
      <c r="C1218" s="66" t="s">
        <v>2319</v>
      </c>
      <c r="D1218" s="67">
        <v>0.8696</v>
      </c>
      <c r="E1218" s="68"/>
      <c r="F1218" s="69">
        <v>3.5</v>
      </c>
      <c r="G1218" s="70"/>
      <c r="H1218" s="71">
        <v>2</v>
      </c>
    </row>
    <row r="1219" customHeight="1" spans="1:8">
      <c r="A1219" s="64"/>
      <c r="B1219" s="103" t="s">
        <v>2320</v>
      </c>
      <c r="C1219" s="104" t="s">
        <v>2321</v>
      </c>
      <c r="D1219" s="67">
        <v>0.8696</v>
      </c>
      <c r="E1219" s="68"/>
      <c r="F1219" s="105">
        <v>3.5</v>
      </c>
      <c r="G1219" s="106"/>
      <c r="H1219" s="107">
        <v>2</v>
      </c>
    </row>
    <row r="1220" customHeight="1" spans="1:8">
      <c r="A1220" s="64"/>
      <c r="B1220" s="73" t="s">
        <v>2322</v>
      </c>
      <c r="C1220" s="66" t="s">
        <v>2323</v>
      </c>
      <c r="D1220" s="67">
        <v>0.8696</v>
      </c>
      <c r="E1220" s="68"/>
      <c r="F1220" s="69">
        <v>3.5</v>
      </c>
      <c r="G1220" s="70"/>
      <c r="H1220" s="71">
        <v>2</v>
      </c>
    </row>
    <row r="1221" customHeight="1" spans="1:8">
      <c r="A1221" s="64"/>
      <c r="B1221" s="73" t="s">
        <v>2324</v>
      </c>
      <c r="C1221" s="66" t="s">
        <v>2325</v>
      </c>
      <c r="D1221" s="67">
        <v>0.4348</v>
      </c>
      <c r="E1221" s="68"/>
      <c r="F1221" s="69">
        <v>1.6</v>
      </c>
      <c r="G1221" s="70"/>
      <c r="H1221" s="71">
        <v>1</v>
      </c>
    </row>
    <row r="1222" customHeight="1" spans="1:8">
      <c r="A1222" s="64"/>
      <c r="B1222" s="73" t="s">
        <v>2326</v>
      </c>
      <c r="C1222" s="66" t="s">
        <v>2327</v>
      </c>
      <c r="D1222" s="67">
        <v>0.4348</v>
      </c>
      <c r="E1222" s="68"/>
      <c r="F1222" s="69">
        <v>1.6</v>
      </c>
      <c r="G1222" s="70"/>
      <c r="H1222" s="71">
        <v>1</v>
      </c>
    </row>
    <row r="1223" customHeight="1" spans="1:8">
      <c r="A1223" s="64"/>
      <c r="B1223" s="73" t="s">
        <v>2328</v>
      </c>
      <c r="C1223" s="66" t="s">
        <v>2329</v>
      </c>
      <c r="D1223" s="67">
        <v>0.4348</v>
      </c>
      <c r="E1223" s="68"/>
      <c r="F1223" s="69">
        <v>1.6</v>
      </c>
      <c r="G1223" s="70"/>
      <c r="H1223" s="71">
        <v>1</v>
      </c>
    </row>
    <row r="1224" customHeight="1" spans="1:8">
      <c r="A1224" s="64"/>
      <c r="B1224" s="73" t="s">
        <v>2330</v>
      </c>
      <c r="C1224" s="66" t="s">
        <v>2331</v>
      </c>
      <c r="D1224" s="67">
        <v>0.3913</v>
      </c>
      <c r="E1224" s="68"/>
      <c r="F1224" s="69">
        <v>1.4</v>
      </c>
      <c r="G1224" s="70"/>
      <c r="H1224" s="71">
        <v>0.9</v>
      </c>
    </row>
    <row r="1225" customHeight="1" spans="1:8">
      <c r="A1225" s="64"/>
      <c r="B1225" s="73" t="s">
        <v>2332</v>
      </c>
      <c r="C1225" s="66" t="s">
        <v>2333</v>
      </c>
      <c r="D1225" s="67">
        <v>0.3913</v>
      </c>
      <c r="E1225" s="68"/>
      <c r="F1225" s="69">
        <v>1.4</v>
      </c>
      <c r="G1225" s="70"/>
      <c r="H1225" s="71">
        <v>0.9</v>
      </c>
    </row>
    <row r="1226" customHeight="1" spans="1:8">
      <c r="A1226" s="64"/>
      <c r="B1226" s="73" t="s">
        <v>2334</v>
      </c>
      <c r="C1226" s="66" t="s">
        <v>2335</v>
      </c>
      <c r="D1226" s="67">
        <v>0.3913</v>
      </c>
      <c r="E1226" s="68"/>
      <c r="F1226" s="69">
        <v>1.4</v>
      </c>
      <c r="G1226" s="70"/>
      <c r="H1226" s="71">
        <v>0.9</v>
      </c>
    </row>
    <row r="1227" customHeight="1" spans="1:8">
      <c r="A1227" s="64"/>
      <c r="B1227" s="73" t="s">
        <v>2336</v>
      </c>
      <c r="C1227" s="66" t="s">
        <v>2337</v>
      </c>
      <c r="D1227" s="67">
        <v>0.3913</v>
      </c>
      <c r="E1227" s="68"/>
      <c r="F1227" s="69">
        <v>1.4</v>
      </c>
      <c r="G1227" s="70"/>
      <c r="H1227" s="71">
        <v>0.9</v>
      </c>
    </row>
    <row r="1228" customHeight="1" spans="1:8">
      <c r="A1228" s="64"/>
      <c r="B1228" s="73" t="s">
        <v>2338</v>
      </c>
      <c r="C1228" s="66" t="s">
        <v>2339</v>
      </c>
      <c r="D1228" s="67">
        <v>0.3478</v>
      </c>
      <c r="E1228" s="68"/>
      <c r="F1228" s="69">
        <v>1.4</v>
      </c>
      <c r="G1228" s="70"/>
      <c r="H1228" s="71">
        <v>0.8</v>
      </c>
    </row>
    <row r="1229" customHeight="1" spans="1:8">
      <c r="A1229" s="64"/>
      <c r="B1229" s="73" t="s">
        <v>2340</v>
      </c>
      <c r="C1229" s="66" t="s">
        <v>2341</v>
      </c>
      <c r="D1229" s="67">
        <v>0.3913</v>
      </c>
      <c r="E1229" s="68"/>
      <c r="F1229" s="69">
        <v>1.4</v>
      </c>
      <c r="G1229" s="70"/>
      <c r="H1229" s="71">
        <v>0.9</v>
      </c>
    </row>
    <row r="1230" customHeight="1" spans="1:8">
      <c r="A1230" s="64"/>
      <c r="B1230" s="73" t="s">
        <v>2342</v>
      </c>
      <c r="C1230" s="66" t="s">
        <v>2343</v>
      </c>
      <c r="D1230" s="67">
        <v>0.087</v>
      </c>
      <c r="E1230" s="68"/>
      <c r="F1230" s="69">
        <v>0.3</v>
      </c>
      <c r="G1230" s="70"/>
      <c r="H1230" s="71">
        <v>0.2</v>
      </c>
    </row>
    <row r="1231" customHeight="1" spans="1:8">
      <c r="A1231" s="64"/>
      <c r="B1231" s="73" t="s">
        <v>2344</v>
      </c>
      <c r="C1231" s="66" t="s">
        <v>2345</v>
      </c>
      <c r="D1231" s="67">
        <v>0.087</v>
      </c>
      <c r="E1231" s="68"/>
      <c r="F1231" s="69">
        <v>0.3</v>
      </c>
      <c r="G1231" s="70"/>
      <c r="H1231" s="71">
        <v>0.2</v>
      </c>
    </row>
    <row r="1232" customHeight="1" spans="1:8">
      <c r="A1232" s="64"/>
      <c r="B1232" s="73" t="s">
        <v>2346</v>
      </c>
      <c r="C1232" s="66" t="s">
        <v>2347</v>
      </c>
      <c r="D1232" s="67">
        <v>0.087</v>
      </c>
      <c r="E1232" s="68"/>
      <c r="F1232" s="69">
        <v>0.3</v>
      </c>
      <c r="G1232" s="70"/>
      <c r="H1232" s="71">
        <v>0.2</v>
      </c>
    </row>
    <row r="1233" customHeight="1" spans="1:8">
      <c r="A1233" s="64"/>
      <c r="B1233" s="73" t="s">
        <v>2348</v>
      </c>
      <c r="C1233" s="66" t="s">
        <v>2349</v>
      </c>
      <c r="D1233" s="67">
        <v>0.087</v>
      </c>
      <c r="E1233" s="68"/>
      <c r="F1233" s="69">
        <v>0.3</v>
      </c>
      <c r="G1233" s="70"/>
      <c r="H1233" s="71">
        <v>0.2</v>
      </c>
    </row>
    <row r="1234" customHeight="1" spans="1:8">
      <c r="A1234" s="64"/>
      <c r="B1234" s="73" t="s">
        <v>2350</v>
      </c>
      <c r="C1234" s="66" t="s">
        <v>2351</v>
      </c>
      <c r="D1234" s="67">
        <v>0.087</v>
      </c>
      <c r="E1234" s="68"/>
      <c r="F1234" s="69">
        <v>0.3</v>
      </c>
      <c r="G1234" s="70"/>
      <c r="H1234" s="71">
        <v>0.2</v>
      </c>
    </row>
    <row r="1235" customHeight="1" spans="1:8">
      <c r="A1235" s="64"/>
      <c r="B1235" s="73" t="s">
        <v>2352</v>
      </c>
      <c r="C1235" s="66" t="s">
        <v>2353</v>
      </c>
      <c r="D1235" s="67">
        <v>0.087</v>
      </c>
      <c r="E1235" s="68"/>
      <c r="F1235" s="69">
        <v>0.3</v>
      </c>
      <c r="G1235" s="70"/>
      <c r="H1235" s="71">
        <v>0.2</v>
      </c>
    </row>
    <row r="1236" customHeight="1" spans="1:8">
      <c r="A1236" s="64"/>
      <c r="B1236" s="103" t="s">
        <v>2354</v>
      </c>
      <c r="C1236" s="104" t="s">
        <v>2355</v>
      </c>
      <c r="D1236" s="67">
        <v>0.3043</v>
      </c>
      <c r="E1236" s="68"/>
      <c r="F1236" s="105">
        <v>1.1</v>
      </c>
      <c r="G1236" s="106"/>
      <c r="H1236" s="107">
        <v>0.7</v>
      </c>
    </row>
    <row r="1237" customHeight="1" spans="1:8">
      <c r="A1237" s="64"/>
      <c r="B1237" s="73" t="s">
        <v>2356</v>
      </c>
      <c r="C1237" s="66" t="s">
        <v>2357</v>
      </c>
      <c r="D1237" s="67">
        <v>0.0435</v>
      </c>
      <c r="E1237" s="68"/>
      <c r="F1237" s="69">
        <v>0.3</v>
      </c>
      <c r="G1237" s="70"/>
      <c r="H1237" s="71">
        <v>0.1</v>
      </c>
    </row>
    <row r="1238" customHeight="1" spans="1:8">
      <c r="A1238" s="64"/>
      <c r="B1238" s="73" t="s">
        <v>2358</v>
      </c>
      <c r="C1238" s="66" t="s">
        <v>2359</v>
      </c>
      <c r="D1238" s="67">
        <v>0.2609</v>
      </c>
      <c r="E1238" s="68"/>
      <c r="F1238" s="69">
        <v>1</v>
      </c>
      <c r="G1238" s="70"/>
      <c r="H1238" s="71">
        <v>0.6</v>
      </c>
    </row>
    <row r="1239" customHeight="1" spans="1:8">
      <c r="A1239" s="64"/>
      <c r="B1239" s="73" t="s">
        <v>2360</v>
      </c>
      <c r="C1239" s="66" t="s">
        <v>2361</v>
      </c>
      <c r="D1239" s="67">
        <v>0.3478</v>
      </c>
      <c r="E1239" s="68"/>
      <c r="F1239" s="69">
        <v>1.3</v>
      </c>
      <c r="G1239" s="70"/>
      <c r="H1239" s="71">
        <v>0.8</v>
      </c>
    </row>
    <row r="1240" spans="1:8">
      <c r="A1240" s="64"/>
      <c r="B1240" s="73" t="s">
        <v>2362</v>
      </c>
      <c r="C1240" s="66" t="s">
        <v>2363</v>
      </c>
      <c r="D1240" s="67">
        <v>0.2174</v>
      </c>
      <c r="E1240" s="68"/>
      <c r="F1240" s="69">
        <v>0.5</v>
      </c>
      <c r="G1240" s="70"/>
      <c r="H1240" s="71">
        <v>0.3</v>
      </c>
    </row>
    <row r="1241" customHeight="1" spans="1:8">
      <c r="A1241" s="64"/>
      <c r="B1241" s="73" t="s">
        <v>2364</v>
      </c>
      <c r="C1241" s="66" t="s">
        <v>2365</v>
      </c>
      <c r="D1241" s="67">
        <v>3.1739</v>
      </c>
      <c r="E1241" s="68"/>
      <c r="F1241" s="69">
        <v>10</v>
      </c>
      <c r="G1241" s="70"/>
      <c r="H1241" s="71">
        <v>7.3</v>
      </c>
    </row>
    <row r="1242" ht="25.5" customHeight="1" spans="1:8">
      <c r="A1242" s="64"/>
      <c r="B1242" s="103" t="s">
        <v>2366</v>
      </c>
      <c r="C1242" s="104" t="s">
        <v>2367</v>
      </c>
      <c r="D1242" s="67">
        <v>3.2609</v>
      </c>
      <c r="E1242" s="68"/>
      <c r="F1242" s="105">
        <v>12</v>
      </c>
      <c r="G1242" s="106"/>
      <c r="H1242" s="107">
        <v>7.5</v>
      </c>
    </row>
    <row r="1243" customHeight="1" spans="1:8">
      <c r="A1243" s="64"/>
      <c r="B1243" s="73" t="s">
        <v>2368</v>
      </c>
      <c r="C1243" s="66" t="s">
        <v>2369</v>
      </c>
      <c r="D1243" s="67">
        <v>2</v>
      </c>
      <c r="E1243" s="68"/>
      <c r="F1243" s="69">
        <v>7.4</v>
      </c>
      <c r="G1243" s="70"/>
      <c r="H1243" s="71">
        <v>4.6</v>
      </c>
    </row>
    <row r="1244" customHeight="1" spans="1:8">
      <c r="A1244" s="64"/>
      <c r="B1244" s="73" t="s">
        <v>2370</v>
      </c>
      <c r="C1244" s="66" t="s">
        <v>2371</v>
      </c>
      <c r="D1244" s="67">
        <v>1.3043</v>
      </c>
      <c r="E1244" s="68"/>
      <c r="F1244" s="69">
        <v>4.8</v>
      </c>
      <c r="G1244" s="70"/>
      <c r="H1244" s="71">
        <v>3</v>
      </c>
    </row>
    <row r="1245" customHeight="1" spans="1:8">
      <c r="A1245" s="64"/>
      <c r="B1245" s="73" t="s">
        <v>2372</v>
      </c>
      <c r="C1245" s="66" t="s">
        <v>2373</v>
      </c>
      <c r="D1245" s="67">
        <v>3</v>
      </c>
      <c r="E1245" s="68"/>
      <c r="F1245" s="69">
        <v>11.1</v>
      </c>
      <c r="G1245" s="70"/>
      <c r="H1245" s="71">
        <v>6.9</v>
      </c>
    </row>
    <row r="1246" customHeight="1" spans="1:8">
      <c r="A1246" s="64"/>
      <c r="B1246" s="73" t="s">
        <v>2374</v>
      </c>
      <c r="C1246" s="66" t="s">
        <v>2375</v>
      </c>
      <c r="D1246" s="67">
        <v>5.4348</v>
      </c>
      <c r="E1246" s="68"/>
      <c r="F1246" s="69">
        <v>13.5</v>
      </c>
      <c r="G1246" s="70"/>
      <c r="H1246" s="71">
        <v>12.5</v>
      </c>
    </row>
    <row r="1247" customHeight="1" spans="1:8">
      <c r="A1247" s="64"/>
      <c r="B1247" s="103" t="s">
        <v>2376</v>
      </c>
      <c r="C1247" s="104" t="s">
        <v>2377</v>
      </c>
      <c r="D1247" s="67">
        <v>3.087</v>
      </c>
      <c r="E1247" s="68"/>
      <c r="F1247" s="105">
        <v>11.3</v>
      </c>
      <c r="G1247" s="106"/>
      <c r="H1247" s="107">
        <v>7.1</v>
      </c>
    </row>
    <row r="1248" customHeight="1" spans="1:8">
      <c r="A1248" s="64"/>
      <c r="B1248" s="103" t="s">
        <v>2378</v>
      </c>
      <c r="C1248" s="104" t="s">
        <v>2379</v>
      </c>
      <c r="D1248" s="67">
        <v>0.2174</v>
      </c>
      <c r="E1248" s="68"/>
      <c r="F1248" s="105">
        <v>1</v>
      </c>
      <c r="G1248" s="106"/>
      <c r="H1248" s="107">
        <v>0.5</v>
      </c>
    </row>
    <row r="1249" customHeight="1" spans="1:8">
      <c r="A1249" s="64"/>
      <c r="B1249" s="103" t="s">
        <v>2380</v>
      </c>
      <c r="C1249" s="104" t="s">
        <v>2381</v>
      </c>
      <c r="D1249" s="67">
        <v>0.2174</v>
      </c>
      <c r="E1249" s="68"/>
      <c r="F1249" s="105">
        <v>1</v>
      </c>
      <c r="G1249" s="106"/>
      <c r="H1249" s="107">
        <v>0.5</v>
      </c>
    </row>
    <row r="1250" ht="25.5" spans="1:8">
      <c r="A1250" s="64"/>
      <c r="B1250" s="81" t="s">
        <v>2382</v>
      </c>
      <c r="C1250" s="66" t="s">
        <v>2383</v>
      </c>
      <c r="D1250" s="67">
        <v>0.2174</v>
      </c>
      <c r="E1250" s="68"/>
      <c r="F1250" s="69">
        <v>0.5</v>
      </c>
      <c r="G1250" s="70"/>
      <c r="H1250" s="71">
        <v>0.3</v>
      </c>
    </row>
    <row r="1251" ht="25.5" spans="1:8">
      <c r="A1251" s="64"/>
      <c r="B1251" s="65">
        <v>6259201903281</v>
      </c>
      <c r="C1251" s="66" t="s">
        <v>2384</v>
      </c>
      <c r="D1251" s="67">
        <v>0.2174</v>
      </c>
      <c r="E1251" s="68"/>
      <c r="F1251" s="69">
        <v>0.5</v>
      </c>
      <c r="G1251" s="70"/>
      <c r="H1251" s="71">
        <v>0.3</v>
      </c>
    </row>
    <row r="1252" customHeight="1" spans="1:8">
      <c r="A1252" s="64"/>
      <c r="B1252" s="73" t="s">
        <v>2385</v>
      </c>
      <c r="C1252" s="66" t="s">
        <v>2386</v>
      </c>
      <c r="D1252" s="67">
        <v>0.2174</v>
      </c>
      <c r="E1252" s="68"/>
      <c r="F1252" s="69">
        <v>0.5</v>
      </c>
      <c r="G1252" s="70"/>
      <c r="H1252" s="71">
        <v>0.25</v>
      </c>
    </row>
    <row r="1253" customHeight="1" spans="1:8">
      <c r="A1253" s="64"/>
      <c r="B1253" s="73" t="s">
        <v>2387</v>
      </c>
      <c r="C1253" s="66" t="s">
        <v>2388</v>
      </c>
      <c r="D1253" s="67">
        <v>5.0435</v>
      </c>
      <c r="E1253" s="68"/>
      <c r="F1253" s="69">
        <v>15</v>
      </c>
      <c r="G1253" s="70"/>
      <c r="H1253" s="71">
        <v>11.6</v>
      </c>
    </row>
    <row r="1254" customHeight="1" spans="1:8">
      <c r="A1254" s="64"/>
      <c r="B1254" s="73" t="s">
        <v>2389</v>
      </c>
      <c r="C1254" s="66" t="s">
        <v>2390</v>
      </c>
      <c r="D1254" s="67">
        <v>5.0435</v>
      </c>
      <c r="E1254" s="68"/>
      <c r="F1254" s="69">
        <v>15</v>
      </c>
      <c r="G1254" s="70"/>
      <c r="H1254" s="71">
        <v>11.6</v>
      </c>
    </row>
    <row r="1255" customHeight="1" spans="1:8">
      <c r="A1255" s="64"/>
      <c r="B1255" s="73" t="s">
        <v>2391</v>
      </c>
      <c r="C1255" s="66" t="s">
        <v>2392</v>
      </c>
      <c r="D1255" s="67">
        <v>5.0435</v>
      </c>
      <c r="E1255" s="68"/>
      <c r="F1255" s="69">
        <v>15</v>
      </c>
      <c r="G1255" s="70"/>
      <c r="H1255" s="71">
        <v>11.6</v>
      </c>
    </row>
    <row r="1256" customHeight="1" spans="1:8">
      <c r="A1256" s="64"/>
      <c r="B1256" s="73" t="s">
        <v>2393</v>
      </c>
      <c r="C1256" s="66" t="s">
        <v>2394</v>
      </c>
      <c r="D1256" s="67">
        <v>4.6957</v>
      </c>
      <c r="E1256" s="68"/>
      <c r="F1256" s="69">
        <v>15</v>
      </c>
      <c r="G1256" s="70"/>
      <c r="H1256" s="71">
        <v>10.8</v>
      </c>
    </row>
    <row r="1257" customHeight="1" spans="1:8">
      <c r="A1257" s="64"/>
      <c r="B1257" s="73" t="s">
        <v>2395</v>
      </c>
      <c r="C1257" s="66" t="s">
        <v>2396</v>
      </c>
      <c r="D1257" s="67">
        <v>5.0435</v>
      </c>
      <c r="E1257" s="68"/>
      <c r="F1257" s="69">
        <v>18.5</v>
      </c>
      <c r="G1257" s="70"/>
      <c r="H1257" s="71">
        <v>11.6</v>
      </c>
    </row>
    <row r="1258" customHeight="1" spans="1:8">
      <c r="A1258" s="64"/>
      <c r="B1258" s="103" t="s">
        <v>2397</v>
      </c>
      <c r="C1258" s="104" t="s">
        <v>2398</v>
      </c>
      <c r="D1258" s="67">
        <v>0.2174</v>
      </c>
      <c r="E1258" s="68"/>
      <c r="F1258" s="105">
        <v>1</v>
      </c>
      <c r="G1258" s="106"/>
      <c r="H1258" s="107">
        <v>0.5</v>
      </c>
    </row>
    <row r="1259" customHeight="1" spans="1:8">
      <c r="A1259" s="64"/>
      <c r="B1259" s="103" t="s">
        <v>2399</v>
      </c>
      <c r="C1259" s="104" t="s">
        <v>2400</v>
      </c>
      <c r="D1259" s="67">
        <v>2.3478</v>
      </c>
      <c r="E1259" s="68"/>
      <c r="F1259" s="105">
        <v>8.7</v>
      </c>
      <c r="G1259" s="106"/>
      <c r="H1259" s="107">
        <v>5.4</v>
      </c>
    </row>
    <row r="1260" customHeight="1" spans="1:8">
      <c r="A1260" s="64"/>
      <c r="B1260" s="103" t="s">
        <v>2401</v>
      </c>
      <c r="C1260" s="104" t="s">
        <v>2402</v>
      </c>
      <c r="D1260" s="67">
        <v>0.5652</v>
      </c>
      <c r="E1260" s="68"/>
      <c r="F1260" s="105">
        <v>5</v>
      </c>
      <c r="G1260" s="106"/>
      <c r="H1260" s="107">
        <v>2.3</v>
      </c>
    </row>
    <row r="1261" customHeight="1" spans="1:8">
      <c r="A1261" s="64"/>
      <c r="B1261" s="73" t="s">
        <v>2403</v>
      </c>
      <c r="C1261" s="66" t="s">
        <v>2404</v>
      </c>
      <c r="D1261" s="67">
        <v>1.4348</v>
      </c>
      <c r="E1261" s="68"/>
      <c r="F1261" s="69">
        <v>6</v>
      </c>
      <c r="G1261" s="70"/>
      <c r="H1261" s="71">
        <v>3.3</v>
      </c>
    </row>
    <row r="1262" customHeight="1" spans="1:8">
      <c r="A1262" s="64"/>
      <c r="B1262" s="73" t="s">
        <v>2405</v>
      </c>
      <c r="C1262" s="66" t="s">
        <v>2406</v>
      </c>
      <c r="D1262" s="67">
        <v>1.1304</v>
      </c>
      <c r="E1262" s="68"/>
      <c r="F1262" s="69">
        <v>4.5</v>
      </c>
      <c r="G1262" s="70"/>
      <c r="H1262" s="71">
        <v>2.6</v>
      </c>
    </row>
    <row r="1263" customHeight="1" spans="1:8">
      <c r="A1263" s="64"/>
      <c r="B1263" s="73" t="s">
        <v>2407</v>
      </c>
      <c r="C1263" s="66" t="s">
        <v>2408</v>
      </c>
      <c r="D1263" s="67">
        <v>0.2174</v>
      </c>
      <c r="E1263" s="68"/>
      <c r="F1263" s="69">
        <v>1</v>
      </c>
      <c r="G1263" s="70"/>
      <c r="H1263" s="71">
        <v>0.5</v>
      </c>
    </row>
    <row r="1264" customHeight="1" spans="1:8">
      <c r="A1264" s="64"/>
      <c r="B1264" s="73" t="s">
        <v>2409</v>
      </c>
      <c r="C1264" s="66" t="s">
        <v>2410</v>
      </c>
      <c r="D1264" s="67">
        <v>0.2174</v>
      </c>
      <c r="E1264" s="68"/>
      <c r="F1264" s="69">
        <v>1</v>
      </c>
      <c r="G1264" s="70"/>
      <c r="H1264" s="71">
        <v>0.5</v>
      </c>
    </row>
    <row r="1265" customHeight="1" spans="1:8">
      <c r="A1265" s="64"/>
      <c r="B1265" s="73" t="s">
        <v>2411</v>
      </c>
      <c r="C1265" s="66" t="s">
        <v>2412</v>
      </c>
      <c r="D1265" s="67">
        <v>0.2174</v>
      </c>
      <c r="E1265" s="68"/>
      <c r="F1265" s="69">
        <v>1</v>
      </c>
      <c r="G1265" s="70"/>
      <c r="H1265" s="71">
        <v>0.5</v>
      </c>
    </row>
    <row r="1266" customHeight="1" spans="1:8">
      <c r="A1266" s="64"/>
      <c r="B1266" s="73" t="s">
        <v>2413</v>
      </c>
      <c r="C1266" s="66" t="s">
        <v>2414</v>
      </c>
      <c r="D1266" s="67">
        <v>0.2174</v>
      </c>
      <c r="E1266" s="68"/>
      <c r="F1266" s="69">
        <v>1</v>
      </c>
      <c r="G1266" s="70"/>
      <c r="H1266" s="71">
        <v>0.5</v>
      </c>
    </row>
    <row r="1267" customHeight="1" spans="1:8">
      <c r="A1267" s="64"/>
      <c r="B1267" s="73" t="s">
        <v>2415</v>
      </c>
      <c r="C1267" s="66" t="s">
        <v>2416</v>
      </c>
      <c r="D1267" s="67">
        <v>0.2174</v>
      </c>
      <c r="E1267" s="68"/>
      <c r="F1267" s="69">
        <v>1</v>
      </c>
      <c r="G1267" s="70"/>
      <c r="H1267" s="71">
        <v>0.5</v>
      </c>
    </row>
    <row r="1268" customHeight="1" spans="1:8">
      <c r="A1268" s="64"/>
      <c r="B1268" s="73" t="s">
        <v>2417</v>
      </c>
      <c r="C1268" s="66" t="s">
        <v>2418</v>
      </c>
      <c r="D1268" s="67">
        <v>0.2174</v>
      </c>
      <c r="E1268" s="68"/>
      <c r="F1268" s="69">
        <v>1</v>
      </c>
      <c r="G1268" s="70"/>
      <c r="H1268" s="71">
        <v>0.5</v>
      </c>
    </row>
    <row r="1269" customHeight="1" spans="1:8">
      <c r="A1269" s="64"/>
      <c r="B1269" s="73" t="s">
        <v>2419</v>
      </c>
      <c r="C1269" s="66" t="s">
        <v>2420</v>
      </c>
      <c r="D1269" s="67">
        <v>0.2174</v>
      </c>
      <c r="E1269" s="68"/>
      <c r="F1269" s="69">
        <v>1</v>
      </c>
      <c r="G1269" s="70"/>
      <c r="H1269" s="71">
        <v>0.5</v>
      </c>
    </row>
    <row r="1270" ht="25.5" customHeight="1" spans="1:8">
      <c r="A1270" s="64"/>
      <c r="B1270" s="73" t="s">
        <v>2421</v>
      </c>
      <c r="C1270" s="66" t="s">
        <v>2422</v>
      </c>
      <c r="D1270" s="67">
        <v>0.2174</v>
      </c>
      <c r="E1270" s="68"/>
      <c r="F1270" s="69">
        <v>1</v>
      </c>
      <c r="G1270" s="70"/>
      <c r="H1270" s="71">
        <v>0.5</v>
      </c>
    </row>
    <row r="1271" customHeight="1" spans="1:8">
      <c r="A1271" s="64"/>
      <c r="B1271" s="73" t="s">
        <v>2423</v>
      </c>
      <c r="C1271" s="66" t="s">
        <v>2424</v>
      </c>
      <c r="D1271" s="67">
        <v>0.2174</v>
      </c>
      <c r="E1271" s="68"/>
      <c r="F1271" s="69">
        <v>1</v>
      </c>
      <c r="G1271" s="70"/>
      <c r="H1271" s="71">
        <v>0.5</v>
      </c>
    </row>
    <row r="1272" customHeight="1" spans="1:8">
      <c r="A1272" s="64"/>
      <c r="B1272" s="73" t="s">
        <v>2425</v>
      </c>
      <c r="C1272" s="66" t="s">
        <v>2426</v>
      </c>
      <c r="D1272" s="67">
        <v>0.2174</v>
      </c>
      <c r="E1272" s="68"/>
      <c r="F1272" s="69">
        <v>1</v>
      </c>
      <c r="G1272" s="70"/>
      <c r="H1272" s="71">
        <v>0.5</v>
      </c>
    </row>
    <row r="1273" customHeight="1" spans="1:8">
      <c r="A1273" s="64"/>
      <c r="B1273" s="73" t="s">
        <v>2427</v>
      </c>
      <c r="C1273" s="66" t="s">
        <v>2428</v>
      </c>
      <c r="D1273" s="67">
        <v>0.2174</v>
      </c>
      <c r="E1273" s="68"/>
      <c r="F1273" s="69">
        <v>1</v>
      </c>
      <c r="G1273" s="70"/>
      <c r="H1273" s="71">
        <v>0.5</v>
      </c>
    </row>
    <row r="1274" customHeight="1" spans="1:8">
      <c r="A1274" s="64"/>
      <c r="B1274" s="103" t="s">
        <v>2429</v>
      </c>
      <c r="C1274" s="104" t="s">
        <v>2430</v>
      </c>
      <c r="D1274" s="67">
        <v>0.2174</v>
      </c>
      <c r="E1274" s="68"/>
      <c r="F1274" s="105">
        <v>1</v>
      </c>
      <c r="G1274" s="106"/>
      <c r="H1274" s="107">
        <v>0.5</v>
      </c>
    </row>
    <row r="1275" customHeight="1" spans="1:8">
      <c r="A1275" s="64"/>
      <c r="B1275" s="73" t="s">
        <v>2431</v>
      </c>
      <c r="C1275" s="66" t="s">
        <v>2432</v>
      </c>
      <c r="D1275" s="67">
        <v>0.2174</v>
      </c>
      <c r="E1275" s="68"/>
      <c r="F1275" s="69">
        <v>1</v>
      </c>
      <c r="G1275" s="70"/>
      <c r="H1275" s="71">
        <v>0.5</v>
      </c>
    </row>
    <row r="1276" customHeight="1" spans="1:8">
      <c r="A1276" s="64"/>
      <c r="B1276" s="103" t="s">
        <v>2433</v>
      </c>
      <c r="C1276" s="104" t="s">
        <v>2434</v>
      </c>
      <c r="D1276" s="67">
        <v>0.2174</v>
      </c>
      <c r="E1276" s="68"/>
      <c r="F1276" s="105">
        <v>1</v>
      </c>
      <c r="G1276" s="106"/>
      <c r="H1276" s="107">
        <v>0.5</v>
      </c>
    </row>
    <row r="1277" ht="25.5" customHeight="1" spans="1:8">
      <c r="A1277" s="64"/>
      <c r="B1277" s="73" t="s">
        <v>2435</v>
      </c>
      <c r="C1277" s="66" t="s">
        <v>2436</v>
      </c>
      <c r="D1277" s="67">
        <v>0.2174</v>
      </c>
      <c r="E1277" s="68"/>
      <c r="F1277" s="69">
        <v>1</v>
      </c>
      <c r="G1277" s="70"/>
      <c r="H1277" s="71">
        <v>0.5</v>
      </c>
    </row>
    <row r="1278" customHeight="1" spans="1:8">
      <c r="A1278" s="64"/>
      <c r="B1278" s="73" t="s">
        <v>2437</v>
      </c>
      <c r="C1278" s="66" t="s">
        <v>2438</v>
      </c>
      <c r="D1278" s="67">
        <v>0.2174</v>
      </c>
      <c r="E1278" s="68"/>
      <c r="F1278" s="69">
        <v>1</v>
      </c>
      <c r="G1278" s="70"/>
      <c r="H1278" s="71">
        <v>0.5</v>
      </c>
    </row>
    <row r="1279" customHeight="1" spans="1:8">
      <c r="A1279" s="64"/>
      <c r="B1279" s="73" t="s">
        <v>2439</v>
      </c>
      <c r="C1279" s="66" t="s">
        <v>2440</v>
      </c>
      <c r="D1279" s="67">
        <v>0.2174</v>
      </c>
      <c r="E1279" s="68"/>
      <c r="F1279" s="69">
        <v>1</v>
      </c>
      <c r="G1279" s="70"/>
      <c r="H1279" s="71">
        <v>0.5</v>
      </c>
    </row>
    <row r="1280" customHeight="1" spans="1:8">
      <c r="A1280" s="64"/>
      <c r="B1280" s="73" t="s">
        <v>2441</v>
      </c>
      <c r="C1280" s="66" t="s">
        <v>2442</v>
      </c>
      <c r="D1280" s="67">
        <v>0.2174</v>
      </c>
      <c r="E1280" s="68"/>
      <c r="F1280" s="69">
        <v>1</v>
      </c>
      <c r="G1280" s="70"/>
      <c r="H1280" s="71">
        <v>0.5</v>
      </c>
    </row>
    <row r="1281" customHeight="1" spans="1:8">
      <c r="A1281" s="64"/>
      <c r="B1281" s="73" t="s">
        <v>2443</v>
      </c>
      <c r="C1281" s="66" t="s">
        <v>2444</v>
      </c>
      <c r="D1281" s="67">
        <v>0.2174</v>
      </c>
      <c r="E1281" s="68"/>
      <c r="F1281" s="69">
        <v>1</v>
      </c>
      <c r="G1281" s="70"/>
      <c r="H1281" s="71">
        <v>0.5</v>
      </c>
    </row>
    <row r="1282" customHeight="1" spans="1:8">
      <c r="A1282" s="64"/>
      <c r="B1282" s="73" t="s">
        <v>2445</v>
      </c>
      <c r="C1282" s="66" t="s">
        <v>2446</v>
      </c>
      <c r="D1282" s="67">
        <v>0.2174</v>
      </c>
      <c r="E1282" s="68"/>
      <c r="F1282" s="69">
        <v>1</v>
      </c>
      <c r="G1282" s="70"/>
      <c r="H1282" s="71">
        <v>0.5</v>
      </c>
    </row>
    <row r="1283" customHeight="1" spans="1:8">
      <c r="A1283" s="64"/>
      <c r="B1283" s="73" t="s">
        <v>2447</v>
      </c>
      <c r="C1283" s="66" t="s">
        <v>2448</v>
      </c>
      <c r="D1283" s="67">
        <v>0.2174</v>
      </c>
      <c r="E1283" s="68"/>
      <c r="F1283" s="69">
        <v>1</v>
      </c>
      <c r="G1283" s="70"/>
      <c r="H1283" s="71">
        <v>0.5</v>
      </c>
    </row>
    <row r="1284" ht="25.5" customHeight="1" spans="1:8">
      <c r="A1284" s="64"/>
      <c r="B1284" s="73" t="s">
        <v>2449</v>
      </c>
      <c r="C1284" s="66" t="s">
        <v>2450</v>
      </c>
      <c r="D1284" s="67">
        <v>0.2174</v>
      </c>
      <c r="E1284" s="68"/>
      <c r="F1284" s="69">
        <v>1</v>
      </c>
      <c r="G1284" s="70"/>
      <c r="H1284" s="71">
        <v>0.5</v>
      </c>
    </row>
    <row r="1285" ht="25.5" customHeight="1" spans="1:8">
      <c r="A1285" s="64"/>
      <c r="B1285" s="73" t="s">
        <v>2451</v>
      </c>
      <c r="C1285" s="66" t="s">
        <v>2452</v>
      </c>
      <c r="D1285" s="67">
        <v>0.2174</v>
      </c>
      <c r="E1285" s="68"/>
      <c r="F1285" s="69">
        <v>1</v>
      </c>
      <c r="G1285" s="70"/>
      <c r="H1285" s="71">
        <v>0.5</v>
      </c>
    </row>
    <row r="1286" ht="25.5" customHeight="1" spans="1:8">
      <c r="A1286" s="64"/>
      <c r="B1286" s="73" t="s">
        <v>2453</v>
      </c>
      <c r="C1286" s="66" t="s">
        <v>2454</v>
      </c>
      <c r="D1286" s="67">
        <v>0.2174</v>
      </c>
      <c r="E1286" s="68"/>
      <c r="F1286" s="69">
        <v>1</v>
      </c>
      <c r="G1286" s="70"/>
      <c r="H1286" s="71">
        <v>0.5</v>
      </c>
    </row>
    <row r="1287" ht="25.5" customHeight="1" spans="1:8">
      <c r="A1287" s="64"/>
      <c r="B1287" s="73" t="s">
        <v>2455</v>
      </c>
      <c r="C1287" s="66" t="s">
        <v>2456</v>
      </c>
      <c r="D1287" s="67">
        <v>0.2174</v>
      </c>
      <c r="E1287" s="68"/>
      <c r="F1287" s="69">
        <v>1</v>
      </c>
      <c r="G1287" s="70"/>
      <c r="H1287" s="71">
        <v>0.5</v>
      </c>
    </row>
    <row r="1288" ht="25.5" customHeight="1" spans="1:8">
      <c r="A1288" s="64"/>
      <c r="B1288" s="73" t="s">
        <v>2457</v>
      </c>
      <c r="C1288" s="66" t="s">
        <v>2458</v>
      </c>
      <c r="D1288" s="67">
        <v>0.2174</v>
      </c>
      <c r="E1288" s="68"/>
      <c r="F1288" s="69">
        <v>1</v>
      </c>
      <c r="G1288" s="70"/>
      <c r="H1288" s="71">
        <v>0.5</v>
      </c>
    </row>
    <row r="1289" ht="25.5" customHeight="1" spans="1:8">
      <c r="A1289" s="64"/>
      <c r="B1289" s="73" t="s">
        <v>2459</v>
      </c>
      <c r="C1289" s="66" t="s">
        <v>2460</v>
      </c>
      <c r="D1289" s="67">
        <v>0.2174</v>
      </c>
      <c r="E1289" s="68"/>
      <c r="F1289" s="69">
        <v>1</v>
      </c>
      <c r="G1289" s="70"/>
      <c r="H1289" s="71">
        <v>0.5</v>
      </c>
    </row>
    <row r="1290" customHeight="1" spans="1:8">
      <c r="A1290" s="64"/>
      <c r="B1290" s="73" t="s">
        <v>2461</v>
      </c>
      <c r="C1290" s="66" t="s">
        <v>2462</v>
      </c>
      <c r="D1290" s="67">
        <v>0.2174</v>
      </c>
      <c r="E1290" s="68"/>
      <c r="F1290" s="69">
        <v>1</v>
      </c>
      <c r="G1290" s="70"/>
      <c r="H1290" s="71">
        <v>0.5</v>
      </c>
    </row>
    <row r="1291" customHeight="1" spans="1:8">
      <c r="A1291" s="64"/>
      <c r="B1291" s="73" t="s">
        <v>2463</v>
      </c>
      <c r="C1291" s="66" t="s">
        <v>2464</v>
      </c>
      <c r="D1291" s="67">
        <v>0.2174</v>
      </c>
      <c r="E1291" s="68"/>
      <c r="F1291" s="69">
        <v>1</v>
      </c>
      <c r="G1291" s="70"/>
      <c r="H1291" s="71">
        <v>0.5</v>
      </c>
    </row>
    <row r="1292" ht="25.5" customHeight="1" spans="1:8">
      <c r="A1292" s="64"/>
      <c r="B1292" s="73" t="s">
        <v>2465</v>
      </c>
      <c r="C1292" s="66" t="s">
        <v>2466</v>
      </c>
      <c r="D1292" s="67">
        <v>0.2174</v>
      </c>
      <c r="E1292" s="68"/>
      <c r="F1292" s="69">
        <v>1</v>
      </c>
      <c r="G1292" s="70"/>
      <c r="H1292" s="71">
        <v>0.5</v>
      </c>
    </row>
    <row r="1293" ht="25.5" customHeight="1" spans="1:8">
      <c r="A1293" s="64"/>
      <c r="B1293" s="73" t="s">
        <v>2467</v>
      </c>
      <c r="C1293" s="66" t="s">
        <v>2468</v>
      </c>
      <c r="D1293" s="67">
        <v>0.2174</v>
      </c>
      <c r="E1293" s="68"/>
      <c r="F1293" s="69">
        <v>1</v>
      </c>
      <c r="G1293" s="70"/>
      <c r="H1293" s="71">
        <v>0.5</v>
      </c>
    </row>
    <row r="1294" ht="25.5" customHeight="1" spans="1:8">
      <c r="A1294" s="64"/>
      <c r="B1294" s="73" t="s">
        <v>2469</v>
      </c>
      <c r="C1294" s="66" t="s">
        <v>2470</v>
      </c>
      <c r="D1294" s="67">
        <v>0.2174</v>
      </c>
      <c r="E1294" s="68"/>
      <c r="F1294" s="69">
        <v>1</v>
      </c>
      <c r="G1294" s="70"/>
      <c r="H1294" s="71">
        <v>0.5</v>
      </c>
    </row>
    <row r="1295" customHeight="1" spans="1:8">
      <c r="A1295" s="64"/>
      <c r="B1295" s="73" t="s">
        <v>2471</v>
      </c>
      <c r="C1295" s="66" t="s">
        <v>2472</v>
      </c>
      <c r="D1295" s="67">
        <v>0.2174</v>
      </c>
      <c r="E1295" s="68"/>
      <c r="F1295" s="69">
        <v>1</v>
      </c>
      <c r="G1295" s="70"/>
      <c r="H1295" s="71">
        <v>0.5</v>
      </c>
    </row>
    <row r="1296" ht="25.5" customHeight="1" spans="1:8">
      <c r="A1296" s="64"/>
      <c r="B1296" s="73" t="s">
        <v>2473</v>
      </c>
      <c r="C1296" s="66" t="s">
        <v>2474</v>
      </c>
      <c r="D1296" s="67">
        <v>1.3478</v>
      </c>
      <c r="E1296" s="68"/>
      <c r="F1296" s="69">
        <v>5</v>
      </c>
      <c r="G1296" s="70"/>
      <c r="H1296" s="71">
        <v>3.1</v>
      </c>
    </row>
    <row r="1297" customHeight="1" spans="1:8">
      <c r="A1297" s="64"/>
      <c r="B1297" s="73" t="s">
        <v>2475</v>
      </c>
      <c r="C1297" s="66" t="s">
        <v>2476</v>
      </c>
      <c r="D1297" s="67">
        <v>0.087</v>
      </c>
      <c r="E1297" s="68"/>
      <c r="F1297" s="69">
        <v>0.3</v>
      </c>
      <c r="G1297" s="70"/>
      <c r="H1297" s="71">
        <v>0.2</v>
      </c>
    </row>
    <row r="1298" customHeight="1" spans="1:8">
      <c r="A1298" s="64"/>
      <c r="B1298" s="73" t="s">
        <v>2477</v>
      </c>
      <c r="C1298" s="66" t="s">
        <v>2478</v>
      </c>
      <c r="D1298" s="67">
        <v>0.087</v>
      </c>
      <c r="E1298" s="68"/>
      <c r="F1298" s="69">
        <v>0.5</v>
      </c>
      <c r="G1298" s="70"/>
      <c r="H1298" s="71">
        <v>0.2</v>
      </c>
    </row>
    <row r="1299" customHeight="1" spans="1:8">
      <c r="A1299" s="64"/>
      <c r="B1299" s="73" t="s">
        <v>2479</v>
      </c>
      <c r="C1299" s="66" t="s">
        <v>2480</v>
      </c>
      <c r="D1299" s="67">
        <v>0.3478</v>
      </c>
      <c r="E1299" s="68"/>
      <c r="F1299" s="69">
        <v>1</v>
      </c>
      <c r="G1299" s="70"/>
      <c r="H1299" s="71">
        <v>0.5</v>
      </c>
    </row>
    <row r="1300" customHeight="1" spans="1:8">
      <c r="A1300" s="64"/>
      <c r="B1300" s="73" t="s">
        <v>2481</v>
      </c>
      <c r="C1300" s="66" t="s">
        <v>2482</v>
      </c>
      <c r="D1300" s="67">
        <v>0.0217</v>
      </c>
      <c r="E1300" s="68"/>
      <c r="F1300" s="69">
        <v>0.1</v>
      </c>
      <c r="G1300" s="70"/>
      <c r="H1300" s="71">
        <v>0.05</v>
      </c>
    </row>
    <row r="1301" ht="25.5" customHeight="1" spans="1:8">
      <c r="A1301" s="64"/>
      <c r="B1301" s="73" t="s">
        <v>2483</v>
      </c>
      <c r="C1301" s="66" t="s">
        <v>2484</v>
      </c>
      <c r="D1301" s="67">
        <v>1.3043</v>
      </c>
      <c r="E1301" s="68"/>
      <c r="F1301" s="69">
        <v>4</v>
      </c>
      <c r="G1301" s="70"/>
      <c r="H1301" s="71">
        <v>3</v>
      </c>
    </row>
    <row r="1302" customHeight="1" spans="1:8">
      <c r="A1302" s="64"/>
      <c r="B1302" s="73" t="s">
        <v>2485</v>
      </c>
      <c r="C1302" s="66" t="s">
        <v>2486</v>
      </c>
      <c r="D1302" s="67">
        <v>2.087</v>
      </c>
      <c r="E1302" s="68"/>
      <c r="F1302" s="69">
        <v>7.8</v>
      </c>
      <c r="G1302" s="70"/>
      <c r="H1302" s="71">
        <v>4.8</v>
      </c>
    </row>
    <row r="1303" ht="25.5" customHeight="1" spans="1:8">
      <c r="A1303" s="64"/>
      <c r="B1303" s="73" t="s">
        <v>2487</v>
      </c>
      <c r="C1303" s="66" t="s">
        <v>2488</v>
      </c>
      <c r="D1303" s="67">
        <v>0.3913</v>
      </c>
      <c r="E1303" s="68"/>
      <c r="F1303" s="69">
        <v>1.4</v>
      </c>
      <c r="G1303" s="70"/>
      <c r="H1303" s="71">
        <v>0.9</v>
      </c>
    </row>
    <row r="1304" customHeight="1" spans="1:8">
      <c r="A1304" s="64"/>
      <c r="B1304" s="73" t="s">
        <v>2489</v>
      </c>
      <c r="C1304" s="66" t="s">
        <v>2490</v>
      </c>
      <c r="D1304" s="67">
        <v>1.3043</v>
      </c>
      <c r="E1304" s="68"/>
      <c r="F1304" s="69">
        <v>4.8</v>
      </c>
      <c r="G1304" s="70"/>
      <c r="H1304" s="71">
        <v>3</v>
      </c>
    </row>
    <row r="1305" customHeight="1" spans="1:8">
      <c r="A1305" s="64"/>
      <c r="B1305" s="103" t="s">
        <v>2491</v>
      </c>
      <c r="C1305" s="104" t="s">
        <v>2492</v>
      </c>
      <c r="D1305" s="67">
        <v>0.4348</v>
      </c>
      <c r="E1305" s="68"/>
      <c r="F1305" s="105">
        <v>1.5</v>
      </c>
      <c r="G1305" s="106"/>
      <c r="H1305" s="107">
        <v>1</v>
      </c>
    </row>
    <row r="1306" customHeight="1" spans="1:8">
      <c r="A1306" s="64"/>
      <c r="B1306" s="73" t="s">
        <v>2493</v>
      </c>
      <c r="C1306" s="66" t="s">
        <v>2494</v>
      </c>
      <c r="D1306" s="67">
        <v>0.3913</v>
      </c>
      <c r="E1306" s="68"/>
      <c r="F1306" s="69">
        <v>1.4</v>
      </c>
      <c r="G1306" s="70"/>
      <c r="H1306" s="71">
        <v>0.9</v>
      </c>
    </row>
    <row r="1307" customHeight="1" spans="1:8">
      <c r="A1307" s="64"/>
      <c r="B1307" s="73" t="s">
        <v>2495</v>
      </c>
      <c r="C1307" s="66" t="s">
        <v>2496</v>
      </c>
      <c r="D1307" s="67">
        <v>0.4348</v>
      </c>
      <c r="E1307" s="68"/>
      <c r="F1307" s="69">
        <v>2</v>
      </c>
      <c r="G1307" s="70"/>
      <c r="H1307" s="71">
        <v>1</v>
      </c>
    </row>
    <row r="1308" customHeight="1" spans="1:8">
      <c r="A1308" s="64"/>
      <c r="B1308" s="73" t="s">
        <v>2497</v>
      </c>
      <c r="C1308" s="66" t="s">
        <v>2498</v>
      </c>
      <c r="D1308" s="67">
        <v>1.3478</v>
      </c>
      <c r="E1308" s="68"/>
      <c r="F1308" s="69">
        <v>4.9</v>
      </c>
      <c r="G1308" s="70"/>
      <c r="H1308" s="71">
        <v>3.1</v>
      </c>
    </row>
    <row r="1309" customHeight="1" spans="1:8">
      <c r="A1309" s="64"/>
      <c r="B1309" s="73" t="s">
        <v>2499</v>
      </c>
      <c r="C1309" s="66" t="s">
        <v>2500</v>
      </c>
      <c r="D1309" s="67">
        <v>3.3478</v>
      </c>
      <c r="E1309" s="68"/>
      <c r="F1309" s="69">
        <v>12.5</v>
      </c>
      <c r="G1309" s="70"/>
      <c r="H1309" s="71">
        <v>7.7</v>
      </c>
    </row>
    <row r="1310" ht="25.5" customHeight="1" spans="1:8">
      <c r="A1310" s="64"/>
      <c r="B1310" s="73" t="s">
        <v>2501</v>
      </c>
      <c r="C1310" s="66" t="s">
        <v>2502</v>
      </c>
      <c r="D1310" s="82">
        <v>15.3478</v>
      </c>
      <c r="E1310" s="83"/>
      <c r="F1310" s="69">
        <v>56.5</v>
      </c>
      <c r="G1310" s="70"/>
      <c r="H1310" s="71">
        <v>35.3</v>
      </c>
    </row>
    <row r="1311" customHeight="1" spans="1:8">
      <c r="A1311" s="64"/>
      <c r="B1311" s="73" t="s">
        <v>2503</v>
      </c>
      <c r="C1311" s="66" t="s">
        <v>2504</v>
      </c>
      <c r="D1311" s="67">
        <v>1.0435</v>
      </c>
      <c r="E1311" s="68"/>
      <c r="F1311" s="69">
        <v>3.9</v>
      </c>
      <c r="G1311" s="70"/>
      <c r="H1311" s="71">
        <v>2.4</v>
      </c>
    </row>
    <row r="1312" ht="25.5" customHeight="1" spans="1:8">
      <c r="A1312" s="64"/>
      <c r="B1312" s="73" t="s">
        <v>2505</v>
      </c>
      <c r="C1312" s="66" t="s">
        <v>2506</v>
      </c>
      <c r="D1312" s="67">
        <v>0.5652</v>
      </c>
      <c r="E1312" s="68"/>
      <c r="F1312" s="69">
        <v>2</v>
      </c>
      <c r="G1312" s="70"/>
      <c r="H1312" s="71">
        <v>1.3</v>
      </c>
    </row>
    <row r="1313" customHeight="1" spans="1:8">
      <c r="A1313" s="64"/>
      <c r="B1313" s="73" t="s">
        <v>2507</v>
      </c>
      <c r="C1313" s="66" t="s">
        <v>2508</v>
      </c>
      <c r="D1313" s="67">
        <v>0.5652</v>
      </c>
      <c r="E1313" s="68"/>
      <c r="F1313" s="69">
        <v>2.1</v>
      </c>
      <c r="G1313" s="70"/>
      <c r="H1313" s="71">
        <v>1.3</v>
      </c>
    </row>
    <row r="1314" customHeight="1" spans="1:8">
      <c r="A1314" s="64"/>
      <c r="B1314" s="73" t="s">
        <v>2509</v>
      </c>
      <c r="C1314" s="66" t="s">
        <v>2510</v>
      </c>
      <c r="D1314" s="67">
        <v>0.5652</v>
      </c>
      <c r="E1314" s="68"/>
      <c r="F1314" s="69">
        <v>2.1</v>
      </c>
      <c r="G1314" s="70"/>
      <c r="H1314" s="71">
        <v>1.3</v>
      </c>
    </row>
    <row r="1315" customHeight="1" spans="1:8">
      <c r="A1315" s="64"/>
      <c r="B1315" s="73" t="s">
        <v>2511</v>
      </c>
      <c r="C1315" s="66" t="s">
        <v>2512</v>
      </c>
      <c r="D1315" s="67">
        <v>0.8261</v>
      </c>
      <c r="E1315" s="68"/>
      <c r="F1315" s="69">
        <v>3</v>
      </c>
      <c r="G1315" s="70"/>
      <c r="H1315" s="71">
        <v>1.9</v>
      </c>
    </row>
    <row r="1316" customHeight="1" spans="1:8">
      <c r="A1316" s="64"/>
      <c r="B1316" s="73" t="s">
        <v>2513</v>
      </c>
      <c r="C1316" s="66" t="s">
        <v>2514</v>
      </c>
      <c r="D1316" s="67">
        <v>0.8261</v>
      </c>
      <c r="E1316" s="68"/>
      <c r="F1316" s="69">
        <v>2.85</v>
      </c>
      <c r="G1316" s="70"/>
      <c r="H1316" s="71">
        <v>2</v>
      </c>
    </row>
    <row r="1317" customHeight="1" spans="1:8">
      <c r="A1317" s="64"/>
      <c r="B1317" s="73" t="s">
        <v>2515</v>
      </c>
      <c r="C1317" s="66" t="s">
        <v>2516</v>
      </c>
      <c r="D1317" s="67">
        <v>0.6522</v>
      </c>
      <c r="E1317" s="68"/>
      <c r="F1317" s="69">
        <v>2.25</v>
      </c>
      <c r="G1317" s="70"/>
      <c r="H1317" s="71">
        <v>1.5</v>
      </c>
    </row>
    <row r="1318" customHeight="1" spans="1:8">
      <c r="A1318" s="64"/>
      <c r="B1318" s="73" t="s">
        <v>2517</v>
      </c>
      <c r="C1318" s="66" t="s">
        <v>2518</v>
      </c>
      <c r="D1318" s="67">
        <v>0.3913</v>
      </c>
      <c r="E1318" s="68"/>
      <c r="F1318" s="69">
        <v>1</v>
      </c>
      <c r="G1318" s="70"/>
      <c r="H1318" s="71">
        <v>0.9</v>
      </c>
    </row>
    <row r="1319" customHeight="1" spans="1:8">
      <c r="A1319" s="64"/>
      <c r="B1319" s="73" t="s">
        <v>2519</v>
      </c>
      <c r="C1319" s="66" t="s">
        <v>2520</v>
      </c>
      <c r="D1319" s="67">
        <v>0.1739</v>
      </c>
      <c r="E1319" s="68"/>
      <c r="F1319" s="69">
        <v>0.6</v>
      </c>
      <c r="G1319" s="70"/>
      <c r="H1319" s="71">
        <v>0.4</v>
      </c>
    </row>
    <row r="1320" customHeight="1" spans="1:8">
      <c r="A1320" s="64"/>
      <c r="B1320" s="73" t="s">
        <v>2521</v>
      </c>
      <c r="C1320" s="66" t="s">
        <v>2522</v>
      </c>
      <c r="D1320" s="67">
        <v>0.087</v>
      </c>
      <c r="E1320" s="68"/>
      <c r="F1320" s="69">
        <v>0.3</v>
      </c>
      <c r="G1320" s="70"/>
      <c r="H1320" s="71">
        <v>0.2</v>
      </c>
    </row>
    <row r="1321" customHeight="1" spans="1:8">
      <c r="A1321" s="64"/>
      <c r="B1321" s="65">
        <v>6932654236310</v>
      </c>
      <c r="C1321" s="66" t="s">
        <v>2523</v>
      </c>
      <c r="D1321" s="67">
        <v>0.1304</v>
      </c>
      <c r="E1321" s="68"/>
      <c r="F1321" s="69">
        <v>0.5</v>
      </c>
      <c r="G1321" s="70"/>
      <c r="H1321" s="71">
        <v>0.3</v>
      </c>
    </row>
    <row r="1322" customHeight="1" spans="1:8">
      <c r="A1322" s="64"/>
      <c r="B1322" s="73" t="s">
        <v>2524</v>
      </c>
      <c r="C1322" s="66" t="s">
        <v>2525</v>
      </c>
      <c r="D1322" s="67">
        <v>0.2174</v>
      </c>
      <c r="E1322" s="68"/>
      <c r="F1322" s="69">
        <v>1</v>
      </c>
      <c r="G1322" s="70"/>
      <c r="H1322" s="71">
        <v>0.5</v>
      </c>
    </row>
    <row r="1323" customHeight="1" spans="1:8">
      <c r="A1323" s="64"/>
      <c r="B1323" s="73" t="s">
        <v>2526</v>
      </c>
      <c r="C1323" s="66" t="s">
        <v>2527</v>
      </c>
      <c r="D1323" s="67">
        <v>0.1739</v>
      </c>
      <c r="E1323" s="68"/>
      <c r="F1323" s="69">
        <v>0.6</v>
      </c>
      <c r="G1323" s="70"/>
      <c r="H1323" s="71">
        <v>0.4</v>
      </c>
    </row>
    <row r="1324" customHeight="1" spans="1:8">
      <c r="A1324" s="64"/>
      <c r="B1324" s="73" t="s">
        <v>2528</v>
      </c>
      <c r="C1324" s="66" t="s">
        <v>2529</v>
      </c>
      <c r="D1324" s="67">
        <v>0.1304</v>
      </c>
      <c r="E1324" s="68"/>
      <c r="F1324" s="69">
        <v>0.5</v>
      </c>
      <c r="G1324" s="70"/>
      <c r="H1324" s="71">
        <v>0.3</v>
      </c>
    </row>
    <row r="1325" customHeight="1" spans="1:8">
      <c r="A1325" s="64"/>
      <c r="B1325" s="103" t="s">
        <v>2530</v>
      </c>
      <c r="C1325" s="104" t="s">
        <v>2531</v>
      </c>
      <c r="D1325" s="67">
        <v>0.1304</v>
      </c>
      <c r="E1325" s="68"/>
      <c r="F1325" s="105">
        <v>0.5</v>
      </c>
      <c r="G1325" s="106"/>
      <c r="H1325" s="107">
        <v>0.3</v>
      </c>
    </row>
    <row r="1326" customHeight="1" spans="1:8">
      <c r="A1326" s="64"/>
      <c r="B1326" s="103" t="s">
        <v>2532</v>
      </c>
      <c r="C1326" s="104" t="s">
        <v>2533</v>
      </c>
      <c r="D1326" s="67">
        <v>0.1304</v>
      </c>
      <c r="E1326" s="68"/>
      <c r="F1326" s="105">
        <v>0.5</v>
      </c>
      <c r="G1326" s="106"/>
      <c r="H1326" s="107">
        <v>0.3</v>
      </c>
    </row>
    <row r="1327" customHeight="1" spans="1:8">
      <c r="A1327" s="64"/>
      <c r="B1327" s="73" t="s">
        <v>2534</v>
      </c>
      <c r="C1327" s="66" t="s">
        <v>2535</v>
      </c>
      <c r="D1327" s="67">
        <v>0.1304</v>
      </c>
      <c r="E1327" s="68"/>
      <c r="F1327" s="69">
        <v>0.5</v>
      </c>
      <c r="G1327" s="70"/>
      <c r="H1327" s="71">
        <v>0.3</v>
      </c>
    </row>
    <row r="1328" customHeight="1" spans="1:8">
      <c r="A1328" s="64"/>
      <c r="B1328" s="73" t="s">
        <v>2536</v>
      </c>
      <c r="C1328" s="66" t="s">
        <v>2537</v>
      </c>
      <c r="D1328" s="67">
        <v>0.1304</v>
      </c>
      <c r="E1328" s="68"/>
      <c r="F1328" s="69">
        <v>0.5</v>
      </c>
      <c r="G1328" s="70"/>
      <c r="H1328" s="71">
        <v>0.3</v>
      </c>
    </row>
    <row r="1329" customHeight="1" spans="1:8">
      <c r="A1329" s="64"/>
      <c r="B1329" s="73" t="s">
        <v>2538</v>
      </c>
      <c r="C1329" s="66" t="s">
        <v>2539</v>
      </c>
      <c r="D1329" s="67">
        <v>0.2609</v>
      </c>
      <c r="E1329" s="68"/>
      <c r="F1329" s="69">
        <v>1</v>
      </c>
      <c r="G1329" s="70"/>
      <c r="H1329" s="71">
        <v>0.6</v>
      </c>
    </row>
    <row r="1330" customHeight="1" spans="1:8">
      <c r="A1330" s="64"/>
      <c r="B1330" s="73" t="s">
        <v>2540</v>
      </c>
      <c r="C1330" s="66" t="s">
        <v>2541</v>
      </c>
      <c r="D1330" s="67">
        <v>0.2609</v>
      </c>
      <c r="E1330" s="68"/>
      <c r="F1330" s="69">
        <v>1</v>
      </c>
      <c r="G1330" s="70"/>
      <c r="H1330" s="71">
        <v>0.6</v>
      </c>
    </row>
    <row r="1331" customHeight="1" spans="1:8">
      <c r="A1331" s="64"/>
      <c r="B1331" s="103" t="s">
        <v>2542</v>
      </c>
      <c r="C1331" s="104" t="s">
        <v>2543</v>
      </c>
      <c r="D1331" s="67">
        <v>0.2609</v>
      </c>
      <c r="E1331" s="68"/>
      <c r="F1331" s="105">
        <v>1</v>
      </c>
      <c r="G1331" s="106"/>
      <c r="H1331" s="107">
        <v>0.6</v>
      </c>
    </row>
    <row r="1332" customHeight="1" spans="1:8">
      <c r="A1332" s="64"/>
      <c r="B1332" s="103" t="s">
        <v>2544</v>
      </c>
      <c r="C1332" s="104" t="s">
        <v>2545</v>
      </c>
      <c r="D1332" s="67">
        <v>0.2609</v>
      </c>
      <c r="E1332" s="68"/>
      <c r="F1332" s="105">
        <v>1</v>
      </c>
      <c r="G1332" s="106"/>
      <c r="H1332" s="107">
        <v>0.6</v>
      </c>
    </row>
    <row r="1333" customHeight="1" spans="1:8">
      <c r="A1333" s="64"/>
      <c r="B1333" s="73" t="s">
        <v>2546</v>
      </c>
      <c r="C1333" s="66" t="s">
        <v>2547</v>
      </c>
      <c r="D1333" s="67">
        <v>0.0435</v>
      </c>
      <c r="E1333" s="68"/>
      <c r="F1333" s="69">
        <v>0.25</v>
      </c>
      <c r="G1333" s="70"/>
      <c r="H1333" s="71">
        <v>0.1</v>
      </c>
    </row>
    <row r="1334" customHeight="1" spans="1:8">
      <c r="A1334" s="64"/>
      <c r="B1334" s="73" t="s">
        <v>2548</v>
      </c>
      <c r="C1334" s="66" t="s">
        <v>2549</v>
      </c>
      <c r="D1334" s="67">
        <v>0.087</v>
      </c>
      <c r="E1334" s="68"/>
      <c r="F1334" s="69">
        <v>0.3</v>
      </c>
      <c r="G1334" s="70"/>
      <c r="H1334" s="71">
        <v>0.2</v>
      </c>
    </row>
    <row r="1335" customHeight="1" spans="1:8">
      <c r="A1335" s="64"/>
      <c r="B1335" s="103" t="s">
        <v>2550</v>
      </c>
      <c r="C1335" s="104" t="s">
        <v>2551</v>
      </c>
      <c r="D1335" s="67">
        <v>0.3043</v>
      </c>
      <c r="E1335" s="68"/>
      <c r="F1335" s="105">
        <v>1</v>
      </c>
      <c r="G1335" s="106"/>
      <c r="H1335" s="107">
        <v>0.7</v>
      </c>
    </row>
    <row r="1336" customHeight="1" spans="1:8">
      <c r="A1336" s="64"/>
      <c r="B1336" s="73" t="s">
        <v>2552</v>
      </c>
      <c r="C1336" s="66" t="s">
        <v>2553</v>
      </c>
      <c r="D1336" s="67">
        <v>0.1304</v>
      </c>
      <c r="E1336" s="68"/>
      <c r="F1336" s="69">
        <v>0.5</v>
      </c>
      <c r="G1336" s="70"/>
      <c r="H1336" s="71">
        <v>0.3</v>
      </c>
    </row>
    <row r="1337" customHeight="1" spans="1:8">
      <c r="A1337" s="64"/>
      <c r="B1337" s="103" t="s">
        <v>2554</v>
      </c>
      <c r="C1337" s="104" t="s">
        <v>2555</v>
      </c>
      <c r="D1337" s="67">
        <v>0.2174</v>
      </c>
      <c r="E1337" s="68"/>
      <c r="F1337" s="105">
        <v>1.5</v>
      </c>
      <c r="G1337" s="106"/>
      <c r="H1337" s="107">
        <v>0.5</v>
      </c>
    </row>
    <row r="1338" customHeight="1" spans="1:8">
      <c r="A1338" s="64"/>
      <c r="B1338" s="103" t="s">
        <v>2556</v>
      </c>
      <c r="C1338" s="104" t="s">
        <v>2557</v>
      </c>
      <c r="D1338" s="67">
        <v>0.1304</v>
      </c>
      <c r="E1338" s="68"/>
      <c r="F1338" s="105">
        <v>0.5</v>
      </c>
      <c r="G1338" s="106"/>
      <c r="H1338" s="107">
        <v>0.3</v>
      </c>
    </row>
    <row r="1339" customHeight="1" spans="1:8">
      <c r="A1339" s="64"/>
      <c r="B1339" s="103" t="s">
        <v>2558</v>
      </c>
      <c r="C1339" s="104" t="s">
        <v>2559</v>
      </c>
      <c r="D1339" s="67">
        <v>0.2174</v>
      </c>
      <c r="E1339" s="68"/>
      <c r="F1339" s="105">
        <v>0.7</v>
      </c>
      <c r="G1339" s="106"/>
      <c r="H1339" s="107">
        <v>0.5</v>
      </c>
    </row>
    <row r="1340" customHeight="1" spans="1:8">
      <c r="A1340" s="64"/>
      <c r="B1340" s="73" t="s">
        <v>2560</v>
      </c>
      <c r="C1340" s="66" t="s">
        <v>2561</v>
      </c>
      <c r="D1340" s="67">
        <v>0.4348</v>
      </c>
      <c r="E1340" s="68"/>
      <c r="F1340" s="69">
        <v>1.5</v>
      </c>
      <c r="G1340" s="70"/>
      <c r="H1340" s="71">
        <v>1</v>
      </c>
    </row>
    <row r="1341" customHeight="1" spans="1:8">
      <c r="A1341" s="64"/>
      <c r="B1341" s="103" t="s">
        <v>2562</v>
      </c>
      <c r="C1341" s="104" t="s">
        <v>2563</v>
      </c>
      <c r="D1341" s="67">
        <v>0.4348</v>
      </c>
      <c r="E1341" s="68"/>
      <c r="F1341" s="105">
        <v>1.5</v>
      </c>
      <c r="G1341" s="106"/>
      <c r="H1341" s="107">
        <v>1</v>
      </c>
    </row>
    <row r="1342" customHeight="1" spans="1:8">
      <c r="A1342" s="64"/>
      <c r="B1342" s="103" t="s">
        <v>2564</v>
      </c>
      <c r="C1342" s="104" t="s">
        <v>2565</v>
      </c>
      <c r="D1342" s="67">
        <v>0.5652</v>
      </c>
      <c r="E1342" s="68"/>
      <c r="F1342" s="105">
        <v>2.1</v>
      </c>
      <c r="G1342" s="106"/>
      <c r="H1342" s="107">
        <v>1.3</v>
      </c>
    </row>
    <row r="1343" customHeight="1" spans="1:8">
      <c r="A1343" s="64"/>
      <c r="B1343" s="103" t="s">
        <v>2566</v>
      </c>
      <c r="C1343" s="104" t="s">
        <v>2567</v>
      </c>
      <c r="D1343" s="67">
        <v>0.2609</v>
      </c>
      <c r="E1343" s="68"/>
      <c r="F1343" s="105">
        <v>1</v>
      </c>
      <c r="G1343" s="106"/>
      <c r="H1343" s="107">
        <v>0.6</v>
      </c>
    </row>
    <row r="1344" customHeight="1" spans="1:8">
      <c r="A1344" s="64"/>
      <c r="B1344" s="73" t="s">
        <v>2568</v>
      </c>
      <c r="C1344" s="66" t="s">
        <v>2569</v>
      </c>
      <c r="D1344" s="67">
        <v>0.5217</v>
      </c>
      <c r="E1344" s="68"/>
      <c r="F1344" s="69">
        <v>1.9</v>
      </c>
      <c r="G1344" s="70"/>
      <c r="H1344" s="71">
        <v>1.2</v>
      </c>
    </row>
    <row r="1345" customHeight="1" spans="1:8">
      <c r="A1345" s="64"/>
      <c r="B1345" s="103" t="s">
        <v>2570</v>
      </c>
      <c r="C1345" s="104" t="s">
        <v>2571</v>
      </c>
      <c r="D1345" s="67">
        <v>0.3043</v>
      </c>
      <c r="E1345" s="68"/>
      <c r="F1345" s="105">
        <v>1.1</v>
      </c>
      <c r="G1345" s="106"/>
      <c r="H1345" s="107">
        <v>0.7</v>
      </c>
    </row>
    <row r="1346" customHeight="1" spans="1:8">
      <c r="A1346" s="64"/>
      <c r="B1346" s="103" t="s">
        <v>2572</v>
      </c>
      <c r="C1346" s="104" t="s">
        <v>2573</v>
      </c>
      <c r="D1346" s="67">
        <v>0.3043</v>
      </c>
      <c r="E1346" s="68"/>
      <c r="F1346" s="105">
        <v>1</v>
      </c>
      <c r="G1346" s="106"/>
      <c r="H1346" s="107">
        <v>0.7</v>
      </c>
    </row>
    <row r="1347" customHeight="1" spans="1:8">
      <c r="A1347" s="64"/>
      <c r="B1347" s="73" t="s">
        <v>2574</v>
      </c>
      <c r="C1347" s="66" t="s">
        <v>2575</v>
      </c>
      <c r="D1347" s="67">
        <v>0.3043</v>
      </c>
      <c r="E1347" s="68"/>
      <c r="F1347" s="69">
        <v>1.1</v>
      </c>
      <c r="G1347" s="70"/>
      <c r="H1347" s="71">
        <v>0.7</v>
      </c>
    </row>
    <row r="1348" ht="25.5" customHeight="1" spans="1:8">
      <c r="A1348" s="64"/>
      <c r="B1348" s="103" t="s">
        <v>2576</v>
      </c>
      <c r="C1348" s="104" t="s">
        <v>2577</v>
      </c>
      <c r="D1348" s="67">
        <v>0.2174</v>
      </c>
      <c r="E1348" s="68"/>
      <c r="F1348" s="105">
        <v>0.7</v>
      </c>
      <c r="G1348" s="106"/>
      <c r="H1348" s="107">
        <v>0.5</v>
      </c>
    </row>
    <row r="1349" customHeight="1" spans="1:8">
      <c r="A1349" s="64"/>
      <c r="B1349" s="73" t="s">
        <v>2578</v>
      </c>
      <c r="C1349" s="66" t="s">
        <v>2579</v>
      </c>
      <c r="D1349" s="67">
        <v>0.3478</v>
      </c>
      <c r="E1349" s="68"/>
      <c r="F1349" s="69">
        <v>1.3</v>
      </c>
      <c r="G1349" s="70"/>
      <c r="H1349" s="71">
        <v>0.8</v>
      </c>
    </row>
    <row r="1350" customHeight="1" spans="1:8">
      <c r="A1350" s="64"/>
      <c r="B1350" s="103" t="s">
        <v>2580</v>
      </c>
      <c r="C1350" s="104" t="s">
        <v>2581</v>
      </c>
      <c r="D1350" s="67">
        <v>0.3043</v>
      </c>
      <c r="E1350" s="68"/>
      <c r="F1350" s="105">
        <v>1.1</v>
      </c>
      <c r="G1350" s="106"/>
      <c r="H1350" s="107">
        <v>0.7</v>
      </c>
    </row>
    <row r="1351" customHeight="1" spans="1:8">
      <c r="A1351" s="64"/>
      <c r="B1351" s="103" t="s">
        <v>2582</v>
      </c>
      <c r="C1351" s="104" t="s">
        <v>2583</v>
      </c>
      <c r="D1351" s="67">
        <v>0.3913</v>
      </c>
      <c r="E1351" s="68"/>
      <c r="F1351" s="105">
        <v>1.4</v>
      </c>
      <c r="G1351" s="106"/>
      <c r="H1351" s="107">
        <v>0.9</v>
      </c>
    </row>
    <row r="1352" customHeight="1" spans="1:8">
      <c r="A1352" s="64"/>
      <c r="B1352" s="103" t="s">
        <v>2584</v>
      </c>
      <c r="C1352" s="104" t="s">
        <v>2585</v>
      </c>
      <c r="D1352" s="67">
        <v>0.3478</v>
      </c>
      <c r="E1352" s="68"/>
      <c r="F1352" s="105">
        <v>1.5</v>
      </c>
      <c r="G1352" s="106"/>
      <c r="H1352" s="107">
        <v>0.8</v>
      </c>
    </row>
    <row r="1353" customHeight="1" spans="1:8">
      <c r="A1353" s="64"/>
      <c r="B1353" s="73" t="s">
        <v>2586</v>
      </c>
      <c r="C1353" s="66" t="s">
        <v>2587</v>
      </c>
      <c r="D1353" s="67">
        <v>0.2609</v>
      </c>
      <c r="E1353" s="68"/>
      <c r="F1353" s="69">
        <v>0.9</v>
      </c>
      <c r="G1353" s="70"/>
      <c r="H1353" s="71">
        <v>0.6</v>
      </c>
    </row>
    <row r="1354" customHeight="1" spans="1:8">
      <c r="A1354" s="64"/>
      <c r="B1354" s="73" t="s">
        <v>2588</v>
      </c>
      <c r="C1354" s="66" t="s">
        <v>2589</v>
      </c>
      <c r="D1354" s="67">
        <v>0.2609</v>
      </c>
      <c r="E1354" s="68"/>
      <c r="F1354" s="69">
        <v>1</v>
      </c>
      <c r="G1354" s="70"/>
      <c r="H1354" s="71">
        <v>0.6</v>
      </c>
    </row>
    <row r="1355" customHeight="1" spans="1:8">
      <c r="A1355" s="64"/>
      <c r="B1355" s="73" t="s">
        <v>2590</v>
      </c>
      <c r="C1355" s="66" t="s">
        <v>2591</v>
      </c>
      <c r="D1355" s="67">
        <v>0.3478</v>
      </c>
      <c r="E1355" s="68"/>
      <c r="F1355" s="69">
        <v>1.1</v>
      </c>
      <c r="G1355" s="70"/>
      <c r="H1355" s="71">
        <v>0.8</v>
      </c>
    </row>
    <row r="1356" customHeight="1" spans="1:8">
      <c r="A1356" s="64"/>
      <c r="B1356" s="103" t="s">
        <v>2592</v>
      </c>
      <c r="C1356" s="104" t="s">
        <v>2593</v>
      </c>
      <c r="D1356" s="67">
        <v>0.2174</v>
      </c>
      <c r="E1356" s="68"/>
      <c r="F1356" s="105">
        <v>1.1</v>
      </c>
      <c r="G1356" s="106"/>
      <c r="H1356" s="107">
        <v>0.5</v>
      </c>
    </row>
    <row r="1357" customHeight="1" spans="1:8">
      <c r="A1357" s="64"/>
      <c r="B1357" s="103" t="s">
        <v>2594</v>
      </c>
      <c r="C1357" s="104" t="s">
        <v>2595</v>
      </c>
      <c r="D1357" s="67">
        <v>0.1739</v>
      </c>
      <c r="E1357" s="68"/>
      <c r="F1357" s="105">
        <v>0.7</v>
      </c>
      <c r="G1357" s="106"/>
      <c r="H1357" s="107">
        <v>0.4</v>
      </c>
    </row>
    <row r="1358" customHeight="1" spans="1:8">
      <c r="A1358" s="64"/>
      <c r="B1358" s="73" t="s">
        <v>2596</v>
      </c>
      <c r="C1358" s="66" t="s">
        <v>2597</v>
      </c>
      <c r="D1358" s="67">
        <v>0.2609</v>
      </c>
      <c r="E1358" s="68"/>
      <c r="F1358" s="69">
        <v>0.9</v>
      </c>
      <c r="G1358" s="70"/>
      <c r="H1358" s="71">
        <v>0.6</v>
      </c>
    </row>
    <row r="1359" ht="25.5" customHeight="1" spans="1:8">
      <c r="A1359" s="64"/>
      <c r="B1359" s="103" t="s">
        <v>2598</v>
      </c>
      <c r="C1359" s="104" t="s">
        <v>2599</v>
      </c>
      <c r="D1359" s="67">
        <v>0.2174</v>
      </c>
      <c r="E1359" s="68"/>
      <c r="F1359" s="105">
        <v>1.1</v>
      </c>
      <c r="G1359" s="106"/>
      <c r="H1359" s="107">
        <v>0.8</v>
      </c>
    </row>
    <row r="1360" ht="25.5" customHeight="1" spans="1:8">
      <c r="A1360" s="64"/>
      <c r="B1360" s="73" t="s">
        <v>2600</v>
      </c>
      <c r="C1360" s="66" t="s">
        <v>2601</v>
      </c>
      <c r="D1360" s="67">
        <v>0.2609</v>
      </c>
      <c r="E1360" s="68"/>
      <c r="F1360" s="69">
        <v>1</v>
      </c>
      <c r="G1360" s="70"/>
      <c r="H1360" s="71">
        <v>0.6</v>
      </c>
    </row>
    <row r="1361" customHeight="1" spans="1:8">
      <c r="A1361" s="64"/>
      <c r="B1361" s="73" t="s">
        <v>2602</v>
      </c>
      <c r="C1361" s="66" t="s">
        <v>2603</v>
      </c>
      <c r="D1361" s="67">
        <v>0.1739</v>
      </c>
      <c r="E1361" s="68"/>
      <c r="F1361" s="69">
        <v>0.7</v>
      </c>
      <c r="G1361" s="70"/>
      <c r="H1361" s="71">
        <v>0.4</v>
      </c>
    </row>
    <row r="1362" customHeight="1" spans="1:8">
      <c r="A1362" s="64"/>
      <c r="B1362" s="73" t="s">
        <v>2604</v>
      </c>
      <c r="C1362" s="66" t="s">
        <v>2605</v>
      </c>
      <c r="D1362" s="67">
        <v>0.2609</v>
      </c>
      <c r="E1362" s="68"/>
      <c r="F1362" s="69">
        <v>0.9</v>
      </c>
      <c r="G1362" s="70"/>
      <c r="H1362" s="71">
        <v>0.6</v>
      </c>
    </row>
    <row r="1363" customHeight="1" spans="1:8">
      <c r="A1363" s="64"/>
      <c r="B1363" s="103" t="s">
        <v>2606</v>
      </c>
      <c r="C1363" s="104" t="s">
        <v>2607</v>
      </c>
      <c r="D1363" s="67">
        <v>0.4348</v>
      </c>
      <c r="E1363" s="68"/>
      <c r="F1363" s="105">
        <v>2</v>
      </c>
      <c r="G1363" s="106"/>
      <c r="H1363" s="107">
        <v>1</v>
      </c>
    </row>
    <row r="1364" customHeight="1" spans="1:8">
      <c r="A1364" s="64"/>
      <c r="B1364" s="103" t="s">
        <v>2608</v>
      </c>
      <c r="C1364" s="104" t="s">
        <v>2609</v>
      </c>
      <c r="D1364" s="67">
        <v>0.4348</v>
      </c>
      <c r="E1364" s="68"/>
      <c r="F1364" s="105">
        <v>1.6</v>
      </c>
      <c r="G1364" s="106"/>
      <c r="H1364" s="107">
        <v>1</v>
      </c>
    </row>
    <row r="1365" customHeight="1" spans="1:8">
      <c r="A1365" s="64"/>
      <c r="B1365" s="73" t="s">
        <v>2610</v>
      </c>
      <c r="C1365" s="66" t="s">
        <v>2611</v>
      </c>
      <c r="D1365" s="67">
        <v>0.2174</v>
      </c>
      <c r="E1365" s="68"/>
      <c r="F1365" s="69">
        <v>1</v>
      </c>
      <c r="G1365" s="70"/>
      <c r="H1365" s="71">
        <v>0.5</v>
      </c>
    </row>
    <row r="1366" customHeight="1" spans="1:8">
      <c r="A1366" s="74"/>
      <c r="B1366" s="73" t="s">
        <v>2612</v>
      </c>
      <c r="C1366" s="66" t="s">
        <v>2613</v>
      </c>
      <c r="D1366" s="67">
        <v>0.0435</v>
      </c>
      <c r="E1366" s="68"/>
      <c r="F1366" s="69">
        <v>0.25</v>
      </c>
      <c r="G1366" s="70"/>
      <c r="H1366" s="71">
        <v>0.1</v>
      </c>
    </row>
    <row r="1367" customHeight="1" spans="1:8">
      <c r="A1367" s="75"/>
      <c r="B1367" s="103" t="s">
        <v>2614</v>
      </c>
      <c r="C1367" s="104" t="s">
        <v>2613</v>
      </c>
      <c r="D1367" s="67">
        <v>0.0435</v>
      </c>
      <c r="E1367" s="68"/>
      <c r="F1367" s="105">
        <v>0.2</v>
      </c>
      <c r="G1367" s="106"/>
      <c r="H1367" s="107">
        <v>0.1</v>
      </c>
    </row>
    <row r="1368" customHeight="1" spans="1:8">
      <c r="A1368" s="64"/>
      <c r="B1368" s="103" t="s">
        <v>2615</v>
      </c>
      <c r="C1368" s="104" t="s">
        <v>2616</v>
      </c>
      <c r="D1368" s="67">
        <v>0.0435</v>
      </c>
      <c r="E1368" s="68"/>
      <c r="F1368" s="105">
        <v>0.25</v>
      </c>
      <c r="G1368" s="106"/>
      <c r="H1368" s="107">
        <v>0.1</v>
      </c>
    </row>
    <row r="1369" customHeight="1" spans="1:8">
      <c r="A1369" s="64"/>
      <c r="B1369" s="73" t="s">
        <v>2617</v>
      </c>
      <c r="C1369" s="66" t="s">
        <v>2618</v>
      </c>
      <c r="D1369" s="67">
        <v>0.4348</v>
      </c>
      <c r="E1369" s="68"/>
      <c r="F1369" s="69">
        <v>1.6</v>
      </c>
      <c r="G1369" s="70"/>
      <c r="H1369" s="71">
        <v>1</v>
      </c>
    </row>
    <row r="1370" customHeight="1" spans="1:8">
      <c r="A1370" s="64"/>
      <c r="B1370" s="73" t="s">
        <v>2619</v>
      </c>
      <c r="C1370" s="66" t="s">
        <v>2620</v>
      </c>
      <c r="D1370" s="67">
        <v>0.6522</v>
      </c>
      <c r="E1370" s="68"/>
      <c r="F1370" s="69">
        <v>2.5</v>
      </c>
      <c r="G1370" s="70"/>
      <c r="H1370" s="71">
        <v>1.5</v>
      </c>
    </row>
    <row r="1371" customHeight="1" spans="1:8">
      <c r="A1371" s="64"/>
      <c r="B1371" s="73" t="s">
        <v>2621</v>
      </c>
      <c r="C1371" s="66" t="s">
        <v>2622</v>
      </c>
      <c r="D1371" s="67">
        <v>0.5652</v>
      </c>
      <c r="E1371" s="68"/>
      <c r="F1371" s="69">
        <v>2</v>
      </c>
      <c r="G1371" s="70"/>
      <c r="H1371" s="71">
        <v>1.3</v>
      </c>
    </row>
    <row r="1372" customHeight="1" spans="1:8">
      <c r="A1372" s="64"/>
      <c r="B1372" s="73" t="s">
        <v>2623</v>
      </c>
      <c r="C1372" s="66" t="s">
        <v>2624</v>
      </c>
      <c r="D1372" s="67">
        <v>0.2174</v>
      </c>
      <c r="E1372" s="68"/>
      <c r="F1372" s="69">
        <v>1</v>
      </c>
      <c r="G1372" s="70"/>
      <c r="H1372" s="71">
        <v>0.5</v>
      </c>
    </row>
    <row r="1373" customHeight="1" spans="1:8">
      <c r="A1373" s="64"/>
      <c r="B1373" s="73" t="s">
        <v>2625</v>
      </c>
      <c r="C1373" s="66" t="s">
        <v>2624</v>
      </c>
      <c r="D1373" s="67">
        <v>0.6522</v>
      </c>
      <c r="E1373" s="68"/>
      <c r="F1373" s="69">
        <v>3</v>
      </c>
      <c r="G1373" s="70"/>
      <c r="H1373" s="71">
        <v>1.5</v>
      </c>
    </row>
    <row r="1374" customHeight="1" spans="1:8">
      <c r="A1374" s="64"/>
      <c r="B1374" s="73" t="s">
        <v>2626</v>
      </c>
      <c r="C1374" s="66" t="s">
        <v>2627</v>
      </c>
      <c r="D1374" s="67">
        <v>0.6957</v>
      </c>
      <c r="E1374" s="68"/>
      <c r="F1374" s="69">
        <v>2.5</v>
      </c>
      <c r="G1374" s="70"/>
      <c r="H1374" s="71">
        <v>1.6</v>
      </c>
    </row>
    <row r="1375" customHeight="1" spans="1:8">
      <c r="A1375" s="64"/>
      <c r="B1375" s="73" t="s">
        <v>2628</v>
      </c>
      <c r="C1375" s="66" t="s">
        <v>2629</v>
      </c>
      <c r="D1375" s="67">
        <v>0.6087</v>
      </c>
      <c r="E1375" s="68"/>
      <c r="F1375" s="69">
        <v>2.2</v>
      </c>
      <c r="G1375" s="70"/>
      <c r="H1375" s="71">
        <v>1.4</v>
      </c>
    </row>
    <row r="1376" customHeight="1" spans="1:8">
      <c r="A1376" s="64"/>
      <c r="B1376" s="73" t="s">
        <v>2630</v>
      </c>
      <c r="C1376" s="66" t="s">
        <v>2631</v>
      </c>
      <c r="D1376" s="67">
        <v>0.6087</v>
      </c>
      <c r="E1376" s="68"/>
      <c r="F1376" s="69">
        <v>2.2</v>
      </c>
      <c r="G1376" s="70"/>
      <c r="H1376" s="71">
        <v>1.4</v>
      </c>
    </row>
    <row r="1377" customHeight="1" spans="1:8">
      <c r="A1377" s="64"/>
      <c r="B1377" s="73" t="s">
        <v>2632</v>
      </c>
      <c r="C1377" s="66" t="s">
        <v>2633</v>
      </c>
      <c r="D1377" s="67">
        <v>0.6522</v>
      </c>
      <c r="E1377" s="68"/>
      <c r="F1377" s="69">
        <v>3</v>
      </c>
      <c r="G1377" s="70"/>
      <c r="H1377" s="71">
        <v>1.5</v>
      </c>
    </row>
    <row r="1378" customHeight="1" spans="1:8">
      <c r="A1378" s="64"/>
      <c r="B1378" s="73" t="s">
        <v>2634</v>
      </c>
      <c r="C1378" s="66" t="s">
        <v>2635</v>
      </c>
      <c r="D1378" s="67">
        <v>0.6957</v>
      </c>
      <c r="E1378" s="68"/>
      <c r="F1378" s="69">
        <v>3</v>
      </c>
      <c r="G1378" s="70"/>
      <c r="H1378" s="71">
        <v>1.6</v>
      </c>
    </row>
    <row r="1379" customHeight="1" spans="1:8">
      <c r="A1379" s="64"/>
      <c r="B1379" s="73" t="s">
        <v>2636</v>
      </c>
      <c r="C1379" s="66" t="s">
        <v>2637</v>
      </c>
      <c r="D1379" s="67">
        <v>0.6957</v>
      </c>
      <c r="E1379" s="68"/>
      <c r="F1379" s="69">
        <v>2.5</v>
      </c>
      <c r="G1379" s="70"/>
      <c r="H1379" s="71">
        <v>1.6</v>
      </c>
    </row>
    <row r="1380" customHeight="1" spans="1:8">
      <c r="A1380" s="64"/>
      <c r="B1380" s="73" t="s">
        <v>2638</v>
      </c>
      <c r="C1380" s="66" t="s">
        <v>2639</v>
      </c>
      <c r="D1380" s="67">
        <v>0.6957</v>
      </c>
      <c r="E1380" s="68"/>
      <c r="F1380" s="69">
        <v>3</v>
      </c>
      <c r="G1380" s="70"/>
      <c r="H1380" s="71">
        <v>1.6</v>
      </c>
    </row>
    <row r="1381" customHeight="1" spans="1:8">
      <c r="A1381" s="64"/>
      <c r="B1381" s="73" t="s">
        <v>2640</v>
      </c>
      <c r="C1381" s="66" t="s">
        <v>2641</v>
      </c>
      <c r="D1381" s="67">
        <v>0.6957</v>
      </c>
      <c r="E1381" s="68"/>
      <c r="F1381" s="69">
        <v>2.5</v>
      </c>
      <c r="G1381" s="70"/>
      <c r="H1381" s="71">
        <v>1.6</v>
      </c>
    </row>
    <row r="1382" customHeight="1" spans="1:8">
      <c r="A1382" s="64"/>
      <c r="B1382" s="73" t="s">
        <v>2642</v>
      </c>
      <c r="C1382" s="66" t="s">
        <v>2643</v>
      </c>
      <c r="D1382" s="67">
        <v>0.6957</v>
      </c>
      <c r="E1382" s="68"/>
      <c r="F1382" s="69">
        <v>3</v>
      </c>
      <c r="G1382" s="70"/>
      <c r="H1382" s="71">
        <v>1.6</v>
      </c>
    </row>
    <row r="1383" customHeight="1" spans="1:8">
      <c r="A1383" s="64"/>
      <c r="B1383" s="73" t="s">
        <v>2644</v>
      </c>
      <c r="C1383" s="66" t="s">
        <v>2645</v>
      </c>
      <c r="D1383" s="67">
        <v>0.6522</v>
      </c>
      <c r="E1383" s="68"/>
      <c r="F1383" s="69">
        <v>3</v>
      </c>
      <c r="G1383" s="70"/>
      <c r="H1383" s="71">
        <v>1.5</v>
      </c>
    </row>
    <row r="1384" customHeight="1" spans="1:8">
      <c r="A1384" s="64"/>
      <c r="B1384" s="103" t="s">
        <v>2646</v>
      </c>
      <c r="C1384" s="104" t="s">
        <v>2647</v>
      </c>
      <c r="D1384" s="67">
        <v>0.6957</v>
      </c>
      <c r="E1384" s="68"/>
      <c r="F1384" s="105">
        <v>3</v>
      </c>
      <c r="G1384" s="106"/>
      <c r="H1384" s="107">
        <v>1.6</v>
      </c>
    </row>
    <row r="1385" customHeight="1" spans="1:8">
      <c r="A1385" s="64"/>
      <c r="B1385" s="73" t="s">
        <v>2648</v>
      </c>
      <c r="C1385" s="66" t="s">
        <v>2649</v>
      </c>
      <c r="D1385" s="67">
        <v>1.0435</v>
      </c>
      <c r="E1385" s="68"/>
      <c r="F1385" s="69">
        <v>3.8</v>
      </c>
      <c r="G1385" s="70"/>
      <c r="H1385" s="71">
        <v>2.4</v>
      </c>
    </row>
    <row r="1386" customHeight="1" spans="1:8">
      <c r="A1386" s="64"/>
      <c r="B1386" s="73" t="s">
        <v>2650</v>
      </c>
      <c r="C1386" s="66" t="s">
        <v>2651</v>
      </c>
      <c r="D1386" s="67">
        <v>0.7826</v>
      </c>
      <c r="E1386" s="68"/>
      <c r="F1386" s="69">
        <v>2.8</v>
      </c>
      <c r="G1386" s="70"/>
      <c r="H1386" s="71">
        <v>1.8</v>
      </c>
    </row>
    <row r="1387" customHeight="1" spans="1:8">
      <c r="A1387" s="64"/>
      <c r="B1387" s="73" t="s">
        <v>2652</v>
      </c>
      <c r="C1387" s="66" t="s">
        <v>2653</v>
      </c>
      <c r="D1387" s="67">
        <v>1</v>
      </c>
      <c r="E1387" s="68"/>
      <c r="F1387" s="69">
        <v>3.7</v>
      </c>
      <c r="G1387" s="70"/>
      <c r="H1387" s="71">
        <v>2.3</v>
      </c>
    </row>
    <row r="1388" ht="25.5" customHeight="1" spans="1:8">
      <c r="A1388" s="64"/>
      <c r="B1388" s="103" t="s">
        <v>2654</v>
      </c>
      <c r="C1388" s="104" t="s">
        <v>2655</v>
      </c>
      <c r="D1388" s="67">
        <v>0.6522</v>
      </c>
      <c r="E1388" s="68"/>
      <c r="F1388" s="105">
        <v>3</v>
      </c>
      <c r="G1388" s="106"/>
      <c r="H1388" s="107">
        <v>1.5</v>
      </c>
    </row>
    <row r="1389" ht="25.5" customHeight="1" spans="1:8">
      <c r="A1389" s="64"/>
      <c r="B1389" s="73" t="s">
        <v>2656</v>
      </c>
      <c r="C1389" s="66" t="s">
        <v>2657</v>
      </c>
      <c r="D1389" s="67">
        <v>0.7826</v>
      </c>
      <c r="E1389" s="68"/>
      <c r="F1389" s="69">
        <v>3</v>
      </c>
      <c r="G1389" s="70"/>
      <c r="H1389" s="71">
        <v>1.8</v>
      </c>
    </row>
    <row r="1390" customHeight="1" spans="1:8">
      <c r="A1390" s="64"/>
      <c r="B1390" s="73" t="s">
        <v>2658</v>
      </c>
      <c r="C1390" s="66" t="s">
        <v>2659</v>
      </c>
      <c r="D1390" s="67">
        <v>0.7826</v>
      </c>
      <c r="E1390" s="68"/>
      <c r="F1390" s="69">
        <v>3</v>
      </c>
      <c r="G1390" s="70"/>
      <c r="H1390" s="71">
        <v>1.8</v>
      </c>
    </row>
    <row r="1391" ht="25.5" customHeight="1" spans="1:8">
      <c r="A1391" s="64"/>
      <c r="B1391" s="73" t="s">
        <v>2660</v>
      </c>
      <c r="C1391" s="66" t="s">
        <v>2661</v>
      </c>
      <c r="D1391" s="67">
        <v>0.7826</v>
      </c>
      <c r="E1391" s="68"/>
      <c r="F1391" s="69">
        <v>3</v>
      </c>
      <c r="G1391" s="70"/>
      <c r="H1391" s="71">
        <v>1.8</v>
      </c>
    </row>
    <row r="1392" customHeight="1" spans="1:8">
      <c r="A1392" s="64"/>
      <c r="B1392" s="103" t="s">
        <v>2662</v>
      </c>
      <c r="C1392" s="104" t="s">
        <v>2663</v>
      </c>
      <c r="D1392" s="67">
        <v>0.6957</v>
      </c>
      <c r="E1392" s="68"/>
      <c r="F1392" s="105">
        <v>3</v>
      </c>
      <c r="G1392" s="106"/>
      <c r="H1392" s="107">
        <v>1.8</v>
      </c>
    </row>
    <row r="1393" customHeight="1" spans="1:8">
      <c r="A1393" s="64"/>
      <c r="B1393" s="73" t="s">
        <v>2664</v>
      </c>
      <c r="C1393" s="66" t="s">
        <v>2665</v>
      </c>
      <c r="D1393" s="67">
        <v>0.7826</v>
      </c>
      <c r="E1393" s="68"/>
      <c r="F1393" s="69">
        <v>3</v>
      </c>
      <c r="G1393" s="70"/>
      <c r="H1393" s="71">
        <v>1.8</v>
      </c>
    </row>
    <row r="1394" ht="25.5" customHeight="1" spans="1:8">
      <c r="A1394" s="64"/>
      <c r="B1394" s="73" t="s">
        <v>2666</v>
      </c>
      <c r="C1394" s="66" t="s">
        <v>2667</v>
      </c>
      <c r="D1394" s="67">
        <v>1.087</v>
      </c>
      <c r="E1394" s="68"/>
      <c r="F1394" s="69">
        <v>4</v>
      </c>
      <c r="G1394" s="70"/>
      <c r="H1394" s="71">
        <v>2.5</v>
      </c>
    </row>
    <row r="1395" ht="25.5" customHeight="1" spans="1:8">
      <c r="A1395" s="64"/>
      <c r="B1395" s="73" t="s">
        <v>2668</v>
      </c>
      <c r="C1395" s="66" t="s">
        <v>2669</v>
      </c>
      <c r="D1395" s="67">
        <v>1.087</v>
      </c>
      <c r="E1395" s="68"/>
      <c r="F1395" s="69">
        <v>4</v>
      </c>
      <c r="G1395" s="70"/>
      <c r="H1395" s="71">
        <v>2.5</v>
      </c>
    </row>
    <row r="1396" ht="25.5" customHeight="1" spans="1:8">
      <c r="A1396" s="64"/>
      <c r="B1396" s="103" t="s">
        <v>2670</v>
      </c>
      <c r="C1396" s="104" t="s">
        <v>2671</v>
      </c>
      <c r="D1396" s="67">
        <v>1.087</v>
      </c>
      <c r="E1396" s="68"/>
      <c r="F1396" s="105">
        <v>4</v>
      </c>
      <c r="G1396" s="106"/>
      <c r="H1396" s="107">
        <v>2.5</v>
      </c>
    </row>
    <row r="1397" customHeight="1" spans="1:8">
      <c r="A1397" s="64"/>
      <c r="B1397" s="103" t="s">
        <v>2672</v>
      </c>
      <c r="C1397" s="104" t="s">
        <v>2673</v>
      </c>
      <c r="D1397" s="67">
        <v>1.087</v>
      </c>
      <c r="E1397" s="68"/>
      <c r="F1397" s="105">
        <v>4</v>
      </c>
      <c r="G1397" s="106"/>
      <c r="H1397" s="107">
        <v>2.5</v>
      </c>
    </row>
    <row r="1398" customHeight="1" spans="1:8">
      <c r="A1398" s="64"/>
      <c r="B1398" s="73" t="s">
        <v>2674</v>
      </c>
      <c r="C1398" s="66" t="s">
        <v>2675</v>
      </c>
      <c r="D1398" s="67">
        <v>1.087</v>
      </c>
      <c r="E1398" s="68"/>
      <c r="F1398" s="69">
        <v>4</v>
      </c>
      <c r="G1398" s="70"/>
      <c r="H1398" s="71">
        <v>2.5</v>
      </c>
    </row>
    <row r="1399" customHeight="1" spans="1:8">
      <c r="A1399" s="64"/>
      <c r="B1399" s="103" t="s">
        <v>2676</v>
      </c>
      <c r="C1399" s="104" t="s">
        <v>2677</v>
      </c>
      <c r="D1399" s="67">
        <v>1.087</v>
      </c>
      <c r="E1399" s="68"/>
      <c r="F1399" s="105">
        <v>4</v>
      </c>
      <c r="G1399" s="106"/>
      <c r="H1399" s="107">
        <v>2.5</v>
      </c>
    </row>
    <row r="1400" customHeight="1" spans="1:8">
      <c r="A1400" s="64"/>
      <c r="B1400" s="103" t="s">
        <v>2678</v>
      </c>
      <c r="C1400" s="104" t="s">
        <v>2679</v>
      </c>
      <c r="D1400" s="67">
        <v>1.087</v>
      </c>
      <c r="E1400" s="68"/>
      <c r="F1400" s="105">
        <v>4</v>
      </c>
      <c r="G1400" s="106"/>
      <c r="H1400" s="107">
        <v>2.5</v>
      </c>
    </row>
    <row r="1401" customHeight="1" spans="1:8">
      <c r="A1401" s="64"/>
      <c r="B1401" s="103" t="s">
        <v>2680</v>
      </c>
      <c r="C1401" s="104" t="s">
        <v>2681</v>
      </c>
      <c r="D1401" s="67">
        <v>1.087</v>
      </c>
      <c r="E1401" s="68"/>
      <c r="F1401" s="105">
        <v>4</v>
      </c>
      <c r="G1401" s="106"/>
      <c r="H1401" s="107">
        <v>2.5</v>
      </c>
    </row>
    <row r="1402" customHeight="1" spans="1:8">
      <c r="A1402" s="64"/>
      <c r="B1402" s="103" t="s">
        <v>2682</v>
      </c>
      <c r="C1402" s="104" t="s">
        <v>2683</v>
      </c>
      <c r="D1402" s="67">
        <v>1.087</v>
      </c>
      <c r="E1402" s="68"/>
      <c r="F1402" s="105">
        <v>4</v>
      </c>
      <c r="G1402" s="106"/>
      <c r="H1402" s="107">
        <v>2.5</v>
      </c>
    </row>
    <row r="1403" customHeight="1" spans="1:8">
      <c r="A1403" s="64"/>
      <c r="B1403" s="73" t="s">
        <v>2684</v>
      </c>
      <c r="C1403" s="66" t="s">
        <v>2685</v>
      </c>
      <c r="D1403" s="67">
        <v>0.5435</v>
      </c>
      <c r="E1403" s="68"/>
      <c r="F1403" s="69">
        <v>2.5</v>
      </c>
      <c r="G1403" s="70"/>
      <c r="H1403" s="71">
        <v>1.25</v>
      </c>
    </row>
    <row r="1404" customHeight="1" spans="1:8">
      <c r="A1404" s="64"/>
      <c r="B1404" s="103" t="s">
        <v>2686</v>
      </c>
      <c r="C1404" s="104" t="s">
        <v>2687</v>
      </c>
      <c r="D1404" s="67">
        <v>0.4348</v>
      </c>
      <c r="E1404" s="68"/>
      <c r="F1404" s="105">
        <v>2.5</v>
      </c>
      <c r="G1404" s="106"/>
      <c r="H1404" s="107">
        <v>1</v>
      </c>
    </row>
    <row r="1405" customHeight="1" spans="1:8">
      <c r="A1405" s="64"/>
      <c r="B1405" s="103" t="s">
        <v>2688</v>
      </c>
      <c r="C1405" s="104" t="s">
        <v>2689</v>
      </c>
      <c r="D1405" s="67">
        <v>0.7826</v>
      </c>
      <c r="E1405" s="68"/>
      <c r="F1405" s="105">
        <v>2.5</v>
      </c>
      <c r="G1405" s="106"/>
      <c r="H1405" s="107">
        <v>1.8</v>
      </c>
    </row>
    <row r="1406" customHeight="1" spans="1:8">
      <c r="A1406" s="64"/>
      <c r="B1406" s="73" t="s">
        <v>2690</v>
      </c>
      <c r="C1406" s="66" t="s">
        <v>2691</v>
      </c>
      <c r="D1406" s="67">
        <v>0.4348</v>
      </c>
      <c r="E1406" s="68"/>
      <c r="F1406" s="69">
        <v>2.5</v>
      </c>
      <c r="G1406" s="70"/>
      <c r="H1406" s="71">
        <v>1</v>
      </c>
    </row>
    <row r="1407" customHeight="1" spans="1:8">
      <c r="A1407" s="64"/>
      <c r="B1407" s="103" t="s">
        <v>2692</v>
      </c>
      <c r="C1407" s="104" t="s">
        <v>2693</v>
      </c>
      <c r="D1407" s="67">
        <v>0.4348</v>
      </c>
      <c r="E1407" s="68"/>
      <c r="F1407" s="105">
        <v>2.5</v>
      </c>
      <c r="G1407" s="106"/>
      <c r="H1407" s="107">
        <v>1</v>
      </c>
    </row>
    <row r="1408" customHeight="1" spans="1:8">
      <c r="A1408" s="64"/>
      <c r="B1408" s="73" t="s">
        <v>2694</v>
      </c>
      <c r="C1408" s="66" t="s">
        <v>2695</v>
      </c>
      <c r="D1408" s="67">
        <v>0.4348</v>
      </c>
      <c r="E1408" s="68"/>
      <c r="F1408" s="69">
        <v>2.5</v>
      </c>
      <c r="G1408" s="70"/>
      <c r="H1408" s="71">
        <v>1</v>
      </c>
    </row>
    <row r="1409" customHeight="1" spans="1:8">
      <c r="A1409" s="64"/>
      <c r="B1409" s="103" t="s">
        <v>2696</v>
      </c>
      <c r="C1409" s="104" t="s">
        <v>2697</v>
      </c>
      <c r="D1409" s="67">
        <v>0.4348</v>
      </c>
      <c r="E1409" s="68"/>
      <c r="F1409" s="105">
        <v>2.5</v>
      </c>
      <c r="G1409" s="106"/>
      <c r="H1409" s="107">
        <v>1</v>
      </c>
    </row>
    <row r="1410" customHeight="1" spans="1:8">
      <c r="A1410" s="64"/>
      <c r="B1410" s="73" t="s">
        <v>2698</v>
      </c>
      <c r="C1410" s="66" t="s">
        <v>2699</v>
      </c>
      <c r="D1410" s="67">
        <v>0.3913</v>
      </c>
      <c r="E1410" s="68"/>
      <c r="F1410" s="69">
        <v>1.4</v>
      </c>
      <c r="G1410" s="70"/>
      <c r="H1410" s="71">
        <v>0.9</v>
      </c>
    </row>
    <row r="1411" customHeight="1" spans="1:8">
      <c r="A1411" s="64"/>
      <c r="B1411" s="73" t="s">
        <v>2700</v>
      </c>
      <c r="C1411" s="66" t="s">
        <v>2701</v>
      </c>
      <c r="D1411" s="67">
        <v>0.6522</v>
      </c>
      <c r="E1411" s="68"/>
      <c r="F1411" s="69">
        <v>3</v>
      </c>
      <c r="G1411" s="70"/>
      <c r="H1411" s="71">
        <v>1.5</v>
      </c>
    </row>
    <row r="1412" customHeight="1" spans="1:8">
      <c r="A1412" s="64"/>
      <c r="B1412" s="73" t="s">
        <v>2702</v>
      </c>
      <c r="C1412" s="66" t="s">
        <v>2703</v>
      </c>
      <c r="D1412" s="67">
        <v>1</v>
      </c>
      <c r="E1412" s="68"/>
      <c r="F1412" s="69">
        <v>3</v>
      </c>
      <c r="G1412" s="70"/>
      <c r="H1412" s="71">
        <v>2.5</v>
      </c>
    </row>
    <row r="1413" customHeight="1" spans="1:8">
      <c r="A1413" s="64"/>
      <c r="B1413" s="73" t="s">
        <v>2704</v>
      </c>
      <c r="C1413" s="66" t="s">
        <v>2705</v>
      </c>
      <c r="D1413" s="67">
        <v>1</v>
      </c>
      <c r="E1413" s="68"/>
      <c r="F1413" s="69">
        <v>3.7</v>
      </c>
      <c r="G1413" s="70"/>
      <c r="H1413" s="71">
        <v>2.3</v>
      </c>
    </row>
    <row r="1414" customHeight="1" spans="1:8">
      <c r="A1414" s="64"/>
      <c r="B1414" s="73" t="s">
        <v>2706</v>
      </c>
      <c r="C1414" s="66" t="s">
        <v>2707</v>
      </c>
      <c r="D1414" s="67">
        <v>0.6522</v>
      </c>
      <c r="E1414" s="68"/>
      <c r="F1414" s="69">
        <v>3</v>
      </c>
      <c r="G1414" s="70"/>
      <c r="H1414" s="71">
        <v>1.5</v>
      </c>
    </row>
    <row r="1415" customHeight="1" spans="1:8">
      <c r="A1415" s="64"/>
      <c r="B1415" s="73" t="s">
        <v>2708</v>
      </c>
      <c r="C1415" s="66" t="s">
        <v>2709</v>
      </c>
      <c r="D1415" s="67">
        <v>7.8261</v>
      </c>
      <c r="E1415" s="68"/>
      <c r="F1415" s="69">
        <v>20</v>
      </c>
      <c r="G1415" s="70"/>
      <c r="H1415" s="71">
        <v>18</v>
      </c>
    </row>
    <row r="1416" customHeight="1" spans="1:8">
      <c r="A1416" s="64"/>
      <c r="B1416" s="103" t="s">
        <v>2710</v>
      </c>
      <c r="C1416" s="104" t="s">
        <v>2711</v>
      </c>
      <c r="D1416" s="67">
        <v>0.087</v>
      </c>
      <c r="E1416" s="68"/>
      <c r="F1416" s="105">
        <v>0.3</v>
      </c>
      <c r="G1416" s="106"/>
      <c r="H1416" s="107">
        <v>0.2</v>
      </c>
    </row>
    <row r="1417" customHeight="1" spans="1:8">
      <c r="A1417" s="64"/>
      <c r="B1417" s="73" t="s">
        <v>2712</v>
      </c>
      <c r="C1417" s="66" t="s">
        <v>2713</v>
      </c>
      <c r="D1417" s="67">
        <v>0.1304</v>
      </c>
      <c r="E1417" s="68"/>
      <c r="F1417" s="69">
        <v>0.5</v>
      </c>
      <c r="G1417" s="70"/>
      <c r="H1417" s="71">
        <v>0.3</v>
      </c>
    </row>
    <row r="1418" customHeight="1" spans="1:8">
      <c r="A1418" s="64"/>
      <c r="B1418" s="73" t="s">
        <v>2714</v>
      </c>
      <c r="C1418" s="66" t="s">
        <v>2715</v>
      </c>
      <c r="D1418" s="67">
        <v>0.1739</v>
      </c>
      <c r="E1418" s="68"/>
      <c r="F1418" s="69">
        <v>0.6</v>
      </c>
      <c r="G1418" s="70"/>
      <c r="H1418" s="71">
        <v>0.4</v>
      </c>
    </row>
    <row r="1419" customHeight="1" spans="1:8">
      <c r="A1419" s="64"/>
      <c r="B1419" s="73" t="s">
        <v>2716</v>
      </c>
      <c r="C1419" s="66" t="s">
        <v>2717</v>
      </c>
      <c r="D1419" s="67">
        <v>0.2609</v>
      </c>
      <c r="E1419" s="68"/>
      <c r="F1419" s="69">
        <v>1</v>
      </c>
      <c r="G1419" s="70"/>
      <c r="H1419" s="71">
        <v>0.6</v>
      </c>
    </row>
    <row r="1420" customHeight="1" spans="1:8">
      <c r="A1420" s="64"/>
      <c r="B1420" s="73" t="s">
        <v>2718</v>
      </c>
      <c r="C1420" s="66" t="s">
        <v>2719</v>
      </c>
      <c r="D1420" s="67">
        <v>0.2609</v>
      </c>
      <c r="E1420" s="68"/>
      <c r="F1420" s="69">
        <v>1</v>
      </c>
      <c r="G1420" s="70"/>
      <c r="H1420" s="71">
        <v>0.6</v>
      </c>
    </row>
    <row r="1421" customHeight="1" spans="1:8">
      <c r="A1421" s="64"/>
      <c r="B1421" s="103" t="s">
        <v>2720</v>
      </c>
      <c r="C1421" s="104" t="s">
        <v>2721</v>
      </c>
      <c r="D1421" s="67">
        <v>1</v>
      </c>
      <c r="E1421" s="68"/>
      <c r="F1421" s="105">
        <v>3.6</v>
      </c>
      <c r="G1421" s="106"/>
      <c r="H1421" s="107">
        <v>2.3</v>
      </c>
    </row>
    <row r="1422" customHeight="1" spans="1:8">
      <c r="A1422" s="64"/>
      <c r="B1422" s="73" t="s">
        <v>2722</v>
      </c>
      <c r="C1422" s="66" t="s">
        <v>2723</v>
      </c>
      <c r="D1422" s="67">
        <v>0.3913</v>
      </c>
      <c r="E1422" s="68"/>
      <c r="F1422" s="69">
        <v>1</v>
      </c>
      <c r="G1422" s="70"/>
      <c r="H1422" s="71">
        <v>0.9</v>
      </c>
    </row>
    <row r="1423" customHeight="1" spans="1:8">
      <c r="A1423" s="64"/>
      <c r="B1423" s="73" t="s">
        <v>2724</v>
      </c>
      <c r="C1423" s="66" t="s">
        <v>2725</v>
      </c>
      <c r="D1423" s="67">
        <v>3.3043</v>
      </c>
      <c r="E1423" s="68"/>
      <c r="F1423" s="69">
        <v>15</v>
      </c>
      <c r="G1423" s="70"/>
      <c r="H1423" s="71">
        <v>7.6</v>
      </c>
    </row>
    <row r="1424" customHeight="1" spans="1:8">
      <c r="A1424" s="64"/>
      <c r="B1424" s="73" t="s">
        <v>2726</v>
      </c>
      <c r="C1424" s="66" t="s">
        <v>2727</v>
      </c>
      <c r="D1424" s="67">
        <v>0.2609</v>
      </c>
      <c r="E1424" s="68"/>
      <c r="F1424" s="69">
        <v>0.6</v>
      </c>
      <c r="G1424" s="70"/>
      <c r="H1424" s="71">
        <v>0.5</v>
      </c>
    </row>
    <row r="1425" customHeight="1" spans="1:8">
      <c r="A1425" s="64"/>
      <c r="B1425" s="65">
        <v>4895026732341</v>
      </c>
      <c r="C1425" s="66" t="s">
        <v>2728</v>
      </c>
      <c r="D1425" s="67">
        <v>0.2609</v>
      </c>
      <c r="E1425" s="68"/>
      <c r="F1425" s="69">
        <v>0.6</v>
      </c>
      <c r="G1425" s="70"/>
      <c r="H1425" s="71">
        <v>0.5</v>
      </c>
    </row>
    <row r="1426" customHeight="1" spans="1:8">
      <c r="A1426" s="64"/>
      <c r="B1426" s="65">
        <v>4895026732358</v>
      </c>
      <c r="C1426" s="66" t="s">
        <v>2729</v>
      </c>
      <c r="D1426" s="67">
        <v>0.2609</v>
      </c>
      <c r="E1426" s="68"/>
      <c r="F1426" s="69">
        <v>0.6</v>
      </c>
      <c r="G1426" s="70"/>
      <c r="H1426" s="71">
        <v>0.5</v>
      </c>
    </row>
    <row r="1427" customHeight="1" spans="1:8">
      <c r="A1427" s="64"/>
      <c r="B1427" s="73" t="s">
        <v>2730</v>
      </c>
      <c r="C1427" s="66" t="s">
        <v>2731</v>
      </c>
      <c r="D1427" s="67">
        <v>0.2609</v>
      </c>
      <c r="E1427" s="68"/>
      <c r="F1427" s="69">
        <v>0.6</v>
      </c>
      <c r="G1427" s="70"/>
      <c r="H1427" s="71">
        <v>0.5</v>
      </c>
    </row>
    <row r="1428" customHeight="1" spans="1:8">
      <c r="A1428" s="64"/>
      <c r="B1428" s="103" t="s">
        <v>2732</v>
      </c>
      <c r="C1428" s="104" t="s">
        <v>2733</v>
      </c>
      <c r="D1428" s="67">
        <v>1.3913</v>
      </c>
      <c r="E1428" s="68"/>
      <c r="F1428" s="105">
        <v>5</v>
      </c>
      <c r="G1428" s="106"/>
      <c r="H1428" s="107">
        <v>3.2</v>
      </c>
    </row>
    <row r="1429" customHeight="1" spans="1:8">
      <c r="A1429" s="64"/>
      <c r="B1429" s="103" t="s">
        <v>2734</v>
      </c>
      <c r="C1429" s="104" t="s">
        <v>2735</v>
      </c>
      <c r="D1429" s="67">
        <v>0.3478</v>
      </c>
      <c r="E1429" s="68"/>
      <c r="F1429" s="105">
        <v>1.3</v>
      </c>
      <c r="G1429" s="106"/>
      <c r="H1429" s="107">
        <v>0.8</v>
      </c>
    </row>
    <row r="1430" customHeight="1" spans="1:8">
      <c r="A1430" s="64"/>
      <c r="B1430" s="103" t="s">
        <v>2736</v>
      </c>
      <c r="C1430" s="104" t="s">
        <v>2737</v>
      </c>
      <c r="D1430" s="67">
        <v>0.087</v>
      </c>
      <c r="E1430" s="68"/>
      <c r="F1430" s="105">
        <v>0.5</v>
      </c>
      <c r="G1430" s="106"/>
      <c r="H1430" s="107">
        <v>0.3</v>
      </c>
    </row>
    <row r="1431" customHeight="1" spans="1:8">
      <c r="A1431" s="64"/>
      <c r="B1431" s="73" t="s">
        <v>2738</v>
      </c>
      <c r="C1431" s="66" t="s">
        <v>2739</v>
      </c>
      <c r="D1431" s="82">
        <v>11.8696</v>
      </c>
      <c r="E1431" s="83"/>
      <c r="F1431" s="69">
        <v>43.7</v>
      </c>
      <c r="G1431" s="70"/>
      <c r="H1431" s="71">
        <v>27.3</v>
      </c>
    </row>
    <row r="1432" customHeight="1" spans="1:8">
      <c r="A1432" s="64"/>
      <c r="B1432" s="73" t="s">
        <v>2740</v>
      </c>
      <c r="C1432" s="66" t="s">
        <v>2741</v>
      </c>
      <c r="D1432" s="67">
        <v>4.9565</v>
      </c>
      <c r="E1432" s="68"/>
      <c r="F1432" s="69">
        <v>18.5</v>
      </c>
      <c r="G1432" s="70"/>
      <c r="H1432" s="71">
        <v>11.4</v>
      </c>
    </row>
    <row r="1433" customHeight="1" spans="1:8">
      <c r="A1433" s="64"/>
      <c r="B1433" s="73" t="s">
        <v>2742</v>
      </c>
      <c r="C1433" s="66" t="s">
        <v>2743</v>
      </c>
      <c r="D1433" s="67">
        <v>5.8261</v>
      </c>
      <c r="E1433" s="68"/>
      <c r="F1433" s="69">
        <v>21</v>
      </c>
      <c r="G1433" s="70"/>
      <c r="H1433" s="71">
        <v>13.4</v>
      </c>
    </row>
    <row r="1434" customHeight="1" spans="1:8">
      <c r="A1434" s="64"/>
      <c r="B1434" s="73" t="s">
        <v>2744</v>
      </c>
      <c r="C1434" s="66" t="s">
        <v>2745</v>
      </c>
      <c r="D1434" s="67">
        <v>6.5217</v>
      </c>
      <c r="E1434" s="68"/>
      <c r="F1434" s="69">
        <v>21.5</v>
      </c>
      <c r="G1434" s="70"/>
      <c r="H1434" s="71">
        <v>15</v>
      </c>
    </row>
    <row r="1435" customHeight="1" spans="1:8">
      <c r="A1435" s="64"/>
      <c r="B1435" s="73" t="s">
        <v>2746</v>
      </c>
      <c r="C1435" s="66" t="s">
        <v>2747</v>
      </c>
      <c r="D1435" s="67">
        <v>0.1304</v>
      </c>
      <c r="E1435" s="68"/>
      <c r="F1435" s="69">
        <v>1</v>
      </c>
      <c r="G1435" s="70"/>
      <c r="H1435" s="71">
        <v>0.5</v>
      </c>
    </row>
    <row r="1436" customHeight="1" spans="1:8">
      <c r="A1436" s="64"/>
      <c r="B1436" s="73" t="s">
        <v>2748</v>
      </c>
      <c r="C1436" s="66" t="s">
        <v>2749</v>
      </c>
      <c r="D1436" s="67">
        <v>1.5652</v>
      </c>
      <c r="E1436" s="68"/>
      <c r="F1436" s="69">
        <v>6</v>
      </c>
      <c r="G1436" s="70"/>
      <c r="H1436" s="71">
        <v>3.6</v>
      </c>
    </row>
    <row r="1437" customHeight="1" spans="1:8">
      <c r="A1437" s="64"/>
      <c r="B1437" s="103" t="s">
        <v>2750</v>
      </c>
      <c r="C1437" s="104" t="s">
        <v>2751</v>
      </c>
      <c r="D1437" s="67">
        <v>0.0435</v>
      </c>
      <c r="E1437" s="68"/>
      <c r="F1437" s="105">
        <v>0.25</v>
      </c>
      <c r="G1437" s="106"/>
      <c r="H1437" s="107">
        <v>0.1</v>
      </c>
    </row>
    <row r="1438" customHeight="1" spans="1:8">
      <c r="A1438" s="64"/>
      <c r="B1438" s="73" t="s">
        <v>2752</v>
      </c>
      <c r="C1438" s="66" t="s">
        <v>2753</v>
      </c>
      <c r="D1438" s="67">
        <v>0.2174</v>
      </c>
      <c r="E1438" s="68"/>
      <c r="F1438" s="69">
        <v>1</v>
      </c>
      <c r="G1438" s="70"/>
      <c r="H1438" s="71">
        <v>0.5</v>
      </c>
    </row>
    <row r="1439" customHeight="1" spans="1:8">
      <c r="A1439" s="64"/>
      <c r="B1439" s="73" t="s">
        <v>2754</v>
      </c>
      <c r="C1439" s="66" t="s">
        <v>2755</v>
      </c>
      <c r="D1439" s="67">
        <v>0.2174</v>
      </c>
      <c r="E1439" s="68"/>
      <c r="F1439" s="69">
        <v>0.8</v>
      </c>
      <c r="G1439" s="70"/>
      <c r="H1439" s="71">
        <v>0.5</v>
      </c>
    </row>
    <row r="1440" customHeight="1" spans="1:8">
      <c r="A1440" s="64"/>
      <c r="B1440" s="103" t="s">
        <v>2756</v>
      </c>
      <c r="C1440" s="104" t="s">
        <v>2757</v>
      </c>
      <c r="D1440" s="67">
        <v>0.4348</v>
      </c>
      <c r="E1440" s="68"/>
      <c r="F1440" s="105">
        <v>1.4</v>
      </c>
      <c r="G1440" s="106"/>
      <c r="H1440" s="107">
        <v>1</v>
      </c>
    </row>
    <row r="1441" customHeight="1" spans="1:8">
      <c r="A1441" s="64"/>
      <c r="B1441" s="73" t="s">
        <v>2758</v>
      </c>
      <c r="C1441" s="66" t="s">
        <v>2759</v>
      </c>
      <c r="D1441" s="67">
        <v>1.2174</v>
      </c>
      <c r="E1441" s="68"/>
      <c r="F1441" s="69">
        <v>4.5</v>
      </c>
      <c r="G1441" s="70"/>
      <c r="H1441" s="71">
        <v>2.8</v>
      </c>
    </row>
    <row r="1442" customHeight="1" spans="1:8">
      <c r="A1442" s="64"/>
      <c r="B1442" s="73" t="s">
        <v>2760</v>
      </c>
      <c r="C1442" s="66" t="s">
        <v>2761</v>
      </c>
      <c r="D1442" s="67">
        <v>0.913</v>
      </c>
      <c r="E1442" s="68"/>
      <c r="F1442" s="69">
        <v>3.3</v>
      </c>
      <c r="G1442" s="70"/>
      <c r="H1442" s="71">
        <v>2.1</v>
      </c>
    </row>
    <row r="1443" customHeight="1" spans="1:8">
      <c r="A1443" s="64"/>
      <c r="B1443" s="73" t="s">
        <v>2762</v>
      </c>
      <c r="C1443" s="66" t="s">
        <v>2763</v>
      </c>
      <c r="D1443" s="67">
        <v>0.5652</v>
      </c>
      <c r="E1443" s="68"/>
      <c r="F1443" s="69">
        <v>2.1</v>
      </c>
      <c r="G1443" s="70"/>
      <c r="H1443" s="71">
        <v>1.3</v>
      </c>
    </row>
    <row r="1444" customHeight="1" spans="1:8">
      <c r="A1444" s="64"/>
      <c r="B1444" s="73" t="s">
        <v>2764</v>
      </c>
      <c r="C1444" s="66" t="s">
        <v>2765</v>
      </c>
      <c r="D1444" s="67">
        <v>2.087</v>
      </c>
      <c r="E1444" s="68"/>
      <c r="F1444" s="69">
        <v>7.8</v>
      </c>
      <c r="G1444" s="70"/>
      <c r="H1444" s="71">
        <v>4.8</v>
      </c>
    </row>
    <row r="1445" ht="25.5" customHeight="1" spans="1:8">
      <c r="A1445" s="64"/>
      <c r="B1445" s="73" t="s">
        <v>2766</v>
      </c>
      <c r="C1445" s="66" t="s">
        <v>2767</v>
      </c>
      <c r="D1445" s="67">
        <v>0.5652</v>
      </c>
      <c r="E1445" s="68"/>
      <c r="F1445" s="69">
        <v>2.1</v>
      </c>
      <c r="G1445" s="70"/>
      <c r="H1445" s="71">
        <v>1.3</v>
      </c>
    </row>
    <row r="1446" customHeight="1" spans="1:8">
      <c r="A1446" s="64"/>
      <c r="B1446" s="65">
        <v>6936874693458</v>
      </c>
      <c r="C1446" s="66" t="s">
        <v>2768</v>
      </c>
      <c r="D1446" s="67">
        <v>0.0435</v>
      </c>
      <c r="E1446" s="68"/>
      <c r="F1446" s="69">
        <v>0.25</v>
      </c>
      <c r="G1446" s="70"/>
      <c r="H1446" s="71">
        <v>0.1</v>
      </c>
    </row>
    <row r="1447" customHeight="1" spans="1:8">
      <c r="A1447" s="64"/>
      <c r="B1447" s="73" t="s">
        <v>2769</v>
      </c>
      <c r="C1447" s="66" t="s">
        <v>2770</v>
      </c>
      <c r="D1447" s="67">
        <v>0.5652</v>
      </c>
      <c r="E1447" s="68"/>
      <c r="F1447" s="69">
        <v>2</v>
      </c>
      <c r="G1447" s="70"/>
      <c r="H1447" s="71">
        <v>1.3</v>
      </c>
    </row>
    <row r="1448" customHeight="1" spans="1:8">
      <c r="A1448" s="64"/>
      <c r="B1448" s="103" t="s">
        <v>2771</v>
      </c>
      <c r="C1448" s="104" t="s">
        <v>2772</v>
      </c>
      <c r="D1448" s="67">
        <v>0.4783</v>
      </c>
      <c r="E1448" s="68"/>
      <c r="F1448" s="105">
        <v>1.7</v>
      </c>
      <c r="G1448" s="106"/>
      <c r="H1448" s="107">
        <v>1.1</v>
      </c>
    </row>
    <row r="1449" customHeight="1" spans="1:8">
      <c r="A1449" s="64"/>
      <c r="B1449" s="103" t="s">
        <v>2773</v>
      </c>
      <c r="C1449" s="104" t="s">
        <v>2774</v>
      </c>
      <c r="D1449" s="67">
        <v>0.6522</v>
      </c>
      <c r="E1449" s="68"/>
      <c r="F1449" s="105">
        <v>2.5</v>
      </c>
      <c r="G1449" s="106"/>
      <c r="H1449" s="107">
        <v>1.5</v>
      </c>
    </row>
    <row r="1450" customHeight="1" spans="1:8">
      <c r="A1450" s="64"/>
      <c r="B1450" s="73" t="s">
        <v>2775</v>
      </c>
      <c r="C1450" s="66" t="s">
        <v>2776</v>
      </c>
      <c r="D1450" s="67">
        <v>0.7391</v>
      </c>
      <c r="E1450" s="68"/>
      <c r="F1450" s="69">
        <v>2.8</v>
      </c>
      <c r="G1450" s="70"/>
      <c r="H1450" s="71">
        <v>1.7</v>
      </c>
    </row>
    <row r="1451" customHeight="1" spans="1:8">
      <c r="A1451" s="64"/>
      <c r="B1451" s="73" t="s">
        <v>2777</v>
      </c>
      <c r="C1451" s="66" t="s">
        <v>2778</v>
      </c>
      <c r="D1451" s="67">
        <v>0.9565</v>
      </c>
      <c r="E1451" s="68"/>
      <c r="F1451" s="69">
        <v>3.5</v>
      </c>
      <c r="G1451" s="70"/>
      <c r="H1451" s="71">
        <v>2.2</v>
      </c>
    </row>
    <row r="1452" customHeight="1" spans="1:8">
      <c r="A1452" s="64"/>
      <c r="B1452" s="103" t="s">
        <v>2779</v>
      </c>
      <c r="C1452" s="104" t="s">
        <v>2780</v>
      </c>
      <c r="D1452" s="67">
        <v>1.5217</v>
      </c>
      <c r="E1452" s="68"/>
      <c r="F1452" s="105">
        <v>3.6</v>
      </c>
      <c r="G1452" s="106"/>
      <c r="H1452" s="107">
        <v>3.5</v>
      </c>
    </row>
    <row r="1453" customHeight="1" spans="1:8">
      <c r="A1453" s="64"/>
      <c r="B1453" s="103" t="s">
        <v>2781</v>
      </c>
      <c r="C1453" s="104" t="s">
        <v>2782</v>
      </c>
      <c r="D1453" s="67">
        <v>0.9565</v>
      </c>
      <c r="E1453" s="68"/>
      <c r="F1453" s="105">
        <v>3.6</v>
      </c>
      <c r="G1453" s="106"/>
      <c r="H1453" s="107">
        <v>2.2</v>
      </c>
    </row>
    <row r="1454" customHeight="1" spans="1:8">
      <c r="A1454" s="64"/>
      <c r="B1454" s="103" t="s">
        <v>2783</v>
      </c>
      <c r="C1454" s="104" t="s">
        <v>2784</v>
      </c>
      <c r="D1454" s="67">
        <v>0.9565</v>
      </c>
      <c r="E1454" s="68"/>
      <c r="F1454" s="105">
        <v>3.6</v>
      </c>
      <c r="G1454" s="106"/>
      <c r="H1454" s="107">
        <v>2.2</v>
      </c>
    </row>
    <row r="1455" customHeight="1" spans="1:8">
      <c r="A1455" s="64"/>
      <c r="B1455" s="103" t="s">
        <v>2785</v>
      </c>
      <c r="C1455" s="104" t="s">
        <v>2786</v>
      </c>
      <c r="D1455" s="67">
        <v>1.0435</v>
      </c>
      <c r="E1455" s="68"/>
      <c r="F1455" s="105">
        <v>3.8</v>
      </c>
      <c r="G1455" s="106"/>
      <c r="H1455" s="107">
        <v>2.4</v>
      </c>
    </row>
    <row r="1456" customHeight="1" spans="1:8">
      <c r="A1456" s="64"/>
      <c r="B1456" s="73" t="s">
        <v>2787</v>
      </c>
      <c r="C1456" s="66" t="s">
        <v>2788</v>
      </c>
      <c r="D1456" s="67">
        <v>0.7391</v>
      </c>
      <c r="E1456" s="68"/>
      <c r="F1456" s="69">
        <v>2.8</v>
      </c>
      <c r="G1456" s="70"/>
      <c r="H1456" s="71">
        <v>1.7</v>
      </c>
    </row>
    <row r="1457" customHeight="1" spans="1:8">
      <c r="A1457" s="64"/>
      <c r="B1457" s="73" t="s">
        <v>2789</v>
      </c>
      <c r="C1457" s="66" t="s">
        <v>2790</v>
      </c>
      <c r="D1457" s="67">
        <v>0.2174</v>
      </c>
      <c r="E1457" s="68"/>
      <c r="F1457" s="69">
        <v>0.7</v>
      </c>
      <c r="G1457" s="70"/>
      <c r="H1457" s="71">
        <v>0.5</v>
      </c>
    </row>
    <row r="1458" customHeight="1" spans="1:8">
      <c r="A1458" s="64"/>
      <c r="B1458" s="73" t="s">
        <v>2791</v>
      </c>
      <c r="C1458" s="66" t="s">
        <v>2792</v>
      </c>
      <c r="D1458" s="67">
        <v>0.2174</v>
      </c>
      <c r="E1458" s="68"/>
      <c r="F1458" s="69">
        <v>0.7</v>
      </c>
      <c r="G1458" s="70"/>
      <c r="H1458" s="71">
        <v>0.5</v>
      </c>
    </row>
    <row r="1459" customHeight="1" spans="1:8">
      <c r="A1459" s="64"/>
      <c r="B1459" s="73" t="s">
        <v>2793</v>
      </c>
      <c r="C1459" s="66" t="s">
        <v>2794</v>
      </c>
      <c r="D1459" s="67">
        <v>0.2174</v>
      </c>
      <c r="E1459" s="68"/>
      <c r="F1459" s="69">
        <v>0.7</v>
      </c>
      <c r="G1459" s="70"/>
      <c r="H1459" s="71">
        <v>0.5</v>
      </c>
    </row>
    <row r="1460" customHeight="1" spans="1:8">
      <c r="A1460" s="64"/>
      <c r="B1460" s="73" t="s">
        <v>2795</v>
      </c>
      <c r="C1460" s="66" t="s">
        <v>2796</v>
      </c>
      <c r="D1460" s="67">
        <v>0.2174</v>
      </c>
      <c r="E1460" s="68"/>
      <c r="F1460" s="69">
        <v>0.7</v>
      </c>
      <c r="G1460" s="70"/>
      <c r="H1460" s="71">
        <v>0.5</v>
      </c>
    </row>
    <row r="1461" customHeight="1" spans="1:8">
      <c r="A1461" s="64"/>
      <c r="B1461" s="73" t="s">
        <v>2797</v>
      </c>
      <c r="C1461" s="66" t="s">
        <v>2798</v>
      </c>
      <c r="D1461" s="67">
        <v>6.087</v>
      </c>
      <c r="E1461" s="68"/>
      <c r="F1461" s="69">
        <v>15</v>
      </c>
      <c r="G1461" s="70"/>
      <c r="H1461" s="71">
        <v>14</v>
      </c>
    </row>
    <row r="1462" customHeight="1" spans="1:8">
      <c r="A1462" s="64"/>
      <c r="B1462" s="73" t="s">
        <v>2799</v>
      </c>
      <c r="C1462" s="66" t="s">
        <v>2800</v>
      </c>
      <c r="D1462" s="67">
        <v>0.1304</v>
      </c>
      <c r="E1462" s="68"/>
      <c r="F1462" s="69">
        <v>0.4</v>
      </c>
      <c r="G1462" s="70"/>
      <c r="H1462" s="71">
        <v>0.3</v>
      </c>
    </row>
    <row r="1463" customHeight="1" spans="1:8">
      <c r="A1463" s="64"/>
      <c r="B1463" s="73" t="s">
        <v>2801</v>
      </c>
      <c r="C1463" s="66" t="s">
        <v>2802</v>
      </c>
      <c r="D1463" s="67">
        <v>0.1304</v>
      </c>
      <c r="E1463" s="68"/>
      <c r="F1463" s="69">
        <v>0.75</v>
      </c>
      <c r="G1463" s="70"/>
      <c r="H1463" s="71">
        <v>0.3</v>
      </c>
    </row>
    <row r="1464" ht="25.5" customHeight="1" spans="1:8">
      <c r="A1464" s="64"/>
      <c r="B1464" s="73" t="s">
        <v>2803</v>
      </c>
      <c r="C1464" s="66" t="s">
        <v>2804</v>
      </c>
      <c r="D1464" s="67">
        <v>0.0435</v>
      </c>
      <c r="E1464" s="68"/>
      <c r="F1464" s="69">
        <v>0.25</v>
      </c>
      <c r="G1464" s="70"/>
      <c r="H1464" s="71">
        <v>0.1</v>
      </c>
    </row>
    <row r="1465" ht="25.5" customHeight="1" spans="1:8">
      <c r="A1465" s="64"/>
      <c r="B1465" s="73" t="s">
        <v>2805</v>
      </c>
      <c r="C1465" s="66" t="s">
        <v>2806</v>
      </c>
      <c r="D1465" s="67">
        <v>0.0435</v>
      </c>
      <c r="E1465" s="68"/>
      <c r="F1465" s="69">
        <v>0.5</v>
      </c>
      <c r="G1465" s="70"/>
      <c r="H1465" s="71">
        <v>0.1</v>
      </c>
    </row>
    <row r="1466" customHeight="1" spans="1:8">
      <c r="A1466" s="64"/>
      <c r="B1466" s="73" t="s">
        <v>2807</v>
      </c>
      <c r="C1466" s="66" t="s">
        <v>2808</v>
      </c>
      <c r="D1466" s="67">
        <v>0.1739</v>
      </c>
      <c r="E1466" s="68"/>
      <c r="F1466" s="69">
        <v>0.7</v>
      </c>
      <c r="G1466" s="70"/>
      <c r="H1466" s="71">
        <v>0.4</v>
      </c>
    </row>
    <row r="1467" customHeight="1" spans="1:8">
      <c r="A1467" s="64"/>
      <c r="B1467" s="103" t="s">
        <v>2809</v>
      </c>
      <c r="C1467" s="104" t="s">
        <v>2810</v>
      </c>
      <c r="D1467" s="67">
        <v>0.3478</v>
      </c>
      <c r="E1467" s="68"/>
      <c r="F1467" s="105">
        <v>1</v>
      </c>
      <c r="G1467" s="106"/>
      <c r="H1467" s="107">
        <v>0.8</v>
      </c>
    </row>
    <row r="1468" customHeight="1" spans="1:8">
      <c r="A1468" s="64"/>
      <c r="B1468" s="73" t="s">
        <v>2811</v>
      </c>
      <c r="C1468" s="66" t="s">
        <v>2812</v>
      </c>
      <c r="D1468" s="67">
        <v>0.9565</v>
      </c>
      <c r="E1468" s="68"/>
      <c r="F1468" s="69">
        <v>3.5</v>
      </c>
      <c r="G1468" s="70"/>
      <c r="H1468" s="71">
        <v>2.2</v>
      </c>
    </row>
    <row r="1469" customHeight="1" spans="1:8">
      <c r="A1469" s="64"/>
      <c r="B1469" s="73" t="s">
        <v>2813</v>
      </c>
      <c r="C1469" s="66" t="s">
        <v>2814</v>
      </c>
      <c r="D1469" s="67">
        <v>1.2174</v>
      </c>
      <c r="E1469" s="68"/>
      <c r="F1469" s="69">
        <v>4.5</v>
      </c>
      <c r="G1469" s="70"/>
      <c r="H1469" s="71">
        <v>2.8</v>
      </c>
    </row>
    <row r="1470" customHeight="1" spans="1:8">
      <c r="A1470" s="64"/>
      <c r="B1470" s="103" t="s">
        <v>2815</v>
      </c>
      <c r="C1470" s="104" t="s">
        <v>2816</v>
      </c>
      <c r="D1470" s="67">
        <v>1.6522</v>
      </c>
      <c r="E1470" s="68"/>
      <c r="F1470" s="105">
        <v>6</v>
      </c>
      <c r="G1470" s="106"/>
      <c r="H1470" s="107">
        <v>3.8</v>
      </c>
    </row>
    <row r="1471" customHeight="1" spans="1:8">
      <c r="A1471" s="64"/>
      <c r="B1471" s="73" t="s">
        <v>2817</v>
      </c>
      <c r="C1471" s="66" t="s">
        <v>2818</v>
      </c>
      <c r="D1471" s="67">
        <v>0.1304</v>
      </c>
      <c r="E1471" s="68"/>
      <c r="F1471" s="69">
        <v>0.5</v>
      </c>
      <c r="G1471" s="70"/>
      <c r="H1471" s="71">
        <v>0.3</v>
      </c>
    </row>
    <row r="1472" spans="1:8">
      <c r="A1472" s="64"/>
      <c r="B1472" s="73" t="s">
        <v>2819</v>
      </c>
      <c r="C1472" s="66" t="s">
        <v>2820</v>
      </c>
      <c r="D1472" s="67">
        <v>0.2174</v>
      </c>
      <c r="E1472" s="68"/>
      <c r="F1472" s="69">
        <v>0.5</v>
      </c>
      <c r="G1472" s="70"/>
      <c r="H1472" s="71">
        <v>0.3</v>
      </c>
    </row>
    <row r="1473" customHeight="1" spans="1:8">
      <c r="A1473" s="64"/>
      <c r="B1473" s="73" t="s">
        <v>2821</v>
      </c>
      <c r="C1473" s="66" t="s">
        <v>2822</v>
      </c>
      <c r="D1473" s="67">
        <v>0.6522</v>
      </c>
      <c r="E1473" s="68"/>
      <c r="F1473" s="69">
        <v>3</v>
      </c>
      <c r="G1473" s="70"/>
      <c r="H1473" s="71">
        <v>1.5</v>
      </c>
    </row>
    <row r="1474" customHeight="1" spans="1:8">
      <c r="A1474" s="64"/>
      <c r="B1474" s="103" t="s">
        <v>2823</v>
      </c>
      <c r="C1474" s="104" t="s">
        <v>2824</v>
      </c>
      <c r="D1474" s="67">
        <v>0.2174</v>
      </c>
      <c r="E1474" s="68"/>
      <c r="F1474" s="105">
        <v>0.8</v>
      </c>
      <c r="G1474" s="106"/>
      <c r="H1474" s="107">
        <v>0.5</v>
      </c>
    </row>
    <row r="1475" customHeight="1" spans="1:8">
      <c r="A1475" s="64"/>
      <c r="B1475" s="103" t="s">
        <v>2825</v>
      </c>
      <c r="C1475" s="104" t="s">
        <v>2826</v>
      </c>
      <c r="D1475" s="67">
        <v>6.4348</v>
      </c>
      <c r="E1475" s="68"/>
      <c r="F1475" s="105">
        <v>24</v>
      </c>
      <c r="G1475" s="106"/>
      <c r="H1475" s="107">
        <v>14.8</v>
      </c>
    </row>
    <row r="1476" customHeight="1" spans="1:8">
      <c r="A1476" s="64"/>
      <c r="B1476" s="73" t="s">
        <v>2827</v>
      </c>
      <c r="C1476" s="66" t="s">
        <v>2828</v>
      </c>
      <c r="D1476" s="67">
        <v>0.2609</v>
      </c>
      <c r="E1476" s="68"/>
      <c r="F1476" s="69">
        <v>1</v>
      </c>
      <c r="G1476" s="70"/>
      <c r="H1476" s="71">
        <v>0.6</v>
      </c>
    </row>
    <row r="1477" customHeight="1" spans="1:8">
      <c r="A1477" s="64"/>
      <c r="B1477" s="73" t="s">
        <v>2829</v>
      </c>
      <c r="C1477" s="66" t="s">
        <v>2830</v>
      </c>
      <c r="D1477" s="67">
        <v>0.2609</v>
      </c>
      <c r="E1477" s="68"/>
      <c r="F1477" s="69">
        <v>1</v>
      </c>
      <c r="G1477" s="70"/>
      <c r="H1477" s="71">
        <v>0.6</v>
      </c>
    </row>
    <row r="1478" customHeight="1" spans="1:8">
      <c r="A1478" s="64"/>
      <c r="B1478" s="73" t="s">
        <v>2831</v>
      </c>
      <c r="C1478" s="66" t="s">
        <v>2832</v>
      </c>
      <c r="D1478" s="67">
        <v>0.3043</v>
      </c>
      <c r="E1478" s="68"/>
      <c r="F1478" s="69">
        <v>1</v>
      </c>
      <c r="G1478" s="70"/>
      <c r="H1478" s="71">
        <v>0.7</v>
      </c>
    </row>
    <row r="1479" customHeight="1" spans="1:8">
      <c r="A1479" s="64"/>
      <c r="B1479" s="103" t="s">
        <v>2833</v>
      </c>
      <c r="C1479" s="104" t="s">
        <v>2834</v>
      </c>
      <c r="D1479" s="67">
        <v>0.3913</v>
      </c>
      <c r="E1479" s="68"/>
      <c r="F1479" s="105">
        <v>1.4</v>
      </c>
      <c r="G1479" s="106"/>
      <c r="H1479" s="107">
        <v>0.9</v>
      </c>
    </row>
    <row r="1480" customHeight="1" spans="1:8">
      <c r="A1480" s="64"/>
      <c r="B1480" s="103" t="s">
        <v>2835</v>
      </c>
      <c r="C1480" s="104" t="s">
        <v>2836</v>
      </c>
      <c r="D1480" s="67">
        <v>0.3913</v>
      </c>
      <c r="E1480" s="68"/>
      <c r="F1480" s="105">
        <v>1.4</v>
      </c>
      <c r="G1480" s="106"/>
      <c r="H1480" s="107">
        <v>0.9</v>
      </c>
    </row>
    <row r="1481" customHeight="1" spans="1:8">
      <c r="A1481" s="64"/>
      <c r="B1481" s="103" t="s">
        <v>2837</v>
      </c>
      <c r="C1481" s="104" t="s">
        <v>2838</v>
      </c>
      <c r="D1481" s="67">
        <v>0.4348</v>
      </c>
      <c r="E1481" s="68"/>
      <c r="F1481" s="105">
        <v>1.6</v>
      </c>
      <c r="G1481" s="106"/>
      <c r="H1481" s="107">
        <v>1</v>
      </c>
    </row>
    <row r="1482" customHeight="1" spans="1:8">
      <c r="A1482" s="64"/>
      <c r="B1482" s="103" t="s">
        <v>2839</v>
      </c>
      <c r="C1482" s="104" t="s">
        <v>2840</v>
      </c>
      <c r="D1482" s="67">
        <v>0.5652</v>
      </c>
      <c r="E1482" s="68"/>
      <c r="F1482" s="105">
        <v>2.1</v>
      </c>
      <c r="G1482" s="106"/>
      <c r="H1482" s="107">
        <v>1.3</v>
      </c>
    </row>
    <row r="1483" customHeight="1" spans="1:8">
      <c r="A1483" s="64"/>
      <c r="B1483" s="73" t="s">
        <v>2841</v>
      </c>
      <c r="C1483" s="66" t="s">
        <v>2842</v>
      </c>
      <c r="D1483" s="67">
        <v>0.4348</v>
      </c>
      <c r="E1483" s="68"/>
      <c r="F1483" s="69">
        <v>1.6</v>
      </c>
      <c r="G1483" s="70"/>
      <c r="H1483" s="71">
        <v>1</v>
      </c>
    </row>
    <row r="1484" customHeight="1" spans="1:8">
      <c r="A1484" s="64"/>
      <c r="B1484" s="103" t="s">
        <v>2843</v>
      </c>
      <c r="C1484" s="104" t="s">
        <v>2844</v>
      </c>
      <c r="D1484" s="67">
        <v>0.5652</v>
      </c>
      <c r="E1484" s="68"/>
      <c r="F1484" s="105">
        <v>2.1</v>
      </c>
      <c r="G1484" s="106"/>
      <c r="H1484" s="107">
        <v>1.3</v>
      </c>
    </row>
    <row r="1485" customHeight="1" spans="1:8">
      <c r="A1485" s="64"/>
      <c r="B1485" s="103" t="s">
        <v>2845</v>
      </c>
      <c r="C1485" s="104" t="s">
        <v>2846</v>
      </c>
      <c r="D1485" s="67">
        <v>0.2609</v>
      </c>
      <c r="E1485" s="68"/>
      <c r="F1485" s="105">
        <v>1</v>
      </c>
      <c r="G1485" s="106"/>
      <c r="H1485" s="107">
        <v>0.6</v>
      </c>
    </row>
    <row r="1486" customHeight="1" spans="1:8">
      <c r="A1486" s="64"/>
      <c r="B1486" s="73" t="s">
        <v>2847</v>
      </c>
      <c r="C1486" s="66" t="s">
        <v>2848</v>
      </c>
      <c r="D1486" s="67">
        <v>0.3043</v>
      </c>
      <c r="E1486" s="68"/>
      <c r="F1486" s="69">
        <v>1</v>
      </c>
      <c r="G1486" s="70"/>
      <c r="H1486" s="71">
        <v>0.7</v>
      </c>
    </row>
    <row r="1487" customHeight="1" spans="1:8">
      <c r="A1487" s="64"/>
      <c r="B1487" s="103" t="s">
        <v>2849</v>
      </c>
      <c r="C1487" s="104" t="s">
        <v>2850</v>
      </c>
      <c r="D1487" s="67">
        <v>1.9565</v>
      </c>
      <c r="E1487" s="68"/>
      <c r="F1487" s="105">
        <v>7</v>
      </c>
      <c r="G1487" s="106"/>
      <c r="H1487" s="107">
        <v>4.5</v>
      </c>
    </row>
    <row r="1488" customHeight="1" spans="1:8">
      <c r="A1488" s="64"/>
      <c r="B1488" s="103" t="s">
        <v>2851</v>
      </c>
      <c r="C1488" s="104" t="s">
        <v>2852</v>
      </c>
      <c r="D1488" s="67">
        <v>1.9565</v>
      </c>
      <c r="E1488" s="68"/>
      <c r="F1488" s="105">
        <v>7</v>
      </c>
      <c r="G1488" s="106"/>
      <c r="H1488" s="107">
        <v>4.5</v>
      </c>
    </row>
    <row r="1489" customHeight="1" spans="1:8">
      <c r="A1489" s="64"/>
      <c r="B1489" s="103" t="s">
        <v>2853</v>
      </c>
      <c r="C1489" s="104" t="s">
        <v>2854</v>
      </c>
      <c r="D1489" s="67">
        <v>2.1304</v>
      </c>
      <c r="E1489" s="68"/>
      <c r="F1489" s="105">
        <v>7</v>
      </c>
      <c r="G1489" s="106"/>
      <c r="H1489" s="107">
        <v>4.9</v>
      </c>
    </row>
    <row r="1490" customHeight="1" spans="1:8">
      <c r="A1490" s="64"/>
      <c r="B1490" s="103" t="s">
        <v>2855</v>
      </c>
      <c r="C1490" s="104" t="s">
        <v>2856</v>
      </c>
      <c r="D1490" s="67">
        <v>0.2609</v>
      </c>
      <c r="E1490" s="68"/>
      <c r="F1490" s="105">
        <v>1</v>
      </c>
      <c r="G1490" s="106"/>
      <c r="H1490" s="107">
        <v>0.6</v>
      </c>
    </row>
    <row r="1491" customHeight="1" spans="1:8">
      <c r="A1491" s="64"/>
      <c r="B1491" s="73" t="s">
        <v>2857</v>
      </c>
      <c r="C1491" s="66" t="s">
        <v>2858</v>
      </c>
      <c r="D1491" s="67">
        <v>0.1739</v>
      </c>
      <c r="E1491" s="68"/>
      <c r="F1491" s="69">
        <v>0.6</v>
      </c>
      <c r="G1491" s="70"/>
      <c r="H1491" s="71">
        <v>0.4</v>
      </c>
    </row>
    <row r="1492" customHeight="1" spans="1:8">
      <c r="A1492" s="64"/>
      <c r="B1492" s="73" t="s">
        <v>2859</v>
      </c>
      <c r="C1492" s="66" t="s">
        <v>2860</v>
      </c>
      <c r="D1492" s="67">
        <v>0.1739</v>
      </c>
      <c r="E1492" s="68"/>
      <c r="F1492" s="69">
        <v>0.6</v>
      </c>
      <c r="G1492" s="70"/>
      <c r="H1492" s="71">
        <v>0.4</v>
      </c>
    </row>
    <row r="1493" customHeight="1" spans="1:8">
      <c r="A1493" s="64"/>
      <c r="B1493" s="103" t="s">
        <v>2861</v>
      </c>
      <c r="C1493" s="104" t="s">
        <v>2862</v>
      </c>
      <c r="D1493" s="67">
        <v>0.1739</v>
      </c>
      <c r="E1493" s="68"/>
      <c r="F1493" s="105">
        <v>0.6</v>
      </c>
      <c r="G1493" s="106"/>
      <c r="H1493" s="107">
        <v>0.4</v>
      </c>
    </row>
    <row r="1494" customHeight="1" spans="1:8">
      <c r="A1494" s="64"/>
      <c r="B1494" s="103" t="s">
        <v>2863</v>
      </c>
      <c r="C1494" s="104" t="s">
        <v>2864</v>
      </c>
      <c r="D1494" s="67">
        <v>0.4783</v>
      </c>
      <c r="E1494" s="68"/>
      <c r="F1494" s="105">
        <v>2</v>
      </c>
      <c r="G1494" s="106"/>
      <c r="H1494" s="107">
        <v>1.1</v>
      </c>
    </row>
    <row r="1495" customHeight="1" spans="1:8">
      <c r="A1495" s="64"/>
      <c r="B1495" s="73" t="s">
        <v>2865</v>
      </c>
      <c r="C1495" s="66" t="s">
        <v>2866</v>
      </c>
      <c r="D1495" s="67">
        <v>0.5217</v>
      </c>
      <c r="E1495" s="68"/>
      <c r="F1495" s="69">
        <v>2</v>
      </c>
      <c r="G1495" s="70"/>
      <c r="H1495" s="71">
        <v>1.2</v>
      </c>
    </row>
    <row r="1496" customHeight="1" spans="1:8">
      <c r="A1496" s="64"/>
      <c r="B1496" s="73" t="s">
        <v>2867</v>
      </c>
      <c r="C1496" s="66" t="s">
        <v>2868</v>
      </c>
      <c r="D1496" s="67">
        <v>2.8261</v>
      </c>
      <c r="E1496" s="68"/>
      <c r="F1496" s="69">
        <v>10</v>
      </c>
      <c r="G1496" s="70"/>
      <c r="H1496" s="71">
        <v>6.5</v>
      </c>
    </row>
    <row r="1497" customHeight="1" spans="1:8">
      <c r="A1497" s="64"/>
      <c r="B1497" s="73" t="s">
        <v>2869</v>
      </c>
      <c r="C1497" s="66" t="s">
        <v>2870</v>
      </c>
      <c r="D1497" s="67">
        <v>0.2174</v>
      </c>
      <c r="E1497" s="68"/>
      <c r="F1497" s="69">
        <v>0.8</v>
      </c>
      <c r="G1497" s="70"/>
      <c r="H1497" s="71">
        <v>0.5</v>
      </c>
    </row>
    <row r="1498" customHeight="1" spans="1:8">
      <c r="A1498" s="64"/>
      <c r="B1498" s="73" t="s">
        <v>2871</v>
      </c>
      <c r="C1498" s="66" t="s">
        <v>2872</v>
      </c>
      <c r="D1498" s="67">
        <v>0.2609</v>
      </c>
      <c r="E1498" s="68"/>
      <c r="F1498" s="69">
        <v>2</v>
      </c>
      <c r="G1498" s="70"/>
      <c r="H1498" s="71">
        <v>0.6</v>
      </c>
    </row>
    <row r="1499" customHeight="1" spans="1:8">
      <c r="A1499" s="64"/>
      <c r="B1499" s="103" t="s">
        <v>2873</v>
      </c>
      <c r="C1499" s="104" t="s">
        <v>2874</v>
      </c>
      <c r="D1499" s="67">
        <v>0.2609</v>
      </c>
      <c r="E1499" s="68"/>
      <c r="F1499" s="105">
        <v>1</v>
      </c>
      <c r="G1499" s="106"/>
      <c r="H1499" s="107">
        <v>0.6</v>
      </c>
    </row>
    <row r="1500" customHeight="1" spans="1:8">
      <c r="A1500" s="64"/>
      <c r="B1500" s="73" t="s">
        <v>2875</v>
      </c>
      <c r="C1500" s="66" t="s">
        <v>2876</v>
      </c>
      <c r="D1500" s="67">
        <v>1.8261</v>
      </c>
      <c r="E1500" s="68"/>
      <c r="F1500" s="69">
        <v>6.7</v>
      </c>
      <c r="G1500" s="70"/>
      <c r="H1500" s="71">
        <v>4.2</v>
      </c>
    </row>
    <row r="1501" customHeight="1" spans="1:8">
      <c r="A1501" s="64"/>
      <c r="B1501" s="73" t="s">
        <v>2877</v>
      </c>
      <c r="C1501" s="66" t="s">
        <v>2878</v>
      </c>
      <c r="D1501" s="67">
        <v>2</v>
      </c>
      <c r="E1501" s="68"/>
      <c r="F1501" s="69">
        <v>8</v>
      </c>
      <c r="G1501" s="70"/>
      <c r="H1501" s="71">
        <v>4.6</v>
      </c>
    </row>
    <row r="1502" customHeight="1" spans="1:8">
      <c r="A1502" s="64"/>
      <c r="B1502" s="73" t="s">
        <v>2879</v>
      </c>
      <c r="C1502" s="66" t="s">
        <v>2880</v>
      </c>
      <c r="D1502" s="67">
        <v>2.1739</v>
      </c>
      <c r="E1502" s="68"/>
      <c r="F1502" s="69">
        <v>8</v>
      </c>
      <c r="G1502" s="70"/>
      <c r="H1502" s="71">
        <v>5</v>
      </c>
    </row>
    <row r="1503" customHeight="1" spans="1:8">
      <c r="A1503" s="64"/>
      <c r="B1503" s="103" t="s">
        <v>2881</v>
      </c>
      <c r="C1503" s="104" t="s">
        <v>2882</v>
      </c>
      <c r="D1503" s="67">
        <v>1.3478</v>
      </c>
      <c r="E1503" s="68"/>
      <c r="F1503" s="105">
        <v>5</v>
      </c>
      <c r="G1503" s="106"/>
      <c r="H1503" s="107">
        <v>3.1</v>
      </c>
    </row>
    <row r="1504" customHeight="1" spans="1:8">
      <c r="A1504" s="64"/>
      <c r="B1504" s="73" t="s">
        <v>2883</v>
      </c>
      <c r="C1504" s="66" t="s">
        <v>2884</v>
      </c>
      <c r="D1504" s="67">
        <v>1.1739</v>
      </c>
      <c r="E1504" s="68"/>
      <c r="F1504" s="69">
        <v>4.4</v>
      </c>
      <c r="G1504" s="70"/>
      <c r="H1504" s="71">
        <v>2.7</v>
      </c>
    </row>
    <row r="1505" customHeight="1" spans="1:8">
      <c r="A1505" s="64"/>
      <c r="B1505" s="73" t="s">
        <v>2885</v>
      </c>
      <c r="C1505" s="66" t="s">
        <v>2886</v>
      </c>
      <c r="D1505" s="67">
        <v>1.0435</v>
      </c>
      <c r="E1505" s="68"/>
      <c r="F1505" s="69">
        <v>3.9</v>
      </c>
      <c r="G1505" s="70"/>
      <c r="H1505" s="71">
        <v>2.4</v>
      </c>
    </row>
    <row r="1506" customHeight="1" spans="1:8">
      <c r="A1506" s="64"/>
      <c r="B1506" s="73" t="s">
        <v>2887</v>
      </c>
      <c r="C1506" s="66" t="s">
        <v>2888</v>
      </c>
      <c r="D1506" s="67">
        <v>0.2174</v>
      </c>
      <c r="E1506" s="68"/>
      <c r="F1506" s="69">
        <v>0.6</v>
      </c>
      <c r="G1506" s="70"/>
      <c r="H1506" s="71">
        <v>0.5</v>
      </c>
    </row>
    <row r="1507" customHeight="1" spans="1:8">
      <c r="A1507" s="64"/>
      <c r="B1507" s="73" t="s">
        <v>2889</v>
      </c>
      <c r="C1507" s="66" t="s">
        <v>2890</v>
      </c>
      <c r="D1507" s="67">
        <v>0.1739</v>
      </c>
      <c r="E1507" s="68"/>
      <c r="F1507" s="69">
        <v>1</v>
      </c>
      <c r="G1507" s="70"/>
      <c r="H1507" s="71">
        <v>0.5</v>
      </c>
    </row>
    <row r="1508" customHeight="1" spans="1:8">
      <c r="A1508" s="64"/>
      <c r="B1508" s="73" t="s">
        <v>2891</v>
      </c>
      <c r="C1508" s="66" t="s">
        <v>2892</v>
      </c>
      <c r="D1508" s="67">
        <v>0.2174</v>
      </c>
      <c r="E1508" s="68"/>
      <c r="F1508" s="69">
        <v>1</v>
      </c>
      <c r="G1508" s="70"/>
      <c r="H1508" s="71">
        <v>0.5</v>
      </c>
    </row>
    <row r="1509" customHeight="1" spans="1:8">
      <c r="A1509" s="64"/>
      <c r="B1509" s="73" t="s">
        <v>2893</v>
      </c>
      <c r="C1509" s="66" t="s">
        <v>2894</v>
      </c>
      <c r="D1509" s="67">
        <v>0.5217</v>
      </c>
      <c r="E1509" s="68"/>
      <c r="F1509" s="69">
        <v>1.9</v>
      </c>
      <c r="G1509" s="70"/>
      <c r="H1509" s="71">
        <v>1.2</v>
      </c>
    </row>
    <row r="1510" customHeight="1" spans="1:8">
      <c r="A1510" s="64"/>
      <c r="B1510" s="73" t="s">
        <v>2895</v>
      </c>
      <c r="C1510" s="66" t="s">
        <v>2896</v>
      </c>
      <c r="D1510" s="67">
        <v>0.3913</v>
      </c>
      <c r="E1510" s="68"/>
      <c r="F1510" s="69">
        <v>1.5</v>
      </c>
      <c r="G1510" s="70"/>
      <c r="H1510" s="71">
        <v>0.9</v>
      </c>
    </row>
    <row r="1511" customHeight="1" spans="1:8">
      <c r="A1511" s="64"/>
      <c r="B1511" s="73" t="s">
        <v>2897</v>
      </c>
      <c r="C1511" s="66" t="s">
        <v>2898</v>
      </c>
      <c r="D1511" s="67">
        <v>0.4783</v>
      </c>
      <c r="E1511" s="68"/>
      <c r="F1511" s="69">
        <v>1.8</v>
      </c>
      <c r="G1511" s="70"/>
      <c r="H1511" s="71">
        <v>1.1</v>
      </c>
    </row>
    <row r="1512" customHeight="1" spans="1:8">
      <c r="A1512" s="64"/>
      <c r="B1512" s="73" t="s">
        <v>2899</v>
      </c>
      <c r="C1512" s="66" t="s">
        <v>2900</v>
      </c>
      <c r="D1512" s="67">
        <v>0.5652</v>
      </c>
      <c r="E1512" s="68"/>
      <c r="F1512" s="69">
        <v>2</v>
      </c>
      <c r="G1512" s="70"/>
      <c r="H1512" s="71">
        <v>1.3</v>
      </c>
    </row>
    <row r="1513" customHeight="1" spans="1:8">
      <c r="A1513" s="64"/>
      <c r="B1513" s="73" t="s">
        <v>2901</v>
      </c>
      <c r="C1513" s="66" t="s">
        <v>2902</v>
      </c>
      <c r="D1513" s="67">
        <v>3.1304</v>
      </c>
      <c r="E1513" s="68"/>
      <c r="F1513" s="69">
        <v>11.5</v>
      </c>
      <c r="G1513" s="70"/>
      <c r="H1513" s="71">
        <v>7.2</v>
      </c>
    </row>
    <row r="1514" customHeight="1" spans="1:8">
      <c r="A1514" s="64"/>
      <c r="B1514" s="103" t="s">
        <v>2903</v>
      </c>
      <c r="C1514" s="104" t="s">
        <v>2904</v>
      </c>
      <c r="D1514" s="67">
        <v>0.2174</v>
      </c>
      <c r="E1514" s="68"/>
      <c r="F1514" s="105">
        <v>0.8</v>
      </c>
      <c r="G1514" s="106"/>
      <c r="H1514" s="107">
        <v>0.5</v>
      </c>
    </row>
    <row r="1515" customHeight="1" spans="1:8">
      <c r="A1515" s="64"/>
      <c r="B1515" s="73" t="s">
        <v>2905</v>
      </c>
      <c r="C1515" s="66" t="s">
        <v>2906</v>
      </c>
      <c r="D1515" s="67">
        <v>0.0435</v>
      </c>
      <c r="E1515" s="68"/>
      <c r="F1515" s="69">
        <v>0.2</v>
      </c>
      <c r="G1515" s="70"/>
      <c r="H1515" s="71">
        <v>0.1</v>
      </c>
    </row>
    <row r="1516" customHeight="1" spans="1:8">
      <c r="A1516" s="64"/>
      <c r="B1516" s="120" t="s">
        <v>2907</v>
      </c>
      <c r="C1516" s="121" t="s">
        <v>2908</v>
      </c>
      <c r="D1516" s="122">
        <v>0.3913</v>
      </c>
      <c r="E1516" s="68"/>
      <c r="F1516" s="123">
        <v>1.4</v>
      </c>
      <c r="G1516" s="124"/>
      <c r="H1516" s="125">
        <v>0.9</v>
      </c>
    </row>
    <row r="1517" customHeight="1" spans="1:8">
      <c r="A1517" s="64"/>
      <c r="B1517" s="103" t="s">
        <v>2909</v>
      </c>
      <c r="C1517" s="104" t="s">
        <v>2910</v>
      </c>
      <c r="D1517" s="67">
        <v>1.5652</v>
      </c>
      <c r="E1517" s="68"/>
      <c r="F1517" s="105">
        <v>5.8</v>
      </c>
      <c r="G1517" s="106"/>
      <c r="H1517" s="107">
        <v>3.6</v>
      </c>
    </row>
    <row r="1518" customHeight="1" spans="1:8">
      <c r="A1518" s="64"/>
      <c r="B1518" s="73" t="s">
        <v>2911</v>
      </c>
      <c r="C1518" s="66" t="s">
        <v>2912</v>
      </c>
      <c r="D1518" s="67">
        <v>0.0435</v>
      </c>
      <c r="E1518" s="68"/>
      <c r="F1518" s="69">
        <v>0.25</v>
      </c>
      <c r="G1518" s="70"/>
      <c r="H1518" s="71">
        <v>0.1</v>
      </c>
    </row>
    <row r="1519" customHeight="1" spans="1:8">
      <c r="A1519" s="64"/>
      <c r="B1519" s="103" t="s">
        <v>2913</v>
      </c>
      <c r="C1519" s="104" t="s">
        <v>2914</v>
      </c>
      <c r="D1519" s="67">
        <v>1.2174</v>
      </c>
      <c r="E1519" s="68"/>
      <c r="F1519" s="105">
        <v>4.5</v>
      </c>
      <c r="G1519" s="106"/>
      <c r="H1519" s="107">
        <v>2.8</v>
      </c>
    </row>
    <row r="1520" customHeight="1" spans="1:8">
      <c r="A1520" s="64"/>
      <c r="B1520" s="73" t="s">
        <v>2915</v>
      </c>
      <c r="C1520" s="66" t="s">
        <v>2916</v>
      </c>
      <c r="D1520" s="67">
        <v>0.087</v>
      </c>
      <c r="E1520" s="68"/>
      <c r="F1520" s="69">
        <v>0.5</v>
      </c>
      <c r="G1520" s="70"/>
      <c r="H1520" s="71">
        <v>0.2</v>
      </c>
    </row>
    <row r="1521" customHeight="1" spans="1:8">
      <c r="A1521" s="64"/>
      <c r="B1521" s="73" t="s">
        <v>2917</v>
      </c>
      <c r="C1521" s="66" t="s">
        <v>2918</v>
      </c>
      <c r="D1521" s="67">
        <v>0.5652</v>
      </c>
      <c r="E1521" s="68"/>
      <c r="F1521" s="69">
        <v>2</v>
      </c>
      <c r="G1521" s="70"/>
      <c r="H1521" s="71">
        <v>1.3</v>
      </c>
    </row>
    <row r="1522" customHeight="1" spans="1:8">
      <c r="A1522" s="64"/>
      <c r="B1522" s="73" t="s">
        <v>2919</v>
      </c>
      <c r="C1522" s="66" t="s">
        <v>2920</v>
      </c>
      <c r="D1522" s="67">
        <v>0.5652</v>
      </c>
      <c r="E1522" s="68"/>
      <c r="F1522" s="69">
        <v>2</v>
      </c>
      <c r="G1522" s="70"/>
      <c r="H1522" s="71">
        <v>1.3</v>
      </c>
    </row>
    <row r="1523" customHeight="1" spans="1:8">
      <c r="A1523" s="64"/>
      <c r="B1523" s="73" t="s">
        <v>2921</v>
      </c>
      <c r="C1523" s="66" t="s">
        <v>2922</v>
      </c>
      <c r="D1523" s="67">
        <v>0.5652</v>
      </c>
      <c r="E1523" s="68"/>
      <c r="F1523" s="69">
        <v>2</v>
      </c>
      <c r="G1523" s="70"/>
      <c r="H1523" s="71">
        <v>1.3</v>
      </c>
    </row>
    <row r="1524" customHeight="1" spans="1:8">
      <c r="A1524" s="64"/>
      <c r="B1524" s="103" t="s">
        <v>2923</v>
      </c>
      <c r="C1524" s="104" t="s">
        <v>2924</v>
      </c>
      <c r="D1524" s="67">
        <v>1.2174</v>
      </c>
      <c r="E1524" s="68"/>
      <c r="F1524" s="105">
        <v>3</v>
      </c>
      <c r="G1524" s="106"/>
      <c r="H1524" s="107">
        <v>2.8</v>
      </c>
    </row>
    <row r="1525" customHeight="1" spans="1:8">
      <c r="A1525" s="64"/>
      <c r="B1525" s="73" t="s">
        <v>2925</v>
      </c>
      <c r="C1525" s="66" t="s">
        <v>2926</v>
      </c>
      <c r="D1525" s="67">
        <v>1.2174</v>
      </c>
      <c r="E1525" s="68"/>
      <c r="F1525" s="69">
        <v>4.5</v>
      </c>
      <c r="G1525" s="70"/>
      <c r="H1525" s="71">
        <v>2.8</v>
      </c>
    </row>
    <row r="1526" customHeight="1" spans="1:8">
      <c r="A1526" s="64"/>
      <c r="B1526" s="103" t="s">
        <v>2927</v>
      </c>
      <c r="C1526" s="104" t="s">
        <v>2928</v>
      </c>
      <c r="D1526" s="67">
        <v>0.5652</v>
      </c>
      <c r="E1526" s="68"/>
      <c r="F1526" s="105">
        <v>2</v>
      </c>
      <c r="G1526" s="106"/>
      <c r="H1526" s="107">
        <v>1.3</v>
      </c>
    </row>
    <row r="1527" customHeight="1" spans="1:8">
      <c r="A1527" s="64"/>
      <c r="B1527" s="73" t="s">
        <v>2929</v>
      </c>
      <c r="C1527" s="66" t="s">
        <v>2930</v>
      </c>
      <c r="D1527" s="67">
        <v>0.5652</v>
      </c>
      <c r="E1527" s="68"/>
      <c r="F1527" s="69">
        <v>2</v>
      </c>
      <c r="G1527" s="70"/>
      <c r="H1527" s="71">
        <v>1.3</v>
      </c>
    </row>
    <row r="1528" ht="25.5" customHeight="1" spans="1:8">
      <c r="A1528" s="64"/>
      <c r="B1528" s="73" t="s">
        <v>2931</v>
      </c>
      <c r="C1528" s="66" t="s">
        <v>2932</v>
      </c>
      <c r="D1528" s="67">
        <v>0.5652</v>
      </c>
      <c r="E1528" s="68"/>
      <c r="F1528" s="69">
        <v>2</v>
      </c>
      <c r="G1528" s="70"/>
      <c r="H1528" s="71">
        <v>1.3</v>
      </c>
    </row>
    <row r="1529" customHeight="1" spans="1:8">
      <c r="A1529" s="64"/>
      <c r="B1529" s="103" t="s">
        <v>2933</v>
      </c>
      <c r="C1529" s="104" t="s">
        <v>2934</v>
      </c>
      <c r="D1529" s="67">
        <v>0.5652</v>
      </c>
      <c r="E1529" s="68"/>
      <c r="F1529" s="105">
        <v>2</v>
      </c>
      <c r="G1529" s="106"/>
      <c r="H1529" s="107">
        <v>1.3</v>
      </c>
    </row>
    <row r="1530" ht="25.5" customHeight="1" spans="1:8">
      <c r="A1530" s="64"/>
      <c r="B1530" s="103" t="s">
        <v>2935</v>
      </c>
      <c r="C1530" s="104" t="s">
        <v>2936</v>
      </c>
      <c r="D1530" s="67">
        <v>0.5652</v>
      </c>
      <c r="E1530" s="68"/>
      <c r="F1530" s="105">
        <v>2</v>
      </c>
      <c r="G1530" s="106"/>
      <c r="H1530" s="107">
        <v>1.3</v>
      </c>
    </row>
    <row r="1531" customHeight="1" spans="1:8">
      <c r="A1531" s="64"/>
      <c r="B1531" s="73" t="s">
        <v>2937</v>
      </c>
      <c r="C1531" s="66" t="s">
        <v>2938</v>
      </c>
      <c r="D1531" s="67">
        <v>1.4348</v>
      </c>
      <c r="E1531" s="68"/>
      <c r="F1531" s="69">
        <v>5.3</v>
      </c>
      <c r="G1531" s="70"/>
      <c r="H1531" s="71">
        <v>3.3</v>
      </c>
    </row>
    <row r="1532" ht="25.5" customHeight="1" spans="1:8">
      <c r="A1532" s="64"/>
      <c r="B1532" s="73" t="s">
        <v>2939</v>
      </c>
      <c r="C1532" s="66" t="s">
        <v>2940</v>
      </c>
      <c r="D1532" s="67">
        <v>1.2174</v>
      </c>
      <c r="E1532" s="68"/>
      <c r="F1532" s="69">
        <v>4.5</v>
      </c>
      <c r="G1532" s="70"/>
      <c r="H1532" s="71">
        <v>2.8</v>
      </c>
    </row>
    <row r="1533" customHeight="1" spans="1:8">
      <c r="A1533" s="64"/>
      <c r="B1533" s="73" t="s">
        <v>2941</v>
      </c>
      <c r="C1533" s="66" t="s">
        <v>2942</v>
      </c>
      <c r="D1533" s="67">
        <v>1.4348</v>
      </c>
      <c r="E1533" s="68"/>
      <c r="F1533" s="69">
        <v>5.3</v>
      </c>
      <c r="G1533" s="70"/>
      <c r="H1533" s="71">
        <v>3.3</v>
      </c>
    </row>
    <row r="1534" customHeight="1" spans="1:8">
      <c r="A1534" s="64"/>
      <c r="B1534" s="73" t="s">
        <v>2943</v>
      </c>
      <c r="C1534" s="66" t="s">
        <v>2944</v>
      </c>
      <c r="D1534" s="67">
        <v>1.2174</v>
      </c>
      <c r="E1534" s="68"/>
      <c r="F1534" s="69">
        <v>4.5</v>
      </c>
      <c r="G1534" s="70"/>
      <c r="H1534" s="71">
        <v>2.8</v>
      </c>
    </row>
    <row r="1535" customHeight="1" spans="1:8">
      <c r="A1535" s="64"/>
      <c r="B1535" s="73" t="s">
        <v>2945</v>
      </c>
      <c r="C1535" s="66" t="s">
        <v>2946</v>
      </c>
      <c r="D1535" s="67">
        <v>1.4348</v>
      </c>
      <c r="E1535" s="68"/>
      <c r="F1535" s="69">
        <v>5</v>
      </c>
      <c r="G1535" s="70"/>
      <c r="H1535" s="71">
        <v>3.3</v>
      </c>
    </row>
    <row r="1536" customHeight="1" spans="1:8">
      <c r="A1536" s="64"/>
      <c r="B1536" s="103" t="s">
        <v>2947</v>
      </c>
      <c r="C1536" s="104" t="s">
        <v>2948</v>
      </c>
      <c r="D1536" s="67">
        <v>2.2609</v>
      </c>
      <c r="E1536" s="68"/>
      <c r="F1536" s="105">
        <v>8.4</v>
      </c>
      <c r="G1536" s="106"/>
      <c r="H1536" s="107">
        <v>5.2</v>
      </c>
    </row>
    <row r="1537" customHeight="1" spans="1:8">
      <c r="A1537" s="64"/>
      <c r="B1537" s="103" t="s">
        <v>2949</v>
      </c>
      <c r="C1537" s="104" t="s">
        <v>2950</v>
      </c>
      <c r="D1537" s="67">
        <v>0.2174</v>
      </c>
      <c r="E1537" s="68"/>
      <c r="F1537" s="105">
        <v>1</v>
      </c>
      <c r="G1537" s="106"/>
      <c r="H1537" s="107">
        <v>0.5</v>
      </c>
    </row>
    <row r="1538" customHeight="1" spans="1:8">
      <c r="A1538" s="64"/>
      <c r="B1538" s="73" t="s">
        <v>2951</v>
      </c>
      <c r="C1538" s="66" t="s">
        <v>2952</v>
      </c>
      <c r="D1538" s="67">
        <v>1.8261</v>
      </c>
      <c r="E1538" s="68"/>
      <c r="F1538" s="69">
        <v>6.6</v>
      </c>
      <c r="G1538" s="70"/>
      <c r="H1538" s="71">
        <v>4.2</v>
      </c>
    </row>
    <row r="1539" customHeight="1" spans="1:8">
      <c r="A1539" s="64"/>
      <c r="B1539" s="73" t="s">
        <v>2953</v>
      </c>
      <c r="C1539" s="66" t="s">
        <v>2954</v>
      </c>
      <c r="D1539" s="67">
        <v>0.4348</v>
      </c>
      <c r="E1539" s="68"/>
      <c r="F1539" s="69">
        <v>1.7</v>
      </c>
      <c r="G1539" s="70"/>
      <c r="H1539" s="71">
        <v>1</v>
      </c>
    </row>
    <row r="1540" customHeight="1" spans="1:8">
      <c r="A1540" s="64"/>
      <c r="B1540" s="73" t="s">
        <v>2955</v>
      </c>
      <c r="C1540" s="66" t="s">
        <v>2956</v>
      </c>
      <c r="D1540" s="67">
        <v>0.3043</v>
      </c>
      <c r="E1540" s="68"/>
      <c r="F1540" s="69">
        <v>1.1</v>
      </c>
      <c r="G1540" s="70"/>
      <c r="H1540" s="71">
        <v>0.7</v>
      </c>
    </row>
    <row r="1541" customHeight="1" spans="1:8">
      <c r="A1541" s="74"/>
      <c r="B1541" s="65">
        <v>6259201903267</v>
      </c>
      <c r="C1541" s="66" t="s">
        <v>2957</v>
      </c>
      <c r="D1541" s="67">
        <v>0.2174</v>
      </c>
      <c r="E1541" s="68"/>
      <c r="F1541" s="69">
        <v>1</v>
      </c>
      <c r="G1541" s="70"/>
      <c r="H1541" s="71">
        <v>0.5</v>
      </c>
    </row>
    <row r="1542" customHeight="1" spans="1:8">
      <c r="A1542" s="75"/>
      <c r="B1542" s="65">
        <v>6951823200051</v>
      </c>
      <c r="C1542" s="66" t="s">
        <v>2957</v>
      </c>
      <c r="D1542" s="67">
        <v>0.2174</v>
      </c>
      <c r="E1542" s="68"/>
      <c r="F1542" s="69">
        <v>0.8</v>
      </c>
      <c r="G1542" s="70"/>
      <c r="H1542" s="71">
        <v>0.5</v>
      </c>
    </row>
    <row r="1543" customHeight="1" spans="1:8">
      <c r="A1543" s="64"/>
      <c r="B1543" s="65">
        <v>6259201903274</v>
      </c>
      <c r="C1543" s="66" t="s">
        <v>2958</v>
      </c>
      <c r="D1543" s="67">
        <v>0.2174</v>
      </c>
      <c r="E1543" s="68"/>
      <c r="F1543" s="69">
        <v>1</v>
      </c>
      <c r="G1543" s="70"/>
      <c r="H1543" s="71">
        <v>0.5</v>
      </c>
    </row>
    <row r="1544" customHeight="1" spans="1:8">
      <c r="A1544" s="64"/>
      <c r="B1544" s="103" t="s">
        <v>2959</v>
      </c>
      <c r="C1544" s="104" t="s">
        <v>2960</v>
      </c>
      <c r="D1544" s="67">
        <v>0.2174</v>
      </c>
      <c r="E1544" s="68"/>
      <c r="F1544" s="105">
        <v>1</v>
      </c>
      <c r="G1544" s="106"/>
      <c r="H1544" s="107">
        <v>0.5</v>
      </c>
    </row>
    <row r="1545" customHeight="1" spans="1:8">
      <c r="A1545" s="64"/>
      <c r="B1545" s="73" t="s">
        <v>2961</v>
      </c>
      <c r="C1545" s="66" t="s">
        <v>2962</v>
      </c>
      <c r="D1545" s="67">
        <v>0.2174</v>
      </c>
      <c r="E1545" s="68"/>
      <c r="F1545" s="69">
        <v>1</v>
      </c>
      <c r="G1545" s="70"/>
      <c r="H1545" s="71">
        <v>0.5</v>
      </c>
    </row>
    <row r="1546" customHeight="1" spans="1:8">
      <c r="A1546" s="64"/>
      <c r="B1546" s="103" t="s">
        <v>2963</v>
      </c>
      <c r="C1546" s="104" t="s">
        <v>2964</v>
      </c>
      <c r="D1546" s="67">
        <v>0.2174</v>
      </c>
      <c r="E1546" s="68"/>
      <c r="F1546" s="105">
        <v>1</v>
      </c>
      <c r="G1546" s="106"/>
      <c r="H1546" s="107">
        <v>0.5</v>
      </c>
    </row>
    <row r="1547" customHeight="1" spans="1:8">
      <c r="A1547" s="64"/>
      <c r="B1547" s="103" t="s">
        <v>2965</v>
      </c>
      <c r="C1547" s="104" t="s">
        <v>2966</v>
      </c>
      <c r="D1547" s="67">
        <v>0.2174</v>
      </c>
      <c r="E1547" s="68"/>
      <c r="F1547" s="105">
        <v>1</v>
      </c>
      <c r="G1547" s="106"/>
      <c r="H1547" s="107">
        <v>0.5</v>
      </c>
    </row>
    <row r="1548" customHeight="1" spans="1:8">
      <c r="A1548" s="64"/>
      <c r="B1548" s="103" t="s">
        <v>2967</v>
      </c>
      <c r="C1548" s="104" t="s">
        <v>2968</v>
      </c>
      <c r="D1548" s="67">
        <v>0.2609</v>
      </c>
      <c r="E1548" s="68"/>
      <c r="F1548" s="105">
        <v>1</v>
      </c>
      <c r="G1548" s="106"/>
      <c r="H1548" s="107">
        <v>0.6</v>
      </c>
    </row>
    <row r="1549" customHeight="1" spans="1:8">
      <c r="A1549" s="64"/>
      <c r="B1549" s="114">
        <v>5541223456922</v>
      </c>
      <c r="C1549" s="104" t="s">
        <v>2969</v>
      </c>
      <c r="D1549" s="67">
        <v>0.3913</v>
      </c>
      <c r="E1549" s="68"/>
      <c r="F1549" s="105">
        <v>1.4</v>
      </c>
      <c r="G1549" s="106"/>
      <c r="H1549" s="107">
        <v>0.9</v>
      </c>
    </row>
    <row r="1550" customHeight="1" spans="1:8">
      <c r="A1550" s="64"/>
      <c r="B1550" s="103" t="s">
        <v>2970</v>
      </c>
      <c r="C1550" s="104" t="s">
        <v>2971</v>
      </c>
      <c r="D1550" s="67">
        <v>0.3478</v>
      </c>
      <c r="E1550" s="68"/>
      <c r="F1550" s="105">
        <v>1.4</v>
      </c>
      <c r="G1550" s="106"/>
      <c r="H1550" s="107">
        <v>0.8</v>
      </c>
    </row>
    <row r="1551" customHeight="1" spans="1:8">
      <c r="A1551" s="64"/>
      <c r="B1551" s="103" t="s">
        <v>2972</v>
      </c>
      <c r="C1551" s="104" t="s">
        <v>2973</v>
      </c>
      <c r="D1551" s="67">
        <v>0.3913</v>
      </c>
      <c r="E1551" s="68"/>
      <c r="F1551" s="105">
        <v>1.4</v>
      </c>
      <c r="G1551" s="106"/>
      <c r="H1551" s="107">
        <v>0.9</v>
      </c>
    </row>
    <row r="1552" customHeight="1" spans="1:8">
      <c r="A1552" s="64"/>
      <c r="B1552" s="103" t="s">
        <v>2974</v>
      </c>
      <c r="C1552" s="104" t="s">
        <v>2975</v>
      </c>
      <c r="D1552" s="67">
        <v>0.3478</v>
      </c>
      <c r="E1552" s="68"/>
      <c r="F1552" s="105">
        <v>1.2</v>
      </c>
      <c r="G1552" s="106"/>
      <c r="H1552" s="107">
        <v>0.8</v>
      </c>
    </row>
    <row r="1553" customHeight="1" spans="1:8">
      <c r="A1553" s="64"/>
      <c r="B1553" s="103" t="s">
        <v>2976</v>
      </c>
      <c r="C1553" s="104" t="s">
        <v>2977</v>
      </c>
      <c r="D1553" s="67">
        <v>0.3043</v>
      </c>
      <c r="E1553" s="68"/>
      <c r="F1553" s="105">
        <v>1.1</v>
      </c>
      <c r="G1553" s="106"/>
      <c r="H1553" s="107">
        <v>0.7</v>
      </c>
    </row>
    <row r="1554" customHeight="1" spans="1:8">
      <c r="A1554" s="64"/>
      <c r="B1554" s="73" t="s">
        <v>2978</v>
      </c>
      <c r="C1554" s="66" t="s">
        <v>2979</v>
      </c>
      <c r="D1554" s="67">
        <v>0.3043</v>
      </c>
      <c r="E1554" s="68"/>
      <c r="F1554" s="69">
        <v>1</v>
      </c>
      <c r="G1554" s="70"/>
      <c r="H1554" s="71">
        <v>0.7</v>
      </c>
    </row>
    <row r="1555" customHeight="1" spans="1:8">
      <c r="A1555" s="64"/>
      <c r="B1555" s="73" t="s">
        <v>2980</v>
      </c>
      <c r="C1555" s="66" t="s">
        <v>2981</v>
      </c>
      <c r="D1555" s="67">
        <v>0.2609</v>
      </c>
      <c r="E1555" s="68"/>
      <c r="F1555" s="69">
        <v>1</v>
      </c>
      <c r="G1555" s="70"/>
      <c r="H1555" s="71">
        <v>0.6</v>
      </c>
    </row>
    <row r="1556" customHeight="1" spans="1:8">
      <c r="A1556" s="64"/>
      <c r="B1556" s="73" t="s">
        <v>2982</v>
      </c>
      <c r="C1556" s="66" t="s">
        <v>2983</v>
      </c>
      <c r="D1556" s="67">
        <v>0.2174</v>
      </c>
      <c r="E1556" s="68"/>
      <c r="F1556" s="69">
        <v>1</v>
      </c>
      <c r="G1556" s="70"/>
      <c r="H1556" s="71">
        <v>0.5</v>
      </c>
    </row>
    <row r="1557" customHeight="1" spans="1:8">
      <c r="A1557" s="64"/>
      <c r="B1557" s="73" t="s">
        <v>2984</v>
      </c>
      <c r="C1557" s="66" t="s">
        <v>2985</v>
      </c>
      <c r="D1557" s="67">
        <v>1</v>
      </c>
      <c r="E1557" s="68"/>
      <c r="F1557" s="69">
        <v>4</v>
      </c>
      <c r="G1557" s="70"/>
      <c r="H1557" s="71">
        <v>2.3</v>
      </c>
    </row>
    <row r="1558" customHeight="1" spans="1:8">
      <c r="A1558" s="64"/>
      <c r="B1558" s="73" t="s">
        <v>2986</v>
      </c>
      <c r="C1558" s="66" t="s">
        <v>2987</v>
      </c>
      <c r="D1558" s="67">
        <v>0.9565</v>
      </c>
      <c r="E1558" s="68"/>
      <c r="F1558" s="69">
        <v>3.5</v>
      </c>
      <c r="G1558" s="70"/>
      <c r="H1558" s="71">
        <v>2.2</v>
      </c>
    </row>
    <row r="1559" customHeight="1" spans="1:8">
      <c r="A1559" s="64"/>
      <c r="B1559" s="73" t="s">
        <v>2988</v>
      </c>
      <c r="C1559" s="66" t="s">
        <v>2989</v>
      </c>
      <c r="D1559" s="67">
        <v>0.8696</v>
      </c>
      <c r="E1559" s="68"/>
      <c r="F1559" s="69">
        <v>3</v>
      </c>
      <c r="G1559" s="70"/>
      <c r="H1559" s="71">
        <v>2</v>
      </c>
    </row>
    <row r="1560" customHeight="1" spans="1:8">
      <c r="A1560" s="64"/>
      <c r="B1560" s="103" t="s">
        <v>2990</v>
      </c>
      <c r="C1560" s="104" t="s">
        <v>2991</v>
      </c>
      <c r="D1560" s="67">
        <v>0.913</v>
      </c>
      <c r="E1560" s="68"/>
      <c r="F1560" s="105">
        <v>3.5</v>
      </c>
      <c r="G1560" s="106"/>
      <c r="H1560" s="107">
        <v>2.1</v>
      </c>
    </row>
    <row r="1561" spans="1:8">
      <c r="A1561" s="64"/>
      <c r="B1561" s="103" t="s">
        <v>2992</v>
      </c>
      <c r="C1561" s="104" t="s">
        <v>2993</v>
      </c>
      <c r="D1561" s="67">
        <v>1.7391</v>
      </c>
      <c r="E1561" s="68"/>
      <c r="F1561" s="105">
        <v>4</v>
      </c>
      <c r="G1561" s="106"/>
      <c r="H1561" s="107">
        <v>2.5</v>
      </c>
    </row>
    <row r="1562" customHeight="1" spans="1:8">
      <c r="A1562" s="64"/>
      <c r="B1562" s="73" t="s">
        <v>2994</v>
      </c>
      <c r="C1562" s="66" t="s">
        <v>2995</v>
      </c>
      <c r="D1562" s="67">
        <v>0.913</v>
      </c>
      <c r="E1562" s="68"/>
      <c r="F1562" s="69">
        <v>4</v>
      </c>
      <c r="G1562" s="70"/>
      <c r="H1562" s="71">
        <v>3</v>
      </c>
    </row>
    <row r="1563" spans="1:8">
      <c r="A1563" s="64"/>
      <c r="B1563" s="73" t="s">
        <v>2996</v>
      </c>
      <c r="C1563" s="66" t="s">
        <v>2997</v>
      </c>
      <c r="D1563" s="67">
        <v>1.7391</v>
      </c>
      <c r="E1563" s="68"/>
      <c r="F1563" s="69">
        <v>4</v>
      </c>
      <c r="G1563" s="70"/>
      <c r="H1563" s="71">
        <v>2.5</v>
      </c>
    </row>
    <row r="1564" customHeight="1" spans="1:8">
      <c r="A1564" s="64"/>
      <c r="B1564" s="73" t="s">
        <v>2998</v>
      </c>
      <c r="C1564" s="66" t="s">
        <v>2999</v>
      </c>
      <c r="D1564" s="67">
        <v>1.0435</v>
      </c>
      <c r="E1564" s="68"/>
      <c r="F1564" s="69">
        <v>4</v>
      </c>
      <c r="G1564" s="70"/>
      <c r="H1564" s="71">
        <v>2.4</v>
      </c>
    </row>
    <row r="1565" customHeight="1" spans="1:8">
      <c r="A1565" s="64"/>
      <c r="B1565" s="103" t="s">
        <v>3000</v>
      </c>
      <c r="C1565" s="104" t="s">
        <v>3001</v>
      </c>
      <c r="D1565" s="67">
        <v>0.7826</v>
      </c>
      <c r="E1565" s="68"/>
      <c r="F1565" s="105">
        <v>2.5</v>
      </c>
      <c r="G1565" s="106"/>
      <c r="H1565" s="107">
        <v>1.8</v>
      </c>
    </row>
    <row r="1566" customHeight="1" spans="1:8">
      <c r="A1566" s="74"/>
      <c r="B1566" s="103" t="s">
        <v>3002</v>
      </c>
      <c r="C1566" s="104" t="s">
        <v>3003</v>
      </c>
      <c r="D1566" s="67">
        <v>0.6522</v>
      </c>
      <c r="E1566" s="68"/>
      <c r="F1566" s="105">
        <v>2</v>
      </c>
      <c r="G1566" s="106"/>
      <c r="H1566" s="107">
        <v>1.5</v>
      </c>
    </row>
    <row r="1567" customHeight="1" spans="1:8">
      <c r="A1567" s="84"/>
      <c r="B1567" s="73" t="s">
        <v>3004</v>
      </c>
      <c r="C1567" s="66" t="s">
        <v>3003</v>
      </c>
      <c r="D1567" s="67">
        <v>0.2174</v>
      </c>
      <c r="E1567" s="68"/>
      <c r="F1567" s="69">
        <v>1</v>
      </c>
      <c r="G1567" s="70"/>
      <c r="H1567" s="71">
        <v>0.5</v>
      </c>
    </row>
    <row r="1568" customHeight="1" spans="1:8">
      <c r="A1568" s="84"/>
      <c r="B1568" s="73" t="s">
        <v>3005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</row>
    <row r="1569" customHeight="1" spans="1:8">
      <c r="A1569" s="84"/>
      <c r="B1569" s="103" t="s">
        <v>3006</v>
      </c>
      <c r="C1569" s="104" t="s">
        <v>3003</v>
      </c>
      <c r="D1569" s="67">
        <v>0.6522</v>
      </c>
      <c r="E1569" s="68"/>
      <c r="F1569" s="105">
        <v>2</v>
      </c>
      <c r="G1569" s="106"/>
      <c r="H1569" s="107">
        <v>1.5</v>
      </c>
    </row>
    <row r="1570" customHeight="1" spans="1:8">
      <c r="A1570" s="84"/>
      <c r="B1570" s="103" t="s">
        <v>3007</v>
      </c>
      <c r="C1570" s="104" t="s">
        <v>3003</v>
      </c>
      <c r="D1570" s="67">
        <v>0.6522</v>
      </c>
      <c r="E1570" s="68"/>
      <c r="F1570" s="105">
        <v>2</v>
      </c>
      <c r="G1570" s="106"/>
      <c r="H1570" s="107">
        <v>1.5</v>
      </c>
    </row>
    <row r="1571" customHeight="1" spans="1:8">
      <c r="A1571" s="84"/>
      <c r="B1571" s="73" t="s">
        <v>3008</v>
      </c>
      <c r="C1571" s="66" t="s">
        <v>3003</v>
      </c>
      <c r="D1571" s="67">
        <v>0.2174</v>
      </c>
      <c r="E1571" s="68"/>
      <c r="F1571" s="69">
        <v>1</v>
      </c>
      <c r="G1571" s="70"/>
      <c r="H1571" s="71">
        <v>0.5</v>
      </c>
    </row>
    <row r="1572" customHeight="1" spans="1:8">
      <c r="A1572" s="84"/>
      <c r="B1572" s="73" t="s">
        <v>3009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</row>
    <row r="1573" customHeight="1" spans="1:8">
      <c r="A1573" s="75"/>
      <c r="B1573" s="73" t="s">
        <v>3010</v>
      </c>
      <c r="C1573" s="66" t="s">
        <v>3003</v>
      </c>
      <c r="D1573" s="67">
        <v>0.5217</v>
      </c>
      <c r="E1573" s="68"/>
      <c r="F1573" s="69">
        <v>2</v>
      </c>
      <c r="G1573" s="70"/>
      <c r="H1573" s="71">
        <v>1.2</v>
      </c>
    </row>
    <row r="1574" customHeight="1" spans="1:8">
      <c r="A1574" s="74"/>
      <c r="B1574" s="73" t="s">
        <v>3011</v>
      </c>
      <c r="C1574" s="66" t="s">
        <v>3012</v>
      </c>
      <c r="D1574" s="67">
        <v>0.5217</v>
      </c>
      <c r="E1574" s="68"/>
      <c r="F1574" s="69">
        <v>1.5</v>
      </c>
      <c r="G1574" s="70"/>
      <c r="H1574" s="71">
        <v>1.2</v>
      </c>
    </row>
    <row r="1575" customHeight="1" spans="1:8">
      <c r="A1575" s="75"/>
      <c r="B1575" s="73" t="s">
        <v>3013</v>
      </c>
      <c r="C1575" s="66" t="s">
        <v>3012</v>
      </c>
      <c r="D1575" s="67">
        <v>0.5217</v>
      </c>
      <c r="E1575" s="68"/>
      <c r="F1575" s="69">
        <v>2</v>
      </c>
      <c r="G1575" s="70"/>
      <c r="H1575" s="71">
        <v>1.2</v>
      </c>
    </row>
    <row r="1576" customHeight="1" spans="1:8">
      <c r="A1576" s="64"/>
      <c r="B1576" s="103" t="s">
        <v>3014</v>
      </c>
      <c r="C1576" s="104" t="s">
        <v>3015</v>
      </c>
      <c r="D1576" s="67">
        <v>0.8696</v>
      </c>
      <c r="E1576" s="68"/>
      <c r="F1576" s="105">
        <v>2.5</v>
      </c>
      <c r="G1576" s="106"/>
      <c r="H1576" s="107">
        <v>2</v>
      </c>
    </row>
    <row r="1577" customHeight="1" spans="1:8">
      <c r="A1577" s="64"/>
      <c r="B1577" s="73" t="s">
        <v>3016</v>
      </c>
      <c r="C1577" s="66" t="s">
        <v>3017</v>
      </c>
      <c r="D1577" s="67">
        <v>0.8696</v>
      </c>
      <c r="E1577" s="68"/>
      <c r="F1577" s="69">
        <v>3.5</v>
      </c>
      <c r="G1577" s="70"/>
      <c r="H1577" s="71">
        <v>2</v>
      </c>
    </row>
    <row r="1578" customHeight="1" spans="1:8">
      <c r="A1578" s="64"/>
      <c r="B1578" s="103" t="s">
        <v>3018</v>
      </c>
      <c r="C1578" s="104" t="s">
        <v>3019</v>
      </c>
      <c r="D1578" s="67">
        <v>0.8696</v>
      </c>
      <c r="E1578" s="68"/>
      <c r="F1578" s="105">
        <v>3.5</v>
      </c>
      <c r="G1578" s="106"/>
      <c r="H1578" s="107">
        <v>2</v>
      </c>
    </row>
    <row r="1579" customHeight="1" spans="1:8">
      <c r="A1579" s="64"/>
      <c r="B1579" s="73" t="s">
        <v>3020</v>
      </c>
      <c r="C1579" s="66" t="s">
        <v>3021</v>
      </c>
      <c r="D1579" s="67">
        <v>1.4783</v>
      </c>
      <c r="E1579" s="68"/>
      <c r="F1579" s="69">
        <v>5.4</v>
      </c>
      <c r="G1579" s="70"/>
      <c r="H1579" s="71">
        <v>3.4</v>
      </c>
    </row>
    <row r="1580" customHeight="1" spans="1:8">
      <c r="A1580" s="64"/>
      <c r="B1580" s="73" t="s">
        <v>3022</v>
      </c>
      <c r="C1580" s="66" t="s">
        <v>3023</v>
      </c>
      <c r="D1580" s="67">
        <v>1.4783</v>
      </c>
      <c r="E1580" s="68"/>
      <c r="F1580" s="69">
        <v>5.4</v>
      </c>
      <c r="G1580" s="70"/>
      <c r="H1580" s="71">
        <v>3.4</v>
      </c>
    </row>
    <row r="1581" customHeight="1" spans="1:8">
      <c r="A1581" s="64"/>
      <c r="B1581" s="73" t="s">
        <v>3024</v>
      </c>
      <c r="C1581" s="66" t="s">
        <v>3025</v>
      </c>
      <c r="D1581" s="67">
        <v>1.5652</v>
      </c>
      <c r="E1581" s="68"/>
      <c r="F1581" s="69">
        <v>5.8</v>
      </c>
      <c r="G1581" s="70"/>
      <c r="H1581" s="71">
        <v>3.6</v>
      </c>
    </row>
    <row r="1582" customHeight="1" spans="1:8">
      <c r="A1582" s="64"/>
      <c r="B1582" s="73" t="s">
        <v>3026</v>
      </c>
      <c r="C1582" s="66" t="s">
        <v>3027</v>
      </c>
      <c r="D1582" s="67">
        <v>1.5652</v>
      </c>
      <c r="E1582" s="68"/>
      <c r="F1582" s="69">
        <v>5.8</v>
      </c>
      <c r="G1582" s="70"/>
      <c r="H1582" s="71">
        <v>3.6</v>
      </c>
    </row>
    <row r="1583" customHeight="1" spans="1:8">
      <c r="A1583" s="64"/>
      <c r="B1583" s="73" t="s">
        <v>3028</v>
      </c>
      <c r="C1583" s="66" t="s">
        <v>3029</v>
      </c>
      <c r="D1583" s="67">
        <v>2.1304</v>
      </c>
      <c r="E1583" s="68"/>
      <c r="F1583" s="69">
        <v>7.8</v>
      </c>
      <c r="G1583" s="70"/>
      <c r="H1583" s="71">
        <v>4.9</v>
      </c>
    </row>
    <row r="1584" customHeight="1" spans="1:8">
      <c r="A1584" s="64"/>
      <c r="B1584" s="73" t="s">
        <v>3030</v>
      </c>
      <c r="C1584" s="66" t="s">
        <v>3031</v>
      </c>
      <c r="D1584" s="67">
        <v>0.4348</v>
      </c>
      <c r="E1584" s="68"/>
      <c r="F1584" s="69">
        <v>2</v>
      </c>
      <c r="G1584" s="70"/>
      <c r="H1584" s="71">
        <v>1</v>
      </c>
    </row>
    <row r="1585" customHeight="1" spans="1:8">
      <c r="A1585" s="64"/>
      <c r="B1585" s="73" t="s">
        <v>3032</v>
      </c>
      <c r="C1585" s="66" t="s">
        <v>3033</v>
      </c>
      <c r="D1585" s="67">
        <v>1.8261</v>
      </c>
      <c r="E1585" s="68"/>
      <c r="F1585" s="69">
        <v>1.7</v>
      </c>
      <c r="G1585" s="70"/>
      <c r="H1585" s="71">
        <v>4.2</v>
      </c>
    </row>
    <row r="1586" customHeight="1" spans="1:8">
      <c r="A1586" s="64"/>
      <c r="B1586" s="73" t="s">
        <v>3034</v>
      </c>
      <c r="C1586" s="66" t="s">
        <v>3035</v>
      </c>
      <c r="D1586" s="67">
        <v>0.9565</v>
      </c>
      <c r="E1586" s="68"/>
      <c r="F1586" s="69">
        <v>4.5</v>
      </c>
      <c r="G1586" s="70"/>
      <c r="H1586" s="71">
        <v>2.2</v>
      </c>
    </row>
    <row r="1587" customHeight="1" spans="1:8">
      <c r="A1587" s="64"/>
      <c r="B1587" s="73" t="s">
        <v>3036</v>
      </c>
      <c r="C1587" s="66" t="s">
        <v>3037</v>
      </c>
      <c r="D1587" s="67">
        <v>2.3913</v>
      </c>
      <c r="E1587" s="68"/>
      <c r="F1587" s="69">
        <v>8</v>
      </c>
      <c r="G1587" s="70"/>
      <c r="H1587" s="71">
        <v>5.5</v>
      </c>
    </row>
    <row r="1588" customHeight="1" spans="1:8">
      <c r="A1588" s="64"/>
      <c r="B1588" s="73" t="s">
        <v>3038</v>
      </c>
      <c r="C1588" s="66" t="s">
        <v>3039</v>
      </c>
      <c r="D1588" s="67">
        <v>3.087</v>
      </c>
      <c r="E1588" s="68"/>
      <c r="F1588" s="69">
        <v>11.3</v>
      </c>
      <c r="G1588" s="70"/>
      <c r="H1588" s="71">
        <v>7.1</v>
      </c>
    </row>
    <row r="1589" customHeight="1" spans="1:8">
      <c r="A1589" s="64"/>
      <c r="B1589" s="73" t="s">
        <v>3040</v>
      </c>
      <c r="C1589" s="66" t="s">
        <v>3041</v>
      </c>
      <c r="D1589" s="67">
        <v>0.2174</v>
      </c>
      <c r="E1589" s="68"/>
      <c r="F1589" s="69">
        <v>1</v>
      </c>
      <c r="G1589" s="70"/>
      <c r="H1589" s="71">
        <v>0.5</v>
      </c>
    </row>
    <row r="1590" customHeight="1" spans="1:8">
      <c r="A1590" s="64"/>
      <c r="B1590" s="103" t="s">
        <v>3042</v>
      </c>
      <c r="C1590" s="104" t="s">
        <v>3043</v>
      </c>
      <c r="D1590" s="67">
        <v>0.2174</v>
      </c>
      <c r="E1590" s="68"/>
      <c r="F1590" s="105">
        <v>1</v>
      </c>
      <c r="G1590" s="106"/>
      <c r="H1590" s="107">
        <v>0.5</v>
      </c>
    </row>
    <row r="1591" customHeight="1" spans="1:8">
      <c r="A1591" s="64"/>
      <c r="B1591" s="73" t="s">
        <v>3044</v>
      </c>
      <c r="C1591" s="66" t="s">
        <v>3045</v>
      </c>
      <c r="D1591" s="67">
        <v>0.5217</v>
      </c>
      <c r="E1591" s="68"/>
      <c r="F1591" s="69">
        <v>2</v>
      </c>
      <c r="G1591" s="70"/>
      <c r="H1591" s="71">
        <v>1.2</v>
      </c>
    </row>
    <row r="1592" customHeight="1" spans="1:8">
      <c r="A1592" s="64"/>
      <c r="B1592" s="73" t="s">
        <v>3046</v>
      </c>
      <c r="C1592" s="66" t="s">
        <v>3047</v>
      </c>
      <c r="D1592" s="67">
        <v>0.2609</v>
      </c>
      <c r="E1592" s="68"/>
      <c r="F1592" s="69">
        <v>1</v>
      </c>
      <c r="G1592" s="70"/>
      <c r="H1592" s="71">
        <v>0.6</v>
      </c>
    </row>
    <row r="1593" customHeight="1" spans="1:8">
      <c r="A1593" s="64"/>
      <c r="B1593" s="73" t="s">
        <v>3048</v>
      </c>
      <c r="C1593" s="66" t="s">
        <v>3049</v>
      </c>
      <c r="D1593" s="67">
        <v>0.0261</v>
      </c>
      <c r="E1593" s="68"/>
      <c r="F1593" s="69">
        <v>1</v>
      </c>
      <c r="G1593" s="70"/>
      <c r="H1593" s="71">
        <v>0.06</v>
      </c>
    </row>
    <row r="1594" customHeight="1" spans="1:8">
      <c r="A1594" s="64"/>
      <c r="B1594" s="73" t="s">
        <v>3050</v>
      </c>
      <c r="C1594" s="66" t="s">
        <v>3051</v>
      </c>
      <c r="D1594" s="67">
        <v>1.4348</v>
      </c>
      <c r="E1594" s="68"/>
      <c r="F1594" s="69">
        <v>10</v>
      </c>
      <c r="G1594" s="70"/>
      <c r="H1594" s="71">
        <v>8.5</v>
      </c>
    </row>
    <row r="1595" customHeight="1" spans="1:8">
      <c r="A1595" s="64"/>
      <c r="B1595" s="73" t="s">
        <v>3052</v>
      </c>
      <c r="C1595" s="66" t="s">
        <v>3053</v>
      </c>
      <c r="D1595" s="67">
        <v>3.9565</v>
      </c>
      <c r="E1595" s="68"/>
      <c r="F1595" s="69">
        <v>14.6</v>
      </c>
      <c r="G1595" s="70"/>
      <c r="H1595" s="71">
        <v>9.1</v>
      </c>
    </row>
    <row r="1596" customHeight="1" spans="1:8">
      <c r="A1596" s="64"/>
      <c r="B1596" s="73" t="s">
        <v>3054</v>
      </c>
      <c r="C1596" s="66" t="s">
        <v>3055</v>
      </c>
      <c r="D1596" s="67">
        <v>5.1304</v>
      </c>
      <c r="E1596" s="68"/>
      <c r="F1596" s="69">
        <v>18.9</v>
      </c>
      <c r="G1596" s="70"/>
      <c r="H1596" s="71">
        <v>11.8</v>
      </c>
    </row>
    <row r="1597" spans="1:8">
      <c r="A1597" s="64"/>
      <c r="B1597" s="73" t="s">
        <v>3056</v>
      </c>
      <c r="C1597" s="66" t="s">
        <v>3057</v>
      </c>
      <c r="D1597" s="67">
        <v>0.2174</v>
      </c>
      <c r="E1597" s="68"/>
      <c r="F1597" s="69">
        <v>0.5</v>
      </c>
      <c r="G1597" s="70"/>
      <c r="H1597" s="71">
        <v>0.42</v>
      </c>
    </row>
    <row r="1598" customHeight="1" spans="1:8">
      <c r="A1598" s="64"/>
      <c r="B1598" s="73" t="s">
        <v>3058</v>
      </c>
      <c r="C1598" s="66" t="s">
        <v>3059</v>
      </c>
      <c r="D1598" s="67">
        <v>0.3913</v>
      </c>
      <c r="E1598" s="68"/>
      <c r="F1598" s="69">
        <v>1.4</v>
      </c>
      <c r="G1598" s="70"/>
      <c r="H1598" s="71">
        <v>0.9</v>
      </c>
    </row>
    <row r="1599" customHeight="1" spans="1:8">
      <c r="A1599" s="64"/>
      <c r="B1599" s="73" t="s">
        <v>3060</v>
      </c>
      <c r="C1599" s="66" t="s">
        <v>3061</v>
      </c>
      <c r="D1599" s="67">
        <v>0.4348</v>
      </c>
      <c r="E1599" s="68"/>
      <c r="F1599" s="69">
        <v>1.4</v>
      </c>
      <c r="G1599" s="70"/>
      <c r="H1599" s="71">
        <v>1</v>
      </c>
    </row>
    <row r="1600" customHeight="1" spans="1:8">
      <c r="A1600" s="64"/>
      <c r="B1600" s="73" t="s">
        <v>3062</v>
      </c>
      <c r="C1600" s="66" t="s">
        <v>3063</v>
      </c>
      <c r="D1600" s="67">
        <v>0.4348</v>
      </c>
      <c r="E1600" s="68"/>
      <c r="F1600" s="69">
        <v>1.4</v>
      </c>
      <c r="G1600" s="70"/>
      <c r="H1600" s="71">
        <v>1</v>
      </c>
    </row>
    <row r="1601" customHeight="1" spans="1:8">
      <c r="A1601" s="64"/>
      <c r="B1601" s="73" t="s">
        <v>3064</v>
      </c>
      <c r="C1601" s="66" t="s">
        <v>3065</v>
      </c>
      <c r="D1601" s="67">
        <v>0.7826</v>
      </c>
      <c r="E1601" s="68"/>
      <c r="F1601" s="69">
        <v>2.8</v>
      </c>
      <c r="G1601" s="70"/>
      <c r="H1601" s="71">
        <v>1.8</v>
      </c>
    </row>
    <row r="1602" customHeight="1" spans="1:8">
      <c r="A1602" s="64"/>
      <c r="B1602" s="73" t="s">
        <v>3066</v>
      </c>
      <c r="C1602" s="66" t="s">
        <v>3067</v>
      </c>
      <c r="D1602" s="67">
        <v>0.3478</v>
      </c>
      <c r="E1602" s="68"/>
      <c r="F1602" s="69">
        <v>1.3</v>
      </c>
      <c r="G1602" s="70"/>
      <c r="H1602" s="71">
        <v>0.8</v>
      </c>
    </row>
    <row r="1603" customHeight="1" spans="1:8">
      <c r="A1603" s="64"/>
      <c r="B1603" s="73" t="s">
        <v>3068</v>
      </c>
      <c r="C1603" s="66" t="s">
        <v>3069</v>
      </c>
      <c r="D1603" s="67">
        <v>3.5652</v>
      </c>
      <c r="E1603" s="68"/>
      <c r="F1603" s="69">
        <v>12.5</v>
      </c>
      <c r="G1603" s="70"/>
      <c r="H1603" s="71">
        <v>8.2</v>
      </c>
    </row>
    <row r="1604" customHeight="1" spans="1:8">
      <c r="A1604" s="64"/>
      <c r="B1604" s="73" t="s">
        <v>3070</v>
      </c>
      <c r="C1604" s="66" t="s">
        <v>3071</v>
      </c>
      <c r="D1604" s="67">
        <v>0.2174</v>
      </c>
      <c r="E1604" s="68"/>
      <c r="F1604" s="69">
        <v>1</v>
      </c>
      <c r="G1604" s="70"/>
      <c r="H1604" s="71">
        <v>0.5</v>
      </c>
    </row>
    <row r="1605" customHeight="1" spans="1:8">
      <c r="A1605" s="64"/>
      <c r="B1605" s="73" t="s">
        <v>3072</v>
      </c>
      <c r="C1605" s="66" t="s">
        <v>3073</v>
      </c>
      <c r="D1605" s="67">
        <v>0.5217</v>
      </c>
      <c r="E1605" s="68"/>
      <c r="F1605" s="69">
        <v>1.9</v>
      </c>
      <c r="G1605" s="70"/>
      <c r="H1605" s="71">
        <v>1.2</v>
      </c>
    </row>
    <row r="1606" customHeight="1" spans="1:8">
      <c r="A1606" s="64"/>
      <c r="B1606" s="73" t="s">
        <v>3074</v>
      </c>
      <c r="C1606" s="66" t="s">
        <v>3075</v>
      </c>
      <c r="D1606" s="67">
        <v>0.6087</v>
      </c>
      <c r="E1606" s="68"/>
      <c r="F1606" s="69">
        <v>2.3</v>
      </c>
      <c r="G1606" s="70"/>
      <c r="H1606" s="71">
        <v>1.4</v>
      </c>
    </row>
    <row r="1607" customHeight="1" spans="1:8">
      <c r="A1607" s="64"/>
      <c r="B1607" s="73" t="s">
        <v>3076</v>
      </c>
      <c r="C1607" s="66" t="s">
        <v>3077</v>
      </c>
      <c r="D1607" s="67">
        <v>0.7826</v>
      </c>
      <c r="E1607" s="68"/>
      <c r="F1607" s="69">
        <v>2.8</v>
      </c>
      <c r="G1607" s="70"/>
      <c r="H1607" s="71">
        <v>1.8</v>
      </c>
    </row>
    <row r="1608" customHeight="1" spans="1:8">
      <c r="A1608" s="64"/>
      <c r="B1608" s="73" t="s">
        <v>3078</v>
      </c>
      <c r="C1608" s="66" t="s">
        <v>3079</v>
      </c>
      <c r="D1608" s="67">
        <v>1.4348</v>
      </c>
      <c r="E1608" s="68"/>
      <c r="F1608" s="69">
        <v>5</v>
      </c>
      <c r="G1608" s="70"/>
      <c r="H1608" s="71">
        <v>3.3</v>
      </c>
    </row>
    <row r="1609" customHeight="1" spans="1:8">
      <c r="A1609" s="64"/>
      <c r="B1609" s="103" t="s">
        <v>3080</v>
      </c>
      <c r="C1609" s="104" t="s">
        <v>3081</v>
      </c>
      <c r="D1609" s="67">
        <v>1.1304</v>
      </c>
      <c r="E1609" s="68"/>
      <c r="F1609" s="105">
        <v>4</v>
      </c>
      <c r="G1609" s="106"/>
      <c r="H1609" s="107">
        <v>2.6</v>
      </c>
    </row>
    <row r="1610" customHeight="1" spans="1:8">
      <c r="A1610" s="64"/>
      <c r="B1610" s="103" t="s">
        <v>3082</v>
      </c>
      <c r="C1610" s="104" t="s">
        <v>3083</v>
      </c>
      <c r="D1610" s="67">
        <v>1.913</v>
      </c>
      <c r="E1610" s="68"/>
      <c r="F1610" s="105">
        <v>7.1</v>
      </c>
      <c r="G1610" s="106"/>
      <c r="H1610" s="107">
        <v>4.4</v>
      </c>
    </row>
    <row r="1611" customHeight="1" spans="1:8">
      <c r="A1611" s="64"/>
      <c r="B1611" s="103" t="s">
        <v>3084</v>
      </c>
      <c r="C1611" s="104" t="s">
        <v>3085</v>
      </c>
      <c r="D1611" s="67">
        <v>0.8696</v>
      </c>
      <c r="E1611" s="68"/>
      <c r="F1611" s="105">
        <v>4.7</v>
      </c>
      <c r="G1611" s="106"/>
      <c r="H1611" s="107">
        <v>2</v>
      </c>
    </row>
    <row r="1612" customHeight="1" spans="1:8">
      <c r="A1612" s="64"/>
      <c r="B1612" s="73" t="s">
        <v>3086</v>
      </c>
      <c r="C1612" s="66" t="s">
        <v>3087</v>
      </c>
      <c r="D1612" s="67">
        <v>2</v>
      </c>
      <c r="E1612" s="68"/>
      <c r="F1612" s="69">
        <v>7.4</v>
      </c>
      <c r="G1612" s="70"/>
      <c r="H1612" s="71">
        <v>4.6</v>
      </c>
    </row>
    <row r="1613" customHeight="1" spans="1:8">
      <c r="A1613" s="64"/>
      <c r="B1613" s="73" t="s">
        <v>3088</v>
      </c>
      <c r="C1613" s="66" t="s">
        <v>3089</v>
      </c>
      <c r="D1613" s="67">
        <v>2</v>
      </c>
      <c r="E1613" s="68"/>
      <c r="F1613" s="69">
        <v>7.4</v>
      </c>
      <c r="G1613" s="70"/>
      <c r="H1613" s="71">
        <v>4.6</v>
      </c>
    </row>
    <row r="1614" customHeight="1" spans="1:8">
      <c r="A1614" s="64"/>
      <c r="B1614" s="73" t="s">
        <v>3090</v>
      </c>
      <c r="C1614" s="66" t="s">
        <v>3091</v>
      </c>
      <c r="D1614" s="67">
        <v>3.6087</v>
      </c>
      <c r="E1614" s="68"/>
      <c r="F1614" s="69">
        <v>13</v>
      </c>
      <c r="G1614" s="70"/>
      <c r="H1614" s="71">
        <v>8.3</v>
      </c>
    </row>
    <row r="1615" customHeight="1" spans="1:8">
      <c r="A1615" s="64"/>
      <c r="B1615" s="73" t="s">
        <v>3092</v>
      </c>
      <c r="C1615" s="66" t="s">
        <v>3093</v>
      </c>
      <c r="D1615" s="67">
        <v>1.4348</v>
      </c>
      <c r="E1615" s="68"/>
      <c r="F1615" s="69">
        <v>5.5</v>
      </c>
      <c r="G1615" s="70"/>
      <c r="H1615" s="71">
        <v>3.3</v>
      </c>
    </row>
    <row r="1616" customHeight="1" spans="1:8">
      <c r="A1616" s="64"/>
      <c r="B1616" s="103" t="s">
        <v>3094</v>
      </c>
      <c r="C1616" s="104" t="s">
        <v>3095</v>
      </c>
      <c r="D1616" s="67">
        <v>0.913</v>
      </c>
      <c r="E1616" s="68"/>
      <c r="F1616" s="105">
        <v>3.3</v>
      </c>
      <c r="G1616" s="106"/>
      <c r="H1616" s="107">
        <v>2.1</v>
      </c>
    </row>
    <row r="1617" customHeight="1" spans="1:8">
      <c r="A1617" s="74"/>
      <c r="B1617" s="73" t="s">
        <v>3096</v>
      </c>
      <c r="C1617" s="66" t="s">
        <v>3097</v>
      </c>
      <c r="D1617" s="67">
        <v>0.6522</v>
      </c>
      <c r="E1617" s="68"/>
      <c r="F1617" s="69">
        <v>2.5</v>
      </c>
      <c r="G1617" s="70"/>
      <c r="H1617" s="71">
        <v>1.5</v>
      </c>
    </row>
    <row r="1618" customHeight="1" spans="1:8">
      <c r="A1618" s="75"/>
      <c r="B1618" s="73" t="s">
        <v>3098</v>
      </c>
      <c r="C1618" s="66" t="s">
        <v>3097</v>
      </c>
      <c r="D1618" s="67">
        <v>0.7826</v>
      </c>
      <c r="E1618" s="68"/>
      <c r="F1618" s="69">
        <v>1.9</v>
      </c>
      <c r="G1618" s="70"/>
      <c r="H1618" s="71">
        <v>1.8</v>
      </c>
    </row>
    <row r="1619" customHeight="1" spans="1:8">
      <c r="A1619" s="64"/>
      <c r="B1619" s="65">
        <v>6902019888133</v>
      </c>
      <c r="C1619" s="66" t="s">
        <v>3099</v>
      </c>
      <c r="D1619" s="67">
        <v>0.0435</v>
      </c>
      <c r="E1619" s="68"/>
      <c r="F1619" s="69">
        <v>0.25</v>
      </c>
      <c r="G1619" s="70"/>
      <c r="H1619" s="71">
        <v>0.1</v>
      </c>
    </row>
    <row r="1620" spans="1:8">
      <c r="A1620" s="64"/>
      <c r="B1620" s="65">
        <v>6920190188811</v>
      </c>
      <c r="C1620" s="66" t="s">
        <v>3100</v>
      </c>
      <c r="D1620" s="67">
        <v>0.1087</v>
      </c>
      <c r="E1620" s="68"/>
      <c r="F1620" s="69">
        <v>0.25</v>
      </c>
      <c r="G1620" s="70"/>
      <c r="H1620" s="71">
        <v>0.15</v>
      </c>
    </row>
    <row r="1621" customHeight="1" spans="1:8">
      <c r="A1621" s="64"/>
      <c r="B1621" s="103" t="s">
        <v>3101</v>
      </c>
      <c r="C1621" s="104" t="s">
        <v>3102</v>
      </c>
      <c r="D1621" s="67">
        <v>0.5652</v>
      </c>
      <c r="E1621" s="68"/>
      <c r="F1621" s="105">
        <v>2</v>
      </c>
      <c r="G1621" s="106"/>
      <c r="H1621" s="107">
        <v>1.3</v>
      </c>
    </row>
    <row r="1622" customHeight="1" spans="1:8">
      <c r="A1622" s="64"/>
      <c r="B1622" s="103" t="s">
        <v>3103</v>
      </c>
      <c r="C1622" s="104" t="s">
        <v>3104</v>
      </c>
      <c r="D1622" s="67">
        <v>0.5652</v>
      </c>
      <c r="E1622" s="68"/>
      <c r="F1622" s="105">
        <v>2.1</v>
      </c>
      <c r="G1622" s="106"/>
      <c r="H1622" s="107">
        <v>1.3</v>
      </c>
    </row>
    <row r="1623" customHeight="1" spans="1:8">
      <c r="A1623" s="64"/>
      <c r="B1623" s="103" t="s">
        <v>3105</v>
      </c>
      <c r="C1623" s="104" t="s">
        <v>3106</v>
      </c>
      <c r="D1623" s="67">
        <v>2.1739</v>
      </c>
      <c r="E1623" s="68"/>
      <c r="F1623" s="105">
        <v>7.9</v>
      </c>
      <c r="G1623" s="106"/>
      <c r="H1623" s="107">
        <v>5</v>
      </c>
    </row>
    <row r="1624" customHeight="1" spans="1:8">
      <c r="A1624" s="64"/>
      <c r="B1624" s="73" t="s">
        <v>3107</v>
      </c>
      <c r="C1624" s="66" t="s">
        <v>3108</v>
      </c>
      <c r="D1624" s="67">
        <v>0.1087</v>
      </c>
      <c r="E1624" s="68"/>
      <c r="F1624" s="69">
        <v>0.5</v>
      </c>
      <c r="G1624" s="70"/>
      <c r="H1624" s="71">
        <v>0.25</v>
      </c>
    </row>
    <row r="1625" customHeight="1" spans="1:8">
      <c r="A1625" s="64"/>
      <c r="B1625" s="73" t="s">
        <v>3109</v>
      </c>
      <c r="C1625" s="66" t="s">
        <v>3110</v>
      </c>
      <c r="D1625" s="67">
        <v>0.3913</v>
      </c>
      <c r="E1625" s="68"/>
      <c r="F1625" s="69">
        <v>1.5</v>
      </c>
      <c r="G1625" s="70"/>
      <c r="H1625" s="71">
        <v>0.9</v>
      </c>
    </row>
    <row r="1626" customHeight="1" spans="1:8">
      <c r="A1626" s="64"/>
      <c r="B1626" s="103" t="s">
        <v>3111</v>
      </c>
      <c r="C1626" s="104" t="s">
        <v>3112</v>
      </c>
      <c r="D1626" s="67">
        <v>1.1304</v>
      </c>
      <c r="E1626" s="68"/>
      <c r="F1626" s="105">
        <v>4.1</v>
      </c>
      <c r="G1626" s="106"/>
      <c r="H1626" s="107">
        <v>2.6</v>
      </c>
    </row>
    <row r="1627" customHeight="1" spans="1:8">
      <c r="A1627" s="64"/>
      <c r="B1627" s="103" t="s">
        <v>3113</v>
      </c>
      <c r="C1627" s="104" t="s">
        <v>3114</v>
      </c>
      <c r="D1627" s="67">
        <v>0.087</v>
      </c>
      <c r="E1627" s="68"/>
      <c r="F1627" s="105">
        <v>0.4</v>
      </c>
      <c r="G1627" s="106"/>
      <c r="H1627" s="107">
        <v>0.2</v>
      </c>
    </row>
    <row r="1628" customHeight="1" spans="1:8">
      <c r="A1628" s="64"/>
      <c r="B1628" s="103" t="s">
        <v>3115</v>
      </c>
      <c r="C1628" s="104" t="s">
        <v>3116</v>
      </c>
      <c r="D1628" s="67">
        <v>1.4348</v>
      </c>
      <c r="E1628" s="68"/>
      <c r="F1628" s="105">
        <v>5</v>
      </c>
      <c r="G1628" s="106"/>
      <c r="H1628" s="107">
        <v>4</v>
      </c>
    </row>
    <row r="1629" customHeight="1" spans="1:8">
      <c r="A1629" s="64"/>
      <c r="B1629" s="73" t="s">
        <v>3117</v>
      </c>
      <c r="C1629" s="66" t="s">
        <v>3118</v>
      </c>
      <c r="D1629" s="67">
        <v>1.7826</v>
      </c>
      <c r="E1629" s="68"/>
      <c r="F1629" s="69">
        <v>5.3</v>
      </c>
      <c r="G1629" s="70"/>
      <c r="H1629" s="71">
        <v>4.1</v>
      </c>
    </row>
    <row r="1630" spans="1:8">
      <c r="A1630" s="64"/>
      <c r="B1630" s="73" t="s">
        <v>3119</v>
      </c>
      <c r="C1630" s="66" t="s">
        <v>3120</v>
      </c>
      <c r="D1630" s="67">
        <v>0.7826</v>
      </c>
      <c r="E1630" s="68"/>
      <c r="F1630" s="69">
        <v>1.8</v>
      </c>
      <c r="G1630" s="70"/>
      <c r="H1630" s="71">
        <v>1.5</v>
      </c>
    </row>
    <row r="1631" customHeight="1" spans="1:8">
      <c r="A1631" s="64"/>
      <c r="B1631" s="73" t="s">
        <v>3121</v>
      </c>
      <c r="C1631" s="66" t="s">
        <v>3122</v>
      </c>
      <c r="D1631" s="67">
        <v>0.7391</v>
      </c>
      <c r="E1631" s="68"/>
      <c r="F1631" s="69">
        <v>3</v>
      </c>
      <c r="G1631" s="70"/>
      <c r="H1631" s="71">
        <v>1.7</v>
      </c>
    </row>
    <row r="1632" spans="1:8">
      <c r="A1632" s="64"/>
      <c r="B1632" s="103" t="s">
        <v>3123</v>
      </c>
      <c r="C1632" s="104" t="s">
        <v>3124</v>
      </c>
      <c r="D1632" s="67">
        <v>0.6522</v>
      </c>
      <c r="E1632" s="68"/>
      <c r="F1632" s="105">
        <v>1.5</v>
      </c>
      <c r="G1632" s="106"/>
      <c r="H1632" s="107">
        <v>1.25</v>
      </c>
    </row>
    <row r="1633" customHeight="1" spans="1:8">
      <c r="A1633" s="64"/>
      <c r="B1633" s="65">
        <v>6410254217774</v>
      </c>
      <c r="C1633" s="66" t="s">
        <v>3125</v>
      </c>
      <c r="D1633" s="67">
        <v>0.2609</v>
      </c>
      <c r="E1633" s="68"/>
      <c r="F1633" s="69">
        <v>1.5</v>
      </c>
      <c r="G1633" s="70"/>
      <c r="H1633" s="71">
        <v>0.6</v>
      </c>
    </row>
    <row r="1634" customHeight="1" spans="1:8">
      <c r="A1634" s="64"/>
      <c r="B1634" s="103" t="s">
        <v>3126</v>
      </c>
      <c r="C1634" s="104" t="s">
        <v>3127</v>
      </c>
      <c r="D1634" s="67">
        <v>0.2174</v>
      </c>
      <c r="E1634" s="68"/>
      <c r="F1634" s="105">
        <v>1.5</v>
      </c>
      <c r="G1634" s="106"/>
      <c r="H1634" s="107">
        <v>0.5</v>
      </c>
    </row>
    <row r="1635" customHeight="1" spans="1:8">
      <c r="A1635" s="64"/>
      <c r="B1635" s="114">
        <v>6937630007069</v>
      </c>
      <c r="C1635" s="104" t="s">
        <v>3128</v>
      </c>
      <c r="D1635" s="67">
        <v>0.3478</v>
      </c>
      <c r="E1635" s="68"/>
      <c r="F1635" s="105">
        <v>1.2</v>
      </c>
      <c r="G1635" s="106"/>
      <c r="H1635" s="107">
        <v>0.8</v>
      </c>
    </row>
    <row r="1636" customHeight="1" spans="1:8">
      <c r="A1636" s="64"/>
      <c r="B1636" s="73" t="s">
        <v>3129</v>
      </c>
      <c r="C1636" s="66" t="s">
        <v>3130</v>
      </c>
      <c r="D1636" s="67">
        <v>0.8696</v>
      </c>
      <c r="E1636" s="68"/>
      <c r="F1636" s="69">
        <v>3</v>
      </c>
      <c r="G1636" s="70"/>
      <c r="H1636" s="71">
        <v>2</v>
      </c>
    </row>
    <row r="1637" customHeight="1" spans="1:8">
      <c r="A1637" s="64"/>
      <c r="B1637" s="65">
        <v>6925645421680</v>
      </c>
      <c r="C1637" s="66" t="s">
        <v>3131</v>
      </c>
      <c r="D1637" s="67">
        <v>0.3478</v>
      </c>
      <c r="E1637" s="68"/>
      <c r="F1637" s="69">
        <v>1.2</v>
      </c>
      <c r="G1637" s="70"/>
      <c r="H1637" s="71">
        <v>0.8</v>
      </c>
    </row>
    <row r="1638" spans="1:8">
      <c r="A1638" s="64"/>
      <c r="B1638" s="65">
        <v>6931347136960</v>
      </c>
      <c r="C1638" s="66" t="s">
        <v>3132</v>
      </c>
      <c r="D1638" s="67">
        <v>0.3478</v>
      </c>
      <c r="E1638" s="68"/>
      <c r="F1638" s="69">
        <v>0.8</v>
      </c>
      <c r="G1638" s="70"/>
      <c r="H1638" s="71">
        <v>0.6</v>
      </c>
    </row>
    <row r="1639" customHeight="1" spans="1:8">
      <c r="A1639" s="64"/>
      <c r="B1639" s="65">
        <v>69775245541</v>
      </c>
      <c r="C1639" s="66" t="s">
        <v>3133</v>
      </c>
      <c r="D1639" s="67">
        <v>0.2174</v>
      </c>
      <c r="E1639" s="68"/>
      <c r="F1639" s="69">
        <v>0.8</v>
      </c>
      <c r="G1639" s="70"/>
      <c r="H1639" s="71">
        <v>0.5</v>
      </c>
    </row>
    <row r="1640" customHeight="1" spans="1:8">
      <c r="A1640" s="64"/>
      <c r="B1640" s="65">
        <v>6932912351762</v>
      </c>
      <c r="C1640" s="66" t="s">
        <v>3134</v>
      </c>
      <c r="D1640" s="67">
        <v>0.0435</v>
      </c>
      <c r="E1640" s="68"/>
      <c r="F1640" s="69">
        <v>0.2</v>
      </c>
      <c r="G1640" s="70"/>
      <c r="H1640" s="71">
        <v>0.1</v>
      </c>
    </row>
    <row r="1641" ht="25.5" customHeight="1" spans="1:8">
      <c r="A1641" s="64"/>
      <c r="B1641" s="103" t="s">
        <v>3135</v>
      </c>
      <c r="C1641" s="104" t="s">
        <v>3136</v>
      </c>
      <c r="D1641" s="67">
        <v>1.1739</v>
      </c>
      <c r="E1641" s="68"/>
      <c r="F1641" s="105">
        <v>4.4</v>
      </c>
      <c r="G1641" s="106"/>
      <c r="H1641" s="107">
        <v>2.7</v>
      </c>
    </row>
    <row r="1642" ht="25.5" customHeight="1" spans="1:8">
      <c r="A1642" s="64"/>
      <c r="B1642" s="73" t="s">
        <v>3137</v>
      </c>
      <c r="C1642" s="66" t="s">
        <v>3138</v>
      </c>
      <c r="D1642" s="67">
        <v>2.1739</v>
      </c>
      <c r="E1642" s="68"/>
      <c r="F1642" s="69">
        <v>7</v>
      </c>
      <c r="G1642" s="70"/>
      <c r="H1642" s="71">
        <v>5</v>
      </c>
    </row>
    <row r="1643" customHeight="1" spans="1:8">
      <c r="A1643" s="64"/>
      <c r="B1643" s="73" t="s">
        <v>3139</v>
      </c>
      <c r="C1643" s="66" t="s">
        <v>3140</v>
      </c>
      <c r="D1643" s="67">
        <v>0.1304</v>
      </c>
      <c r="E1643" s="68"/>
      <c r="F1643" s="69">
        <v>0.4</v>
      </c>
      <c r="G1643" s="70"/>
      <c r="H1643" s="71">
        <v>0.3</v>
      </c>
    </row>
    <row r="1644" customHeight="1" spans="1:8">
      <c r="A1644" s="64"/>
      <c r="B1644" s="73" t="s">
        <v>3141</v>
      </c>
      <c r="C1644" s="66" t="s">
        <v>3142</v>
      </c>
      <c r="D1644" s="67">
        <v>3.4348</v>
      </c>
      <c r="E1644" s="68"/>
      <c r="F1644" s="69">
        <v>12</v>
      </c>
      <c r="G1644" s="70"/>
      <c r="H1644" s="71">
        <v>7.9</v>
      </c>
    </row>
    <row r="1645" customHeight="1" spans="1:8">
      <c r="A1645" s="64"/>
      <c r="B1645" s="73" t="s">
        <v>3143</v>
      </c>
      <c r="C1645" s="66" t="s">
        <v>3144</v>
      </c>
      <c r="D1645" s="67">
        <v>1.3478</v>
      </c>
      <c r="E1645" s="68"/>
      <c r="F1645" s="69">
        <v>5</v>
      </c>
      <c r="G1645" s="70"/>
      <c r="H1645" s="71">
        <v>3.1</v>
      </c>
    </row>
    <row r="1646" ht="25.5" customHeight="1" spans="1:8">
      <c r="A1646" s="64"/>
      <c r="B1646" s="73" t="s">
        <v>3145</v>
      </c>
      <c r="C1646" s="66" t="s">
        <v>3146</v>
      </c>
      <c r="D1646" s="67">
        <v>1.6087</v>
      </c>
      <c r="E1646" s="68"/>
      <c r="F1646" s="69">
        <v>5</v>
      </c>
      <c r="G1646" s="70"/>
      <c r="H1646" s="71">
        <v>3.7</v>
      </c>
    </row>
    <row r="1647" customHeight="1" spans="1:8">
      <c r="A1647" s="64"/>
      <c r="B1647" s="73" t="s">
        <v>3147</v>
      </c>
      <c r="C1647" s="66" t="s">
        <v>3148</v>
      </c>
      <c r="D1647" s="67">
        <v>0.8696</v>
      </c>
      <c r="E1647" s="68"/>
      <c r="F1647" s="69">
        <v>3</v>
      </c>
      <c r="G1647" s="70"/>
      <c r="H1647" s="71">
        <v>2</v>
      </c>
    </row>
    <row r="1648" customHeight="1" spans="1:8">
      <c r="A1648" s="64"/>
      <c r="B1648" s="73" t="s">
        <v>3149</v>
      </c>
      <c r="C1648" s="66" t="s">
        <v>3150</v>
      </c>
      <c r="D1648" s="67">
        <v>4.4783</v>
      </c>
      <c r="E1648" s="68"/>
      <c r="F1648" s="69">
        <v>16.5</v>
      </c>
      <c r="G1648" s="70"/>
      <c r="H1648" s="71">
        <v>10.3</v>
      </c>
    </row>
    <row r="1649" customHeight="1" spans="1:8">
      <c r="A1649" s="64"/>
      <c r="B1649" s="73" t="s">
        <v>3151</v>
      </c>
      <c r="C1649" s="66" t="s">
        <v>3152</v>
      </c>
      <c r="D1649" s="67">
        <v>1.913</v>
      </c>
      <c r="E1649" s="68"/>
      <c r="F1649" s="69">
        <v>7</v>
      </c>
      <c r="G1649" s="70"/>
      <c r="H1649" s="71">
        <v>4.4</v>
      </c>
    </row>
    <row r="1650" customHeight="1" spans="1:8">
      <c r="A1650" s="64"/>
      <c r="B1650" s="103" t="s">
        <v>3153</v>
      </c>
      <c r="C1650" s="104" t="s">
        <v>3154</v>
      </c>
      <c r="D1650" s="67">
        <v>2</v>
      </c>
      <c r="E1650" s="68"/>
      <c r="F1650" s="105">
        <v>7.5</v>
      </c>
      <c r="G1650" s="106"/>
      <c r="H1650" s="107">
        <v>4.6</v>
      </c>
    </row>
    <row r="1651" customHeight="1" spans="1:8">
      <c r="A1651" s="64"/>
      <c r="B1651" s="103" t="s">
        <v>3155</v>
      </c>
      <c r="C1651" s="104" t="s">
        <v>3156</v>
      </c>
      <c r="D1651" s="67">
        <v>1.6957</v>
      </c>
      <c r="E1651" s="68"/>
      <c r="F1651" s="105">
        <v>6</v>
      </c>
      <c r="G1651" s="106"/>
      <c r="H1651" s="107">
        <v>3.9</v>
      </c>
    </row>
    <row r="1652" customHeight="1" spans="1:8">
      <c r="A1652" s="64"/>
      <c r="B1652" s="73" t="s">
        <v>3157</v>
      </c>
      <c r="C1652" s="66" t="s">
        <v>3158</v>
      </c>
      <c r="D1652" s="67">
        <v>0.1739</v>
      </c>
      <c r="E1652" s="68"/>
      <c r="F1652" s="69">
        <v>0.7</v>
      </c>
      <c r="G1652" s="70"/>
      <c r="H1652" s="71">
        <v>0.4</v>
      </c>
    </row>
    <row r="1653" customHeight="1" spans="1:8">
      <c r="A1653" s="64"/>
      <c r="B1653" s="103" t="s">
        <v>3159</v>
      </c>
      <c r="C1653" s="104" t="s">
        <v>3160</v>
      </c>
      <c r="D1653" s="67">
        <v>0.1739</v>
      </c>
      <c r="E1653" s="68"/>
      <c r="F1653" s="105">
        <v>0.7</v>
      </c>
      <c r="G1653" s="106"/>
      <c r="H1653" s="107">
        <v>0.4</v>
      </c>
    </row>
    <row r="1654" customHeight="1" spans="1:8">
      <c r="A1654" s="64"/>
      <c r="B1654" s="73" t="s">
        <v>3161</v>
      </c>
      <c r="C1654" s="66" t="s">
        <v>3162</v>
      </c>
      <c r="D1654" s="67">
        <v>0.1739</v>
      </c>
      <c r="E1654" s="68"/>
      <c r="F1654" s="69">
        <v>0.7</v>
      </c>
      <c r="G1654" s="70"/>
      <c r="H1654" s="71">
        <v>0.4</v>
      </c>
    </row>
    <row r="1655" customHeight="1" spans="1:8">
      <c r="A1655" s="64"/>
      <c r="B1655" s="73" t="s">
        <v>3163</v>
      </c>
      <c r="C1655" s="66" t="s">
        <v>3164</v>
      </c>
      <c r="D1655" s="67">
        <v>0.1739</v>
      </c>
      <c r="E1655" s="68"/>
      <c r="F1655" s="69">
        <v>0.7</v>
      </c>
      <c r="G1655" s="70"/>
      <c r="H1655" s="71">
        <v>0.4</v>
      </c>
    </row>
    <row r="1656" customHeight="1" spans="1:8">
      <c r="A1656" s="74"/>
      <c r="B1656" s="73" t="s">
        <v>3165</v>
      </c>
      <c r="C1656" s="66" t="s">
        <v>3166</v>
      </c>
      <c r="D1656" s="67">
        <v>0.3478</v>
      </c>
      <c r="E1656" s="68"/>
      <c r="F1656" s="69">
        <v>1.3</v>
      </c>
      <c r="G1656" s="70"/>
      <c r="H1656" s="71">
        <v>0.8</v>
      </c>
    </row>
    <row r="1657" customHeight="1" spans="1:8">
      <c r="A1657" s="75"/>
      <c r="B1657" s="103" t="s">
        <v>3167</v>
      </c>
      <c r="C1657" s="104" t="s">
        <v>3166</v>
      </c>
      <c r="D1657" s="67">
        <v>0.3478</v>
      </c>
      <c r="E1657" s="68"/>
      <c r="F1657" s="105">
        <v>1.3</v>
      </c>
      <c r="G1657" s="106"/>
      <c r="H1657" s="107">
        <v>0.8</v>
      </c>
    </row>
    <row r="1658" customHeight="1" spans="1:8">
      <c r="A1658" s="64"/>
      <c r="B1658" s="73" t="s">
        <v>3168</v>
      </c>
      <c r="C1658" s="66" t="s">
        <v>3169</v>
      </c>
      <c r="D1658" s="67">
        <v>0.4348</v>
      </c>
      <c r="E1658" s="68"/>
      <c r="F1658" s="69">
        <v>1.6</v>
      </c>
      <c r="G1658" s="70"/>
      <c r="H1658" s="71">
        <v>1</v>
      </c>
    </row>
    <row r="1659" customHeight="1" spans="1:8">
      <c r="A1659" s="64"/>
      <c r="B1659" s="103" t="s">
        <v>3170</v>
      </c>
      <c r="C1659" s="104" t="s">
        <v>3171</v>
      </c>
      <c r="D1659" s="67">
        <v>1.0435</v>
      </c>
      <c r="E1659" s="68"/>
      <c r="F1659" s="105">
        <v>3</v>
      </c>
      <c r="G1659" s="106"/>
      <c r="H1659" s="107">
        <v>2.4</v>
      </c>
    </row>
    <row r="1660" customHeight="1" spans="1:8">
      <c r="A1660" s="64"/>
      <c r="B1660" s="73" t="s">
        <v>3172</v>
      </c>
      <c r="C1660" s="66" t="s">
        <v>3173</v>
      </c>
      <c r="D1660" s="67">
        <v>1</v>
      </c>
      <c r="E1660" s="68"/>
      <c r="F1660" s="69">
        <v>3.6</v>
      </c>
      <c r="G1660" s="70"/>
      <c r="H1660" s="71">
        <v>2.3</v>
      </c>
    </row>
    <row r="1661" customHeight="1" spans="1:8">
      <c r="A1661" s="64"/>
      <c r="B1661" s="103" t="s">
        <v>3174</v>
      </c>
      <c r="C1661" s="104" t="s">
        <v>3175</v>
      </c>
      <c r="D1661" s="67">
        <v>0.8261</v>
      </c>
      <c r="E1661" s="68"/>
      <c r="F1661" s="105">
        <v>3</v>
      </c>
      <c r="G1661" s="106"/>
      <c r="H1661" s="107">
        <v>1.9</v>
      </c>
    </row>
    <row r="1662" customHeight="1" spans="1:8">
      <c r="A1662" s="64"/>
      <c r="B1662" s="103" t="s">
        <v>3176</v>
      </c>
      <c r="C1662" s="104" t="s">
        <v>3177</v>
      </c>
      <c r="D1662" s="67">
        <v>1.3913</v>
      </c>
      <c r="E1662" s="68"/>
      <c r="F1662" s="105">
        <v>5</v>
      </c>
      <c r="G1662" s="106"/>
      <c r="H1662" s="107">
        <v>3.2</v>
      </c>
    </row>
    <row r="1663" customHeight="1" spans="1:8">
      <c r="A1663" s="64"/>
      <c r="B1663" s="103" t="s">
        <v>3178</v>
      </c>
      <c r="C1663" s="104" t="s">
        <v>3179</v>
      </c>
      <c r="D1663" s="82">
        <v>11.0435</v>
      </c>
      <c r="E1663" s="83"/>
      <c r="F1663" s="105">
        <v>40.6</v>
      </c>
      <c r="G1663" s="106"/>
      <c r="H1663" s="107">
        <v>25.4</v>
      </c>
    </row>
    <row r="1664" customHeight="1" spans="1:8">
      <c r="A1664" s="64"/>
      <c r="B1664" s="103" t="s">
        <v>3180</v>
      </c>
      <c r="C1664" s="104" t="s">
        <v>3181</v>
      </c>
      <c r="D1664" s="67">
        <v>1.1304</v>
      </c>
      <c r="E1664" s="68"/>
      <c r="F1664" s="105">
        <v>4</v>
      </c>
      <c r="G1664" s="106"/>
      <c r="H1664" s="107">
        <v>2.6</v>
      </c>
    </row>
    <row r="1665" customHeight="1" spans="1:8">
      <c r="A1665" s="64"/>
      <c r="B1665" s="103" t="s">
        <v>3182</v>
      </c>
      <c r="C1665" s="104" t="s">
        <v>3183</v>
      </c>
      <c r="D1665" s="67">
        <v>0.4348</v>
      </c>
      <c r="E1665" s="68"/>
      <c r="F1665" s="105">
        <v>1.5</v>
      </c>
      <c r="G1665" s="106"/>
      <c r="H1665" s="107">
        <v>1</v>
      </c>
    </row>
    <row r="1666" ht="25.5" customHeight="1" spans="1:8">
      <c r="A1666" s="64"/>
      <c r="B1666" s="103" t="s">
        <v>3184</v>
      </c>
      <c r="C1666" s="104" t="s">
        <v>3185</v>
      </c>
      <c r="D1666" s="67">
        <v>1.2174</v>
      </c>
      <c r="E1666" s="68"/>
      <c r="F1666" s="105">
        <v>4.5</v>
      </c>
      <c r="G1666" s="106"/>
      <c r="H1666" s="107">
        <v>2.8</v>
      </c>
    </row>
    <row r="1667" customHeight="1" spans="1:8">
      <c r="A1667" s="64"/>
      <c r="B1667" s="103" t="s">
        <v>3186</v>
      </c>
      <c r="C1667" s="104" t="s">
        <v>3187</v>
      </c>
      <c r="D1667" s="67">
        <v>0.8696</v>
      </c>
      <c r="E1667" s="68"/>
      <c r="F1667" s="105">
        <v>3.2</v>
      </c>
      <c r="G1667" s="106"/>
      <c r="H1667" s="107">
        <v>2</v>
      </c>
    </row>
    <row r="1668" customHeight="1" spans="1:8">
      <c r="A1668" s="64"/>
      <c r="B1668" s="73" t="s">
        <v>3188</v>
      </c>
      <c r="C1668" s="66" t="s">
        <v>3189</v>
      </c>
      <c r="D1668" s="67">
        <v>1.3478</v>
      </c>
      <c r="E1668" s="68"/>
      <c r="F1668" s="69">
        <v>5</v>
      </c>
      <c r="G1668" s="70"/>
      <c r="H1668" s="71">
        <v>3.1</v>
      </c>
    </row>
    <row r="1669" customHeight="1" spans="1:8">
      <c r="A1669" s="64"/>
      <c r="B1669" s="103" t="s">
        <v>3190</v>
      </c>
      <c r="C1669" s="104" t="s">
        <v>3191</v>
      </c>
      <c r="D1669" s="67">
        <v>0.1304</v>
      </c>
      <c r="E1669" s="68"/>
      <c r="F1669" s="105">
        <v>0.5</v>
      </c>
      <c r="G1669" s="106"/>
      <c r="H1669" s="107">
        <v>0.3</v>
      </c>
    </row>
    <row r="1670" customHeight="1" spans="1:8">
      <c r="A1670" s="64"/>
      <c r="B1670" s="73" t="s">
        <v>3192</v>
      </c>
      <c r="C1670" s="66" t="s">
        <v>3193</v>
      </c>
      <c r="D1670" s="67">
        <v>0.1304</v>
      </c>
      <c r="E1670" s="68"/>
      <c r="F1670" s="69">
        <v>0.5</v>
      </c>
      <c r="G1670" s="70"/>
      <c r="H1670" s="71">
        <v>0.3</v>
      </c>
    </row>
    <row r="1671" customHeight="1" spans="1:8">
      <c r="A1671" s="64"/>
      <c r="B1671" s="103" t="s">
        <v>3194</v>
      </c>
      <c r="C1671" s="104" t="s">
        <v>3195</v>
      </c>
      <c r="D1671" s="67">
        <v>0.1304</v>
      </c>
      <c r="E1671" s="68"/>
      <c r="F1671" s="105">
        <v>0.5</v>
      </c>
      <c r="G1671" s="106"/>
      <c r="H1671" s="107">
        <v>0.3</v>
      </c>
    </row>
    <row r="1672" customHeight="1" spans="1:8">
      <c r="A1672" s="64"/>
      <c r="B1672" s="73" t="s">
        <v>3196</v>
      </c>
      <c r="C1672" s="66" t="s">
        <v>3197</v>
      </c>
      <c r="D1672" s="67">
        <v>0.2174</v>
      </c>
      <c r="E1672" s="68"/>
      <c r="F1672" s="69">
        <v>1</v>
      </c>
      <c r="G1672" s="70"/>
      <c r="H1672" s="71">
        <v>0.5</v>
      </c>
    </row>
    <row r="1673" customHeight="1" spans="1:8">
      <c r="A1673" s="64"/>
      <c r="B1673" s="103" t="s">
        <v>3198</v>
      </c>
      <c r="C1673" s="104" t="s">
        <v>3199</v>
      </c>
      <c r="D1673" s="67">
        <v>0.1304</v>
      </c>
      <c r="E1673" s="68"/>
      <c r="F1673" s="105">
        <v>0.4</v>
      </c>
      <c r="G1673" s="106"/>
      <c r="H1673" s="107">
        <v>0.3</v>
      </c>
    </row>
    <row r="1674" customHeight="1" spans="1:8">
      <c r="A1674" s="64"/>
      <c r="B1674" s="103" t="s">
        <v>3200</v>
      </c>
      <c r="C1674" s="104" t="s">
        <v>3201</v>
      </c>
      <c r="D1674" s="67">
        <v>0.2174</v>
      </c>
      <c r="E1674" s="68"/>
      <c r="F1674" s="105">
        <v>1</v>
      </c>
      <c r="G1674" s="106"/>
      <c r="H1674" s="107">
        <v>0.5</v>
      </c>
    </row>
    <row r="1675" customHeight="1" spans="1:8">
      <c r="A1675" s="64"/>
      <c r="B1675" s="103" t="s">
        <v>3202</v>
      </c>
      <c r="C1675" s="104" t="s">
        <v>3203</v>
      </c>
      <c r="D1675" s="67">
        <v>0.2174</v>
      </c>
      <c r="E1675" s="68"/>
      <c r="F1675" s="105">
        <v>1</v>
      </c>
      <c r="G1675" s="106"/>
      <c r="H1675" s="107">
        <v>0.5</v>
      </c>
    </row>
    <row r="1676" customHeight="1" spans="1:8">
      <c r="A1676" s="64"/>
      <c r="B1676" s="103" t="s">
        <v>3204</v>
      </c>
      <c r="C1676" s="104" t="s">
        <v>3205</v>
      </c>
      <c r="D1676" s="67">
        <v>1.1739</v>
      </c>
      <c r="E1676" s="68"/>
      <c r="F1676" s="105">
        <v>4</v>
      </c>
      <c r="G1676" s="106"/>
      <c r="H1676" s="107">
        <v>2.7</v>
      </c>
    </row>
    <row r="1677" customHeight="1" spans="1:8">
      <c r="A1677" s="64"/>
      <c r="B1677" s="73" t="s">
        <v>3206</v>
      </c>
      <c r="C1677" s="66" t="s">
        <v>3207</v>
      </c>
      <c r="D1677" s="67">
        <v>0.4348</v>
      </c>
      <c r="E1677" s="68"/>
      <c r="F1677" s="69">
        <v>2</v>
      </c>
      <c r="G1677" s="70"/>
      <c r="H1677" s="71">
        <v>1</v>
      </c>
    </row>
    <row r="1678" customHeight="1" spans="1:8">
      <c r="A1678" s="64"/>
      <c r="B1678" s="73" t="s">
        <v>3208</v>
      </c>
      <c r="C1678" s="66" t="s">
        <v>3209</v>
      </c>
      <c r="D1678" s="67">
        <v>3.6522</v>
      </c>
      <c r="E1678" s="68"/>
      <c r="F1678" s="69">
        <v>13.5</v>
      </c>
      <c r="G1678" s="70"/>
      <c r="H1678" s="71">
        <v>8.4</v>
      </c>
    </row>
    <row r="1679" customHeight="1" spans="1:8">
      <c r="A1679" s="64"/>
      <c r="B1679" s="103" t="s">
        <v>3210</v>
      </c>
      <c r="C1679" s="104" t="s">
        <v>3211</v>
      </c>
      <c r="D1679" s="67">
        <v>1.7391</v>
      </c>
      <c r="E1679" s="68"/>
      <c r="F1679" s="105">
        <v>5</v>
      </c>
      <c r="G1679" s="106"/>
      <c r="H1679" s="107">
        <v>4</v>
      </c>
    </row>
    <row r="1680" customHeight="1" spans="1:8">
      <c r="A1680" s="64"/>
      <c r="B1680" s="73" t="s">
        <v>3212</v>
      </c>
      <c r="C1680" s="66" t="s">
        <v>3213</v>
      </c>
      <c r="D1680" s="67">
        <v>0.3913</v>
      </c>
      <c r="E1680" s="68"/>
      <c r="F1680" s="69">
        <v>1.5</v>
      </c>
      <c r="G1680" s="70"/>
      <c r="H1680" s="71">
        <v>0.9</v>
      </c>
    </row>
    <row r="1681" customHeight="1" spans="1:8">
      <c r="A1681" s="64"/>
      <c r="B1681" s="73" t="s">
        <v>3214</v>
      </c>
      <c r="C1681" s="66" t="s">
        <v>3215</v>
      </c>
      <c r="D1681" s="67">
        <v>0.3913</v>
      </c>
      <c r="E1681" s="68"/>
      <c r="F1681" s="69">
        <v>1.5</v>
      </c>
      <c r="G1681" s="70"/>
      <c r="H1681" s="71">
        <v>0.9</v>
      </c>
    </row>
    <row r="1682" customHeight="1" spans="1:8">
      <c r="A1682" s="64"/>
      <c r="B1682" s="73" t="s">
        <v>3216</v>
      </c>
      <c r="C1682" s="66" t="s">
        <v>3217</v>
      </c>
      <c r="D1682" s="67">
        <v>0.3043</v>
      </c>
      <c r="E1682" s="68"/>
      <c r="F1682" s="69">
        <v>1.5</v>
      </c>
      <c r="G1682" s="70"/>
      <c r="H1682" s="71">
        <v>0.7</v>
      </c>
    </row>
    <row r="1683" customHeight="1" spans="1:8">
      <c r="A1683" s="64"/>
      <c r="B1683" s="103" t="s">
        <v>3218</v>
      </c>
      <c r="C1683" s="104" t="s">
        <v>3219</v>
      </c>
      <c r="D1683" s="67">
        <v>2.5652</v>
      </c>
      <c r="E1683" s="68"/>
      <c r="F1683" s="105">
        <v>9.5</v>
      </c>
      <c r="G1683" s="106"/>
      <c r="H1683" s="107">
        <v>5.9</v>
      </c>
    </row>
    <row r="1684" customHeight="1" spans="1:8">
      <c r="A1684" s="64"/>
      <c r="B1684" s="73" t="s">
        <v>3220</v>
      </c>
      <c r="C1684" s="66" t="s">
        <v>3221</v>
      </c>
      <c r="D1684" s="67">
        <v>1.6087</v>
      </c>
      <c r="E1684" s="68"/>
      <c r="F1684" s="69">
        <v>6</v>
      </c>
      <c r="G1684" s="70"/>
      <c r="H1684" s="71">
        <v>3.7</v>
      </c>
    </row>
    <row r="1685" customHeight="1" spans="1:8">
      <c r="A1685" s="64"/>
      <c r="B1685" s="103" t="s">
        <v>3222</v>
      </c>
      <c r="C1685" s="104" t="s">
        <v>3223</v>
      </c>
      <c r="D1685" s="67">
        <v>1.6087</v>
      </c>
      <c r="E1685" s="68"/>
      <c r="F1685" s="105">
        <v>6</v>
      </c>
      <c r="G1685" s="106"/>
      <c r="H1685" s="107">
        <v>3.7</v>
      </c>
    </row>
    <row r="1686" customHeight="1" spans="1:8">
      <c r="A1686" s="64"/>
      <c r="B1686" s="73" t="s">
        <v>3224</v>
      </c>
      <c r="C1686" s="66" t="s">
        <v>3225</v>
      </c>
      <c r="D1686" s="67">
        <v>1.6087</v>
      </c>
      <c r="E1686" s="68"/>
      <c r="F1686" s="69">
        <v>6</v>
      </c>
      <c r="G1686" s="70"/>
      <c r="H1686" s="71">
        <v>3.7</v>
      </c>
    </row>
    <row r="1687" customHeight="1" spans="1:8">
      <c r="A1687" s="64"/>
      <c r="B1687" s="73" t="s">
        <v>3226</v>
      </c>
      <c r="C1687" s="66" t="s">
        <v>3227</v>
      </c>
      <c r="D1687" s="67">
        <v>1.6087</v>
      </c>
      <c r="E1687" s="68"/>
      <c r="F1687" s="69">
        <v>6</v>
      </c>
      <c r="G1687" s="70"/>
      <c r="H1687" s="71">
        <v>3.7</v>
      </c>
    </row>
    <row r="1688" customHeight="1" spans="1:8">
      <c r="A1688" s="64"/>
      <c r="B1688" s="73" t="s">
        <v>3228</v>
      </c>
      <c r="C1688" s="66" t="s">
        <v>3229</v>
      </c>
      <c r="D1688" s="67">
        <v>1.6522</v>
      </c>
      <c r="E1688" s="68"/>
      <c r="F1688" s="69">
        <v>6</v>
      </c>
      <c r="G1688" s="70"/>
      <c r="H1688" s="71">
        <v>3.8</v>
      </c>
    </row>
    <row r="1689" customHeight="1" spans="1:8">
      <c r="A1689" s="64"/>
      <c r="B1689" s="73" t="s">
        <v>3230</v>
      </c>
      <c r="C1689" s="66" t="s">
        <v>3231</v>
      </c>
      <c r="D1689" s="67">
        <v>1.4783</v>
      </c>
      <c r="E1689" s="68"/>
      <c r="F1689" s="69">
        <v>5.4</v>
      </c>
      <c r="G1689" s="70"/>
      <c r="H1689" s="71">
        <v>3.4</v>
      </c>
    </row>
    <row r="1690" customHeight="1" spans="1:8">
      <c r="A1690" s="64"/>
      <c r="B1690" s="103" t="s">
        <v>3232</v>
      </c>
      <c r="C1690" s="104" t="s">
        <v>3233</v>
      </c>
      <c r="D1690" s="67">
        <v>5.7826</v>
      </c>
      <c r="E1690" s="68"/>
      <c r="F1690" s="105">
        <v>21.3</v>
      </c>
      <c r="G1690" s="106"/>
      <c r="H1690" s="107">
        <v>13.3</v>
      </c>
    </row>
    <row r="1691" customHeight="1" spans="1:8">
      <c r="A1691" s="64"/>
      <c r="B1691" s="73" t="s">
        <v>3234</v>
      </c>
      <c r="C1691" s="66" t="s">
        <v>3235</v>
      </c>
      <c r="D1691" s="67">
        <v>1.3478</v>
      </c>
      <c r="E1691" s="68"/>
      <c r="F1691" s="69">
        <v>5</v>
      </c>
      <c r="G1691" s="70"/>
      <c r="H1691" s="71">
        <v>3.1</v>
      </c>
    </row>
    <row r="1692" customHeight="1" spans="1:8">
      <c r="A1692" s="64"/>
      <c r="B1692" s="103" t="s">
        <v>3236</v>
      </c>
      <c r="C1692" s="104" t="s">
        <v>3237</v>
      </c>
      <c r="D1692" s="67">
        <v>1.4783</v>
      </c>
      <c r="E1692" s="68"/>
      <c r="F1692" s="105">
        <v>5.5</v>
      </c>
      <c r="G1692" s="106"/>
      <c r="H1692" s="107">
        <v>3.4</v>
      </c>
    </row>
    <row r="1693" customHeight="1" spans="1:8">
      <c r="A1693" s="64"/>
      <c r="B1693" s="73" t="s">
        <v>3238</v>
      </c>
      <c r="C1693" s="66" t="s">
        <v>3239</v>
      </c>
      <c r="D1693" s="67">
        <v>1.8696</v>
      </c>
      <c r="E1693" s="68"/>
      <c r="F1693" s="69">
        <v>7</v>
      </c>
      <c r="G1693" s="70"/>
      <c r="H1693" s="71">
        <v>4.3</v>
      </c>
    </row>
    <row r="1694" customHeight="1" spans="1:8">
      <c r="A1694" s="64"/>
      <c r="B1694" s="103" t="s">
        <v>3240</v>
      </c>
      <c r="C1694" s="104" t="s">
        <v>3241</v>
      </c>
      <c r="D1694" s="67">
        <v>0.4348</v>
      </c>
      <c r="E1694" s="68"/>
      <c r="F1694" s="105">
        <v>1.5</v>
      </c>
      <c r="G1694" s="106"/>
      <c r="H1694" s="107">
        <v>1</v>
      </c>
    </row>
    <row r="1695" customHeight="1" spans="1:8">
      <c r="A1695" s="64"/>
      <c r="B1695" s="73" t="s">
        <v>3242</v>
      </c>
      <c r="C1695" s="66" t="s">
        <v>3243</v>
      </c>
      <c r="D1695" s="67">
        <v>1.2174</v>
      </c>
      <c r="E1695" s="68"/>
      <c r="F1695" s="69">
        <v>4.5</v>
      </c>
      <c r="G1695" s="70"/>
      <c r="H1695" s="71">
        <v>2.8</v>
      </c>
    </row>
    <row r="1696" customHeight="1" spans="1:8">
      <c r="A1696" s="64"/>
      <c r="B1696" s="103" t="s">
        <v>3244</v>
      </c>
      <c r="C1696" s="104" t="s">
        <v>3245</v>
      </c>
      <c r="D1696" s="67">
        <v>1.087</v>
      </c>
      <c r="E1696" s="68"/>
      <c r="F1696" s="105">
        <v>3.4</v>
      </c>
      <c r="G1696" s="106"/>
      <c r="H1696" s="107">
        <v>2.5</v>
      </c>
    </row>
    <row r="1697" ht="25.5" customHeight="1" spans="1:8">
      <c r="A1697" s="64"/>
      <c r="B1697" s="73" t="s">
        <v>3246</v>
      </c>
      <c r="C1697" s="66" t="s">
        <v>3247</v>
      </c>
      <c r="D1697" s="67">
        <v>3.6522</v>
      </c>
      <c r="E1697" s="68"/>
      <c r="F1697" s="69">
        <v>13</v>
      </c>
      <c r="G1697" s="70"/>
      <c r="H1697" s="71">
        <v>8.4</v>
      </c>
    </row>
    <row r="1698" spans="1:8">
      <c r="A1698" s="74"/>
      <c r="B1698" s="73" t="s">
        <v>3248</v>
      </c>
      <c r="C1698" s="66" t="s">
        <v>3249</v>
      </c>
      <c r="D1698" s="67">
        <v>1.5217</v>
      </c>
      <c r="E1698" s="68"/>
      <c r="F1698" s="69">
        <v>3.5</v>
      </c>
      <c r="G1698" s="70"/>
      <c r="H1698" s="71">
        <v>2</v>
      </c>
    </row>
    <row r="1699" customHeight="1" spans="1:8">
      <c r="A1699" s="75"/>
      <c r="B1699" s="73" t="s">
        <v>3250</v>
      </c>
      <c r="C1699" s="66" t="s">
        <v>3249</v>
      </c>
      <c r="D1699" s="67">
        <v>0.8696</v>
      </c>
      <c r="E1699" s="68"/>
      <c r="F1699" s="69">
        <v>3.5</v>
      </c>
      <c r="G1699" s="70"/>
      <c r="H1699" s="71">
        <v>2</v>
      </c>
    </row>
    <row r="1700" customHeight="1" spans="1:8">
      <c r="A1700" s="74"/>
      <c r="B1700" s="73" t="s">
        <v>3251</v>
      </c>
      <c r="C1700" s="66" t="s">
        <v>3252</v>
      </c>
      <c r="D1700" s="67">
        <v>2.4348</v>
      </c>
      <c r="E1700" s="68"/>
      <c r="F1700" s="69">
        <v>3.5</v>
      </c>
      <c r="G1700" s="70"/>
      <c r="H1700" s="71">
        <v>2</v>
      </c>
    </row>
    <row r="1701" customHeight="1" spans="1:8">
      <c r="A1701" s="84"/>
      <c r="B1701" s="73" t="s">
        <v>3253</v>
      </c>
      <c r="C1701" s="66" t="s">
        <v>3252</v>
      </c>
      <c r="D1701" s="67">
        <v>0.2174</v>
      </c>
      <c r="E1701" s="68"/>
      <c r="F1701" s="69">
        <v>1</v>
      </c>
      <c r="G1701" s="70"/>
      <c r="H1701" s="71">
        <v>0.5</v>
      </c>
    </row>
    <row r="1702" customHeight="1" spans="1:8">
      <c r="A1702" s="75"/>
      <c r="B1702" s="73" t="s">
        <v>3254</v>
      </c>
      <c r="C1702" s="66" t="s">
        <v>3252</v>
      </c>
      <c r="D1702" s="67">
        <v>1.1304</v>
      </c>
      <c r="E1702" s="68"/>
      <c r="F1702" s="69">
        <v>3</v>
      </c>
      <c r="G1702" s="70"/>
      <c r="H1702" s="71">
        <v>2.6</v>
      </c>
    </row>
    <row r="1703" customHeight="1" spans="1:8">
      <c r="A1703" s="64"/>
      <c r="B1703" s="103" t="s">
        <v>3255</v>
      </c>
      <c r="C1703" s="104" t="s">
        <v>3256</v>
      </c>
      <c r="D1703" s="67">
        <v>1.1304</v>
      </c>
      <c r="E1703" s="68"/>
      <c r="F1703" s="105">
        <v>4.2</v>
      </c>
      <c r="G1703" s="106"/>
      <c r="H1703" s="107">
        <v>2.6</v>
      </c>
    </row>
    <row r="1704" customHeight="1" spans="1:8">
      <c r="A1704" s="64"/>
      <c r="B1704" s="73" t="s">
        <v>3257</v>
      </c>
      <c r="C1704" s="66" t="s">
        <v>3258</v>
      </c>
      <c r="D1704" s="67">
        <v>0.9565</v>
      </c>
      <c r="E1704" s="68"/>
      <c r="F1704" s="69">
        <v>3.6</v>
      </c>
      <c r="G1704" s="70"/>
      <c r="H1704" s="71">
        <v>2.2</v>
      </c>
    </row>
    <row r="1705" customHeight="1" spans="1:8">
      <c r="A1705" s="64"/>
      <c r="B1705" s="103" t="s">
        <v>3259</v>
      </c>
      <c r="C1705" s="104" t="s">
        <v>3260</v>
      </c>
      <c r="D1705" s="67">
        <v>1.087</v>
      </c>
      <c r="E1705" s="68"/>
      <c r="F1705" s="105">
        <v>4</v>
      </c>
      <c r="G1705" s="106"/>
      <c r="H1705" s="107">
        <v>2.5</v>
      </c>
    </row>
    <row r="1706" customHeight="1" spans="1:8">
      <c r="A1706" s="64"/>
      <c r="B1706" s="103" t="s">
        <v>3261</v>
      </c>
      <c r="C1706" s="104" t="s">
        <v>3262</v>
      </c>
      <c r="D1706" s="67">
        <v>0.8261</v>
      </c>
      <c r="E1706" s="68"/>
      <c r="F1706" s="105">
        <v>3</v>
      </c>
      <c r="G1706" s="106"/>
      <c r="H1706" s="107">
        <v>1.9</v>
      </c>
    </row>
    <row r="1707" spans="1:8">
      <c r="A1707" s="64"/>
      <c r="B1707" s="73" t="s">
        <v>3263</v>
      </c>
      <c r="C1707" s="66" t="s">
        <v>3264</v>
      </c>
      <c r="D1707" s="67">
        <v>2.0435</v>
      </c>
      <c r="E1707" s="68"/>
      <c r="F1707" s="69">
        <v>4.7</v>
      </c>
      <c r="G1707" s="70"/>
      <c r="H1707" s="71">
        <v>3</v>
      </c>
    </row>
    <row r="1708" customHeight="1" spans="1:8">
      <c r="A1708" s="64"/>
      <c r="B1708" s="73" t="s">
        <v>3265</v>
      </c>
      <c r="C1708" s="66" t="s">
        <v>3266</v>
      </c>
      <c r="D1708" s="67">
        <v>0.8696</v>
      </c>
      <c r="E1708" s="68"/>
      <c r="F1708" s="69">
        <v>4</v>
      </c>
      <c r="G1708" s="70"/>
      <c r="H1708" s="71">
        <v>2</v>
      </c>
    </row>
    <row r="1709" customHeight="1" spans="1:8">
      <c r="A1709" s="64"/>
      <c r="B1709" s="65">
        <v>6925749712066</v>
      </c>
      <c r="C1709" s="66" t="s">
        <v>3267</v>
      </c>
      <c r="D1709" s="67">
        <v>1.087</v>
      </c>
      <c r="E1709" s="68"/>
      <c r="F1709" s="69">
        <v>3</v>
      </c>
      <c r="G1709" s="70"/>
      <c r="H1709" s="71">
        <v>2.5</v>
      </c>
    </row>
    <row r="1710" customHeight="1" spans="1:8">
      <c r="A1710" s="64"/>
      <c r="B1710" s="73" t="s">
        <v>3268</v>
      </c>
      <c r="C1710" s="66" t="s">
        <v>3269</v>
      </c>
      <c r="D1710" s="67">
        <v>0.8261</v>
      </c>
      <c r="E1710" s="68"/>
      <c r="F1710" s="69">
        <v>3</v>
      </c>
      <c r="G1710" s="70"/>
      <c r="H1710" s="71">
        <v>1.9</v>
      </c>
    </row>
    <row r="1711" customHeight="1" spans="1:8">
      <c r="A1711" s="64"/>
      <c r="B1711" s="73" t="s">
        <v>3270</v>
      </c>
      <c r="C1711" s="66" t="s">
        <v>3271</v>
      </c>
      <c r="D1711" s="67">
        <v>1.0435</v>
      </c>
      <c r="E1711" s="68"/>
      <c r="F1711" s="69">
        <v>3.9</v>
      </c>
      <c r="G1711" s="70"/>
      <c r="H1711" s="71">
        <v>2.4</v>
      </c>
    </row>
    <row r="1712" customHeight="1" spans="1:8">
      <c r="A1712" s="64"/>
      <c r="B1712" s="73" t="s">
        <v>3272</v>
      </c>
      <c r="C1712" s="66" t="s">
        <v>3273</v>
      </c>
      <c r="D1712" s="67">
        <v>0.1739</v>
      </c>
      <c r="E1712" s="68"/>
      <c r="F1712" s="69">
        <v>1</v>
      </c>
      <c r="G1712" s="70"/>
      <c r="H1712" s="71">
        <v>0.4</v>
      </c>
    </row>
    <row r="1713" ht="25.5" customHeight="1" spans="1:8">
      <c r="A1713" s="64"/>
      <c r="B1713" s="73" t="s">
        <v>3274</v>
      </c>
      <c r="C1713" s="66" t="s">
        <v>3275</v>
      </c>
      <c r="D1713" s="67">
        <v>0.8696</v>
      </c>
      <c r="E1713" s="68"/>
      <c r="F1713" s="69">
        <v>3.5</v>
      </c>
      <c r="G1713" s="70"/>
      <c r="H1713" s="71">
        <v>2</v>
      </c>
    </row>
    <row r="1714" customHeight="1" spans="1:8">
      <c r="A1714" s="64"/>
      <c r="B1714" s="73" t="s">
        <v>3276</v>
      </c>
      <c r="C1714" s="66" t="s">
        <v>3277</v>
      </c>
      <c r="D1714" s="67">
        <v>0.7826</v>
      </c>
      <c r="E1714" s="68"/>
      <c r="F1714" s="69">
        <v>3</v>
      </c>
      <c r="G1714" s="70"/>
      <c r="H1714" s="71">
        <v>1.8</v>
      </c>
    </row>
    <row r="1715" customHeight="1" spans="1:8">
      <c r="A1715" s="64"/>
      <c r="B1715" s="65">
        <v>6925749781666</v>
      </c>
      <c r="C1715" s="66" t="s">
        <v>3278</v>
      </c>
      <c r="D1715" s="67">
        <v>1.087</v>
      </c>
      <c r="E1715" s="68"/>
      <c r="F1715" s="69">
        <v>3.5</v>
      </c>
      <c r="G1715" s="70"/>
      <c r="H1715" s="71">
        <v>2.5</v>
      </c>
    </row>
    <row r="1716" customHeight="1" spans="1:8">
      <c r="A1716" s="64"/>
      <c r="B1716" s="73" t="s">
        <v>3279</v>
      </c>
      <c r="C1716" s="66" t="s">
        <v>3280</v>
      </c>
      <c r="D1716" s="67">
        <v>1.0435</v>
      </c>
      <c r="E1716" s="68"/>
      <c r="F1716" s="69">
        <v>3.8</v>
      </c>
      <c r="G1716" s="70"/>
      <c r="H1716" s="71">
        <v>2.4</v>
      </c>
    </row>
    <row r="1717" customHeight="1" spans="1:8">
      <c r="A1717" s="64"/>
      <c r="B1717" s="73" t="s">
        <v>3281</v>
      </c>
      <c r="C1717" s="66" t="s">
        <v>3282</v>
      </c>
      <c r="D1717" s="67">
        <v>0.8261</v>
      </c>
      <c r="E1717" s="68"/>
      <c r="F1717" s="69">
        <v>3.5</v>
      </c>
      <c r="G1717" s="70"/>
      <c r="H1717" s="71">
        <v>1.9</v>
      </c>
    </row>
    <row r="1718" customHeight="1" spans="1:8">
      <c r="A1718" s="64"/>
      <c r="B1718" s="103" t="s">
        <v>3283</v>
      </c>
      <c r="C1718" s="104" t="s">
        <v>3284</v>
      </c>
      <c r="D1718" s="67">
        <v>4.4783</v>
      </c>
      <c r="E1718" s="68"/>
      <c r="F1718" s="105">
        <v>16.5</v>
      </c>
      <c r="G1718" s="106"/>
      <c r="H1718" s="107">
        <v>10.3</v>
      </c>
    </row>
    <row r="1719" spans="1:8">
      <c r="A1719" s="64"/>
      <c r="B1719" s="73" t="s">
        <v>3285</v>
      </c>
      <c r="C1719" s="66" t="s">
        <v>3286</v>
      </c>
      <c r="D1719" s="67">
        <v>3.5</v>
      </c>
      <c r="E1719" s="68"/>
      <c r="F1719" s="69">
        <v>3.5</v>
      </c>
      <c r="G1719" s="70"/>
      <c r="H1719" s="71">
        <v>6.71</v>
      </c>
    </row>
    <row r="1720" customHeight="1" spans="1:8">
      <c r="A1720" s="64"/>
      <c r="B1720" s="73" t="s">
        <v>3287</v>
      </c>
      <c r="C1720" s="66" t="s">
        <v>3288</v>
      </c>
      <c r="D1720" s="67">
        <v>1.6957</v>
      </c>
      <c r="E1720" s="68"/>
      <c r="F1720" s="69">
        <v>7</v>
      </c>
      <c r="G1720" s="70"/>
      <c r="H1720" s="71">
        <v>4</v>
      </c>
    </row>
    <row r="1721" customHeight="1" spans="1:8">
      <c r="A1721" s="64"/>
      <c r="B1721" s="103" t="s">
        <v>3289</v>
      </c>
      <c r="C1721" s="104" t="s">
        <v>3290</v>
      </c>
      <c r="D1721" s="67">
        <v>2.2174</v>
      </c>
      <c r="E1721" s="68"/>
      <c r="F1721" s="105">
        <v>8.5</v>
      </c>
      <c r="G1721" s="106"/>
      <c r="H1721" s="107">
        <v>5.1</v>
      </c>
    </row>
    <row r="1722" customHeight="1" spans="1:8">
      <c r="A1722" s="64"/>
      <c r="B1722" s="103" t="s">
        <v>3291</v>
      </c>
      <c r="C1722" s="104" t="s">
        <v>3292</v>
      </c>
      <c r="D1722" s="67">
        <v>1.913</v>
      </c>
      <c r="E1722" s="68"/>
      <c r="F1722" s="105">
        <v>7</v>
      </c>
      <c r="G1722" s="106"/>
      <c r="H1722" s="107">
        <v>4.4</v>
      </c>
    </row>
    <row r="1723" customHeight="1" spans="1:8">
      <c r="A1723" s="64"/>
      <c r="B1723" s="73" t="s">
        <v>3293</v>
      </c>
      <c r="C1723" s="66" t="s">
        <v>3294</v>
      </c>
      <c r="D1723" s="67">
        <v>1.1739</v>
      </c>
      <c r="E1723" s="68"/>
      <c r="F1723" s="69">
        <v>4.5</v>
      </c>
      <c r="G1723" s="70"/>
      <c r="H1723" s="71">
        <v>2.7</v>
      </c>
    </row>
    <row r="1724" customHeight="1" spans="1:8">
      <c r="A1724" s="64"/>
      <c r="B1724" s="73" t="s">
        <v>3295</v>
      </c>
      <c r="C1724" s="66" t="s">
        <v>3296</v>
      </c>
      <c r="D1724" s="67">
        <v>3.913</v>
      </c>
      <c r="E1724" s="68"/>
      <c r="F1724" s="69">
        <v>10</v>
      </c>
      <c r="G1724" s="70"/>
      <c r="H1724" s="71">
        <v>9</v>
      </c>
    </row>
    <row r="1725" customHeight="1" spans="1:8">
      <c r="A1725" s="64"/>
      <c r="B1725" s="65">
        <v>6939412950815</v>
      </c>
      <c r="C1725" s="66" t="s">
        <v>3297</v>
      </c>
      <c r="D1725" s="67">
        <v>0.087</v>
      </c>
      <c r="E1725" s="68"/>
      <c r="F1725" s="69">
        <v>0.5</v>
      </c>
      <c r="G1725" s="70"/>
      <c r="H1725" s="71">
        <v>0.2</v>
      </c>
    </row>
    <row r="1726" customHeight="1" spans="1:8">
      <c r="A1726" s="64"/>
      <c r="B1726" s="73" t="s">
        <v>3298</v>
      </c>
      <c r="C1726" s="66" t="s">
        <v>3299</v>
      </c>
      <c r="D1726" s="67">
        <v>0.8261</v>
      </c>
      <c r="E1726" s="68"/>
      <c r="F1726" s="69">
        <v>3</v>
      </c>
      <c r="G1726" s="70"/>
      <c r="H1726" s="71">
        <v>1.9</v>
      </c>
    </row>
    <row r="1727" customHeight="1" spans="1:8">
      <c r="A1727" s="64"/>
      <c r="B1727" s="103" t="s">
        <v>3300</v>
      </c>
      <c r="C1727" s="104" t="s">
        <v>3301</v>
      </c>
      <c r="D1727" s="67">
        <v>1.087</v>
      </c>
      <c r="E1727" s="68"/>
      <c r="F1727" s="105">
        <v>4</v>
      </c>
      <c r="G1727" s="106"/>
      <c r="H1727" s="107">
        <v>2.5</v>
      </c>
    </row>
    <row r="1728" customHeight="1" spans="1:8">
      <c r="A1728" s="64"/>
      <c r="B1728" s="73" t="s">
        <v>3302</v>
      </c>
      <c r="C1728" s="66" t="s">
        <v>3303</v>
      </c>
      <c r="D1728" s="67">
        <v>1.5217</v>
      </c>
      <c r="E1728" s="68"/>
      <c r="F1728" s="69">
        <v>6</v>
      </c>
      <c r="G1728" s="70"/>
      <c r="H1728" s="71">
        <v>3.5</v>
      </c>
    </row>
    <row r="1729" customHeight="1" spans="1:8">
      <c r="A1729" s="64"/>
      <c r="B1729" s="103" t="s">
        <v>3304</v>
      </c>
      <c r="C1729" s="104" t="s">
        <v>3305</v>
      </c>
      <c r="D1729" s="67">
        <v>1.4348</v>
      </c>
      <c r="E1729" s="68"/>
      <c r="F1729" s="105">
        <v>5.5</v>
      </c>
      <c r="G1729" s="106"/>
      <c r="H1729" s="107">
        <v>3.3</v>
      </c>
    </row>
    <row r="1730" customHeight="1" spans="1:8">
      <c r="A1730" s="64"/>
      <c r="B1730" s="103" t="s">
        <v>3306</v>
      </c>
      <c r="C1730" s="104" t="s">
        <v>3307</v>
      </c>
      <c r="D1730" s="67">
        <v>0.3478</v>
      </c>
      <c r="E1730" s="68"/>
      <c r="F1730" s="105">
        <v>1</v>
      </c>
      <c r="G1730" s="106"/>
      <c r="H1730" s="107">
        <v>0.8</v>
      </c>
    </row>
    <row r="1731" customHeight="1" spans="1:8">
      <c r="A1731" s="64"/>
      <c r="B1731" s="73" t="s">
        <v>3308</v>
      </c>
      <c r="C1731" s="66" t="s">
        <v>3309</v>
      </c>
      <c r="D1731" s="67">
        <v>4.5217</v>
      </c>
      <c r="E1731" s="68"/>
      <c r="F1731" s="69">
        <v>16.6</v>
      </c>
      <c r="G1731" s="70"/>
      <c r="H1731" s="71">
        <v>10.4</v>
      </c>
    </row>
    <row r="1732" customHeight="1" spans="1:8">
      <c r="A1732" s="64"/>
      <c r="B1732" s="73" t="s">
        <v>3310</v>
      </c>
      <c r="C1732" s="66" t="s">
        <v>3311</v>
      </c>
      <c r="D1732" s="67">
        <v>4.5217</v>
      </c>
      <c r="E1732" s="68"/>
      <c r="F1732" s="69">
        <v>16.6</v>
      </c>
      <c r="G1732" s="70"/>
      <c r="H1732" s="71">
        <v>10.4</v>
      </c>
    </row>
    <row r="1733" customHeight="1" spans="1:8">
      <c r="A1733" s="64"/>
      <c r="B1733" s="73" t="s">
        <v>3312</v>
      </c>
      <c r="C1733" s="66" t="s">
        <v>3313</v>
      </c>
      <c r="D1733" s="67">
        <v>4.5217</v>
      </c>
      <c r="E1733" s="68"/>
      <c r="F1733" s="69">
        <v>16.6</v>
      </c>
      <c r="G1733" s="70"/>
      <c r="H1733" s="71">
        <v>10.4</v>
      </c>
    </row>
    <row r="1734" customHeight="1" spans="1:8">
      <c r="A1734" s="64"/>
      <c r="B1734" s="73" t="s">
        <v>3314</v>
      </c>
      <c r="C1734" s="66" t="s">
        <v>3315</v>
      </c>
      <c r="D1734" s="67">
        <v>4.5217</v>
      </c>
      <c r="E1734" s="68"/>
      <c r="F1734" s="69">
        <v>16.6</v>
      </c>
      <c r="G1734" s="70"/>
      <c r="H1734" s="71">
        <v>10.4</v>
      </c>
    </row>
    <row r="1735" customHeight="1" spans="1:8">
      <c r="A1735" s="64"/>
      <c r="B1735" s="73" t="s">
        <v>3316</v>
      </c>
      <c r="C1735" s="66" t="s">
        <v>3317</v>
      </c>
      <c r="D1735" s="67">
        <v>0.0435</v>
      </c>
      <c r="E1735" s="68"/>
      <c r="F1735" s="69">
        <v>0.25</v>
      </c>
      <c r="G1735" s="70"/>
      <c r="H1735" s="71">
        <v>0.1</v>
      </c>
    </row>
    <row r="1736" spans="1:8">
      <c r="A1736" s="64"/>
      <c r="B1736" s="73" t="s">
        <v>3318</v>
      </c>
      <c r="C1736" s="66" t="s">
        <v>3319</v>
      </c>
      <c r="D1736" s="67">
        <v>0.8696</v>
      </c>
      <c r="E1736" s="68"/>
      <c r="F1736" s="69">
        <v>2</v>
      </c>
      <c r="G1736" s="70"/>
      <c r="H1736" s="71">
        <v>1.5</v>
      </c>
    </row>
    <row r="1737" spans="1:8">
      <c r="A1737" s="64"/>
      <c r="B1737" s="73" t="s">
        <v>3320</v>
      </c>
      <c r="C1737" s="66" t="s">
        <v>3321</v>
      </c>
      <c r="D1737" s="67">
        <v>0.3043</v>
      </c>
      <c r="E1737" s="68"/>
      <c r="F1737" s="69">
        <v>1</v>
      </c>
      <c r="G1737" s="70"/>
      <c r="H1737" s="71">
        <v>0.7</v>
      </c>
    </row>
    <row r="1738" spans="1:8">
      <c r="A1738" s="64"/>
      <c r="B1738" s="73" t="s">
        <v>3322</v>
      </c>
      <c r="C1738" s="66" t="s">
        <v>3323</v>
      </c>
      <c r="D1738" s="67">
        <v>1.2609</v>
      </c>
      <c r="E1738" s="68"/>
      <c r="F1738" s="69">
        <v>4.6</v>
      </c>
      <c r="G1738" s="70"/>
      <c r="H1738" s="71">
        <v>2.9</v>
      </c>
    </row>
    <row r="1739" spans="1:8">
      <c r="A1739" s="64"/>
      <c r="B1739" s="73" t="s">
        <v>3324</v>
      </c>
      <c r="C1739" s="66" t="s">
        <v>3325</v>
      </c>
      <c r="D1739" s="67">
        <v>0.2174</v>
      </c>
      <c r="E1739" s="68"/>
      <c r="F1739" s="69">
        <v>1</v>
      </c>
      <c r="G1739" s="70"/>
      <c r="H1739" s="71">
        <v>0.5</v>
      </c>
    </row>
    <row r="1740" spans="1:8">
      <c r="A1740" s="64"/>
      <c r="B1740" s="103" t="s">
        <v>3326</v>
      </c>
      <c r="C1740" s="104" t="s">
        <v>3327</v>
      </c>
      <c r="D1740" s="67">
        <v>0.2174</v>
      </c>
      <c r="E1740" s="68"/>
      <c r="F1740" s="105">
        <v>0.8</v>
      </c>
      <c r="G1740" s="106"/>
      <c r="H1740" s="107">
        <v>0.5</v>
      </c>
    </row>
    <row r="1741" spans="1:8">
      <c r="A1741" s="64"/>
      <c r="B1741" s="103" t="s">
        <v>3328</v>
      </c>
      <c r="C1741" s="104" t="s">
        <v>3329</v>
      </c>
      <c r="D1741" s="67">
        <v>0.8261</v>
      </c>
      <c r="E1741" s="68"/>
      <c r="F1741" s="105">
        <v>3</v>
      </c>
      <c r="G1741" s="106"/>
      <c r="H1741" s="107">
        <v>1.9</v>
      </c>
    </row>
    <row r="1742" spans="1:8">
      <c r="A1742" s="64"/>
      <c r="B1742" s="103" t="s">
        <v>3330</v>
      </c>
      <c r="C1742" s="104" t="s">
        <v>3331</v>
      </c>
      <c r="D1742" s="67">
        <v>0.3913</v>
      </c>
      <c r="E1742" s="68"/>
      <c r="F1742" s="105">
        <v>1.5</v>
      </c>
      <c r="G1742" s="106"/>
      <c r="H1742" s="107">
        <v>0.9</v>
      </c>
    </row>
    <row r="1743" spans="1:8">
      <c r="A1743" s="64"/>
      <c r="B1743" s="103" t="s">
        <v>3332</v>
      </c>
      <c r="C1743" s="104" t="s">
        <v>3333</v>
      </c>
      <c r="D1743" s="67">
        <v>0.4783</v>
      </c>
      <c r="E1743" s="68"/>
      <c r="F1743" s="105">
        <v>2</v>
      </c>
      <c r="G1743" s="106"/>
      <c r="H1743" s="107">
        <v>1.5</v>
      </c>
    </row>
    <row r="1744" spans="1:8">
      <c r="A1744" s="64"/>
      <c r="B1744" s="103" t="s">
        <v>3334</v>
      </c>
      <c r="C1744" s="104" t="s">
        <v>3335</v>
      </c>
      <c r="D1744" s="67">
        <v>0.2174</v>
      </c>
      <c r="E1744" s="68"/>
      <c r="F1744" s="105">
        <v>1</v>
      </c>
      <c r="G1744" s="106"/>
      <c r="H1744" s="107">
        <v>0.5</v>
      </c>
    </row>
    <row r="1745" ht="25.5" spans="1:8">
      <c r="A1745" s="64"/>
      <c r="B1745" s="73" t="s">
        <v>3336</v>
      </c>
      <c r="C1745" s="66" t="s">
        <v>3337</v>
      </c>
      <c r="D1745" s="67">
        <v>2.4348</v>
      </c>
      <c r="E1745" s="68"/>
      <c r="F1745" s="69">
        <v>9</v>
      </c>
      <c r="G1745" s="70"/>
      <c r="H1745" s="71">
        <v>5.6</v>
      </c>
    </row>
    <row r="1746" spans="1:8">
      <c r="A1746" s="64"/>
      <c r="B1746" s="73" t="s">
        <v>3338</v>
      </c>
      <c r="C1746" s="66" t="s">
        <v>3339</v>
      </c>
      <c r="D1746" s="67">
        <v>0.6087</v>
      </c>
      <c r="E1746" s="68"/>
      <c r="F1746" s="69">
        <v>2.2</v>
      </c>
      <c r="G1746" s="70"/>
      <c r="H1746" s="71">
        <v>1.4</v>
      </c>
    </row>
    <row r="1747" spans="1:8">
      <c r="A1747" s="64"/>
      <c r="B1747" s="73" t="s">
        <v>3340</v>
      </c>
      <c r="C1747" s="66" t="s">
        <v>3341</v>
      </c>
      <c r="D1747" s="67">
        <v>3.6957</v>
      </c>
      <c r="E1747" s="68"/>
      <c r="F1747" s="79">
        <v>12.5</v>
      </c>
      <c r="G1747" s="80"/>
      <c r="H1747" s="71">
        <v>7.5</v>
      </c>
    </row>
    <row r="1748" spans="1:8">
      <c r="A1748" s="64"/>
      <c r="B1748" s="73" t="s">
        <v>3342</v>
      </c>
      <c r="C1748" s="66" t="s">
        <v>3343</v>
      </c>
      <c r="D1748" s="67">
        <v>1.1739</v>
      </c>
      <c r="E1748" s="68"/>
      <c r="F1748" s="69">
        <v>4.4</v>
      </c>
      <c r="G1748" s="70"/>
      <c r="H1748" s="71">
        <v>2.7</v>
      </c>
    </row>
    <row r="1749" spans="1:8">
      <c r="A1749" s="64"/>
      <c r="B1749" s="103" t="s">
        <v>3344</v>
      </c>
      <c r="C1749" s="104" t="s">
        <v>3345</v>
      </c>
      <c r="D1749" s="67">
        <v>0.6087</v>
      </c>
      <c r="E1749" s="68"/>
      <c r="F1749" s="105">
        <v>2.5</v>
      </c>
      <c r="G1749" s="106"/>
      <c r="H1749" s="107">
        <v>1.4</v>
      </c>
    </row>
    <row r="1750" spans="1:8">
      <c r="A1750" s="64"/>
      <c r="B1750" s="103" t="s">
        <v>3346</v>
      </c>
      <c r="C1750" s="104" t="s">
        <v>3347</v>
      </c>
      <c r="D1750" s="67">
        <v>0.6087</v>
      </c>
      <c r="E1750" s="68"/>
      <c r="F1750" s="105">
        <v>2.3</v>
      </c>
      <c r="G1750" s="106"/>
      <c r="H1750" s="107">
        <v>1.4</v>
      </c>
    </row>
    <row r="1751" spans="1:8">
      <c r="A1751" s="64"/>
      <c r="B1751" s="103" t="s">
        <v>3348</v>
      </c>
      <c r="C1751" s="104" t="s">
        <v>3349</v>
      </c>
      <c r="D1751" s="67">
        <v>0.6087</v>
      </c>
      <c r="E1751" s="68"/>
      <c r="F1751" s="105">
        <v>2.5</v>
      </c>
      <c r="G1751" s="106"/>
      <c r="H1751" s="107">
        <v>1.4</v>
      </c>
    </row>
    <row r="1752" spans="1:8">
      <c r="A1752" s="64"/>
      <c r="B1752" s="103" t="s">
        <v>3350</v>
      </c>
      <c r="C1752" s="104" t="s">
        <v>3351</v>
      </c>
      <c r="D1752" s="67">
        <v>0.6087</v>
      </c>
      <c r="E1752" s="68"/>
      <c r="F1752" s="105">
        <v>2.3</v>
      </c>
      <c r="G1752" s="106"/>
      <c r="H1752" s="107">
        <v>1.4</v>
      </c>
    </row>
    <row r="1753" spans="1:8">
      <c r="A1753" s="64"/>
      <c r="B1753" s="73" t="s">
        <v>3352</v>
      </c>
      <c r="C1753" s="66" t="s">
        <v>3353</v>
      </c>
      <c r="D1753" s="67">
        <v>0.6087</v>
      </c>
      <c r="E1753" s="68"/>
      <c r="F1753" s="69">
        <v>2.2</v>
      </c>
      <c r="G1753" s="70"/>
      <c r="H1753" s="71">
        <v>1.4</v>
      </c>
    </row>
    <row r="1754" spans="1:8">
      <c r="A1754" s="64"/>
      <c r="B1754" s="103" t="s">
        <v>3354</v>
      </c>
      <c r="C1754" s="104" t="s">
        <v>3355</v>
      </c>
      <c r="D1754" s="67">
        <v>4.2609</v>
      </c>
      <c r="E1754" s="68"/>
      <c r="F1754" s="126">
        <v>16</v>
      </c>
      <c r="G1754" s="127"/>
      <c r="H1754" s="107">
        <v>9.8</v>
      </c>
    </row>
    <row r="1755" spans="1:8">
      <c r="A1755" s="64"/>
      <c r="B1755" s="73" t="s">
        <v>3356</v>
      </c>
      <c r="C1755" s="66" t="s">
        <v>3357</v>
      </c>
      <c r="D1755" s="67">
        <v>3.4348</v>
      </c>
      <c r="E1755" s="68"/>
      <c r="F1755" s="79">
        <v>12</v>
      </c>
      <c r="G1755" s="80"/>
      <c r="H1755" s="71">
        <v>7.9</v>
      </c>
    </row>
    <row r="1756" spans="1:8">
      <c r="A1756" s="64"/>
      <c r="B1756" s="65">
        <v>8955155819767</v>
      </c>
      <c r="C1756" s="66" t="s">
        <v>3358</v>
      </c>
      <c r="D1756" s="67">
        <v>0.1304</v>
      </c>
      <c r="E1756" s="68"/>
      <c r="F1756" s="69">
        <v>1</v>
      </c>
      <c r="G1756" s="70"/>
      <c r="H1756" s="71">
        <v>0.3</v>
      </c>
    </row>
    <row r="1757" spans="1:8">
      <c r="A1757" s="64"/>
      <c r="B1757" s="114">
        <v>8955155818036</v>
      </c>
      <c r="C1757" s="104" t="s">
        <v>3359</v>
      </c>
      <c r="D1757" s="67">
        <v>0.1304</v>
      </c>
      <c r="E1757" s="68"/>
      <c r="F1757" s="105">
        <v>0.5</v>
      </c>
      <c r="G1757" s="106"/>
      <c r="H1757" s="107">
        <v>0.3</v>
      </c>
    </row>
    <row r="1758" spans="1:8">
      <c r="A1758" s="64"/>
      <c r="B1758" s="114">
        <v>8955155819125</v>
      </c>
      <c r="C1758" s="104" t="s">
        <v>3360</v>
      </c>
      <c r="D1758" s="67">
        <v>0.1304</v>
      </c>
      <c r="E1758" s="68"/>
      <c r="F1758" s="105">
        <v>0.5</v>
      </c>
      <c r="G1758" s="106"/>
      <c r="H1758" s="107">
        <v>0.3</v>
      </c>
    </row>
    <row r="1759" spans="1:8">
      <c r="A1759" s="64"/>
      <c r="B1759" s="65">
        <v>8991005219523</v>
      </c>
      <c r="C1759" s="66" t="s">
        <v>3361</v>
      </c>
      <c r="D1759" s="67">
        <v>0.1304</v>
      </c>
      <c r="E1759" s="68"/>
      <c r="F1759" s="69">
        <v>1</v>
      </c>
      <c r="G1759" s="70"/>
      <c r="H1759" s="71">
        <v>0.5</v>
      </c>
    </row>
    <row r="1760" spans="1:8">
      <c r="A1760" s="64"/>
      <c r="B1760" s="65">
        <v>8955155816087</v>
      </c>
      <c r="C1760" s="66" t="s">
        <v>3362</v>
      </c>
      <c r="D1760" s="67">
        <v>0.1304</v>
      </c>
      <c r="E1760" s="68"/>
      <c r="F1760" s="69">
        <v>0.5</v>
      </c>
      <c r="G1760" s="70"/>
      <c r="H1760" s="71">
        <v>0.3</v>
      </c>
    </row>
    <row r="1761" spans="1:8">
      <c r="A1761" s="64"/>
      <c r="B1761" s="73" t="s">
        <v>3363</v>
      </c>
      <c r="C1761" s="66" t="s">
        <v>3364</v>
      </c>
      <c r="D1761" s="67">
        <v>0.2174</v>
      </c>
      <c r="E1761" s="68"/>
      <c r="F1761" s="69">
        <v>1</v>
      </c>
      <c r="G1761" s="70"/>
      <c r="H1761" s="71">
        <v>0.5</v>
      </c>
    </row>
    <row r="1762" spans="1:8">
      <c r="A1762" s="64"/>
      <c r="B1762" s="103" t="s">
        <v>3365</v>
      </c>
      <c r="C1762" s="104" t="s">
        <v>3366</v>
      </c>
      <c r="D1762" s="67">
        <v>2.4348</v>
      </c>
      <c r="E1762" s="68"/>
      <c r="F1762" s="105">
        <v>9</v>
      </c>
      <c r="G1762" s="106"/>
      <c r="H1762" s="107">
        <v>5.6</v>
      </c>
    </row>
    <row r="1763" ht="15" spans="1:8">
      <c r="A1763" s="64"/>
      <c r="B1763" s="128" t="s">
        <v>3367</v>
      </c>
      <c r="C1763" s="129" t="s">
        <v>3368</v>
      </c>
      <c r="D1763" s="67">
        <v>0.3478</v>
      </c>
      <c r="E1763" s="68"/>
      <c r="F1763" s="130">
        <v>1.3</v>
      </c>
      <c r="G1763" s="131"/>
      <c r="H1763" s="132">
        <v>0.8</v>
      </c>
    </row>
    <row r="1764" spans="1:8">
      <c r="A1764" s="64"/>
      <c r="B1764" s="73" t="s">
        <v>3369</v>
      </c>
      <c r="C1764" s="66" t="s">
        <v>3370</v>
      </c>
      <c r="D1764" s="67">
        <v>0.6087</v>
      </c>
      <c r="E1764" s="68"/>
      <c r="F1764" s="69">
        <v>2.5</v>
      </c>
      <c r="G1764" s="70"/>
      <c r="H1764" s="71">
        <v>1.4</v>
      </c>
    </row>
    <row r="1765" spans="1:8">
      <c r="A1765" s="64"/>
      <c r="B1765" s="73" t="s">
        <v>3371</v>
      </c>
      <c r="C1765" s="66" t="s">
        <v>3372</v>
      </c>
      <c r="D1765" s="67">
        <v>0.5652</v>
      </c>
      <c r="E1765" s="68"/>
      <c r="F1765" s="69">
        <v>2</v>
      </c>
      <c r="G1765" s="70"/>
      <c r="H1765" s="71">
        <v>1.3</v>
      </c>
    </row>
    <row r="1766" spans="1:8">
      <c r="A1766" s="64"/>
      <c r="B1766" s="103" t="s">
        <v>3373</v>
      </c>
      <c r="C1766" s="104" t="s">
        <v>3374</v>
      </c>
      <c r="D1766" s="67">
        <v>0.2609</v>
      </c>
      <c r="E1766" s="68"/>
      <c r="F1766" s="105">
        <v>1</v>
      </c>
      <c r="G1766" s="106"/>
      <c r="H1766" s="107">
        <v>0.6</v>
      </c>
    </row>
    <row r="1767" spans="1:8">
      <c r="A1767" s="64"/>
      <c r="B1767" s="73" t="s">
        <v>3375</v>
      </c>
      <c r="C1767" s="66" t="s">
        <v>3376</v>
      </c>
      <c r="D1767" s="67">
        <v>0.1304</v>
      </c>
      <c r="E1767" s="68"/>
      <c r="F1767" s="69">
        <v>0.5</v>
      </c>
      <c r="G1767" s="70"/>
      <c r="H1767" s="71">
        <v>0.3</v>
      </c>
    </row>
    <row r="1768" spans="1:8">
      <c r="A1768" s="64"/>
      <c r="B1768" s="73" t="s">
        <v>3377</v>
      </c>
      <c r="C1768" s="66" t="s">
        <v>3378</v>
      </c>
      <c r="D1768" s="67">
        <v>0.2609</v>
      </c>
      <c r="E1768" s="68"/>
      <c r="F1768" s="69">
        <v>0.9</v>
      </c>
      <c r="G1768" s="70"/>
      <c r="H1768" s="71">
        <v>0.6</v>
      </c>
    </row>
    <row r="1769" spans="1:8">
      <c r="A1769" s="64"/>
      <c r="B1769" s="103" t="s">
        <v>3379</v>
      </c>
      <c r="C1769" s="104" t="s">
        <v>3380</v>
      </c>
      <c r="D1769" s="67">
        <v>0.2609</v>
      </c>
      <c r="E1769" s="68"/>
      <c r="F1769" s="105">
        <v>1</v>
      </c>
      <c r="G1769" s="106"/>
      <c r="H1769" s="107">
        <v>0.6</v>
      </c>
    </row>
    <row r="1770" ht="25.5" spans="1:8">
      <c r="A1770" s="64"/>
      <c r="B1770" s="73" t="s">
        <v>3381</v>
      </c>
      <c r="C1770" s="66" t="s">
        <v>3382</v>
      </c>
      <c r="D1770" s="67">
        <v>0.5217</v>
      </c>
      <c r="E1770" s="68"/>
      <c r="F1770" s="69">
        <v>2</v>
      </c>
      <c r="G1770" s="70"/>
      <c r="H1770" s="71">
        <v>1.2</v>
      </c>
    </row>
    <row r="1771" spans="1:8">
      <c r="A1771" s="64"/>
      <c r="B1771" s="73" t="s">
        <v>3383</v>
      </c>
      <c r="C1771" s="66" t="s">
        <v>3384</v>
      </c>
      <c r="D1771" s="67">
        <v>0.5217</v>
      </c>
      <c r="E1771" s="68"/>
      <c r="F1771" s="69">
        <v>1.9</v>
      </c>
      <c r="G1771" s="70"/>
      <c r="H1771" s="71">
        <v>1.2</v>
      </c>
    </row>
    <row r="1772" spans="1:8">
      <c r="A1772" s="74"/>
      <c r="B1772" s="73" t="s">
        <v>3385</v>
      </c>
      <c r="C1772" s="66" t="s">
        <v>3386</v>
      </c>
      <c r="D1772" s="67">
        <v>0.1304</v>
      </c>
      <c r="E1772" s="68"/>
      <c r="F1772" s="69">
        <v>0.5</v>
      </c>
      <c r="G1772" s="70"/>
      <c r="H1772" s="71">
        <v>0.3</v>
      </c>
    </row>
    <row r="1773" spans="1:8">
      <c r="A1773" s="75"/>
      <c r="B1773" s="73" t="s">
        <v>3387</v>
      </c>
      <c r="C1773" s="66" t="s">
        <v>3386</v>
      </c>
      <c r="D1773" s="67">
        <v>0.087</v>
      </c>
      <c r="E1773" s="68"/>
      <c r="F1773" s="69">
        <v>0.5</v>
      </c>
      <c r="G1773" s="70"/>
      <c r="H1773" s="71">
        <v>0.2</v>
      </c>
    </row>
    <row r="1774" spans="1:8">
      <c r="A1774" s="64"/>
      <c r="B1774" s="103" t="s">
        <v>3388</v>
      </c>
      <c r="C1774" s="104" t="s">
        <v>3389</v>
      </c>
      <c r="D1774" s="67">
        <v>0.1304</v>
      </c>
      <c r="E1774" s="68"/>
      <c r="F1774" s="105">
        <v>0.5</v>
      </c>
      <c r="G1774" s="106"/>
      <c r="H1774" s="107">
        <v>0.3</v>
      </c>
    </row>
    <row r="1775" spans="1:8">
      <c r="A1775" s="64"/>
      <c r="B1775" s="103" t="s">
        <v>3390</v>
      </c>
      <c r="C1775" s="104" t="s">
        <v>3391</v>
      </c>
      <c r="D1775" s="67">
        <v>0.0435</v>
      </c>
      <c r="E1775" s="68"/>
      <c r="F1775" s="105">
        <v>0.2</v>
      </c>
      <c r="G1775" s="106"/>
      <c r="H1775" s="107">
        <v>0.1</v>
      </c>
    </row>
    <row r="1776" spans="1:8">
      <c r="A1776" s="64"/>
      <c r="B1776" s="103" t="s">
        <v>3392</v>
      </c>
      <c r="C1776" s="104" t="s">
        <v>3393</v>
      </c>
      <c r="D1776" s="67">
        <v>0.1304</v>
      </c>
      <c r="E1776" s="68"/>
      <c r="F1776" s="105">
        <v>1</v>
      </c>
      <c r="G1776" s="106"/>
      <c r="H1776" s="107">
        <v>0.5</v>
      </c>
    </row>
    <row r="1777" spans="1:8">
      <c r="A1777" s="64"/>
      <c r="B1777" s="103" t="s">
        <v>3394</v>
      </c>
      <c r="C1777" s="104" t="s">
        <v>3395</v>
      </c>
      <c r="D1777" s="67">
        <v>0.1304</v>
      </c>
      <c r="E1777" s="68"/>
      <c r="F1777" s="105">
        <v>1</v>
      </c>
      <c r="G1777" s="106"/>
      <c r="H1777" s="107">
        <v>0.3</v>
      </c>
    </row>
    <row r="1778" spans="1:8">
      <c r="A1778" s="64"/>
      <c r="B1778" s="103" t="s">
        <v>3396</v>
      </c>
      <c r="C1778" s="104" t="s">
        <v>3397</v>
      </c>
      <c r="D1778" s="67">
        <v>0.3043</v>
      </c>
      <c r="E1778" s="68"/>
      <c r="F1778" s="105">
        <v>1</v>
      </c>
      <c r="G1778" s="106"/>
      <c r="H1778" s="107">
        <v>0.7</v>
      </c>
    </row>
    <row r="1779" spans="1:8">
      <c r="A1779" s="64"/>
      <c r="B1779" s="73" t="s">
        <v>3398</v>
      </c>
      <c r="C1779" s="66" t="s">
        <v>3399</v>
      </c>
      <c r="D1779" s="67">
        <v>0.3043</v>
      </c>
      <c r="E1779" s="68"/>
      <c r="F1779" s="69">
        <v>1</v>
      </c>
      <c r="G1779" s="70"/>
      <c r="H1779" s="71">
        <v>0.7</v>
      </c>
    </row>
    <row r="1780" spans="1:8">
      <c r="A1780" s="64"/>
      <c r="B1780" s="103" t="s">
        <v>3400</v>
      </c>
      <c r="C1780" s="104" t="s">
        <v>3401</v>
      </c>
      <c r="D1780" s="67">
        <v>0.1304</v>
      </c>
      <c r="E1780" s="68"/>
      <c r="F1780" s="105">
        <v>0.5</v>
      </c>
      <c r="G1780" s="106"/>
      <c r="H1780" s="107">
        <v>0.3</v>
      </c>
    </row>
    <row r="1781" spans="1:8">
      <c r="A1781" s="64"/>
      <c r="B1781" s="103" t="s">
        <v>3402</v>
      </c>
      <c r="C1781" s="104" t="s">
        <v>3403</v>
      </c>
      <c r="D1781" s="67">
        <v>0.1304</v>
      </c>
      <c r="E1781" s="68"/>
      <c r="F1781" s="105">
        <v>0.5</v>
      </c>
      <c r="G1781" s="106"/>
      <c r="H1781" s="107">
        <v>0.3</v>
      </c>
    </row>
    <row r="1782" spans="1:8">
      <c r="A1782" s="64"/>
      <c r="B1782" s="73" t="s">
        <v>3404</v>
      </c>
      <c r="C1782" s="66" t="s">
        <v>3405</v>
      </c>
      <c r="D1782" s="67">
        <v>0.1304</v>
      </c>
      <c r="E1782" s="68"/>
      <c r="F1782" s="69">
        <v>0.5</v>
      </c>
      <c r="G1782" s="70"/>
      <c r="H1782" s="71">
        <v>0.3</v>
      </c>
    </row>
    <row r="1783" spans="1:8">
      <c r="A1783" s="64"/>
      <c r="B1783" s="103" t="s">
        <v>3406</v>
      </c>
      <c r="C1783" s="104" t="s">
        <v>3407</v>
      </c>
      <c r="D1783" s="67">
        <v>0.2174</v>
      </c>
      <c r="E1783" s="68"/>
      <c r="F1783" s="105">
        <v>0.8</v>
      </c>
      <c r="G1783" s="106"/>
      <c r="H1783" s="107">
        <v>0.5</v>
      </c>
    </row>
    <row r="1784" spans="1:8">
      <c r="A1784" s="64"/>
      <c r="B1784" s="103" t="s">
        <v>3408</v>
      </c>
      <c r="C1784" s="104" t="s">
        <v>3409</v>
      </c>
      <c r="D1784" s="67">
        <v>0.1304</v>
      </c>
      <c r="E1784" s="68"/>
      <c r="F1784" s="105">
        <v>0.4</v>
      </c>
      <c r="G1784" s="106"/>
      <c r="H1784" s="107">
        <v>0.3</v>
      </c>
    </row>
    <row r="1785" spans="1:8">
      <c r="A1785" s="64"/>
      <c r="B1785" s="73" t="s">
        <v>3410</v>
      </c>
      <c r="C1785" s="66" t="s">
        <v>3411</v>
      </c>
      <c r="D1785" s="67">
        <v>0.1304</v>
      </c>
      <c r="E1785" s="68"/>
      <c r="F1785" s="69">
        <v>0.5</v>
      </c>
      <c r="G1785" s="70"/>
      <c r="H1785" s="71">
        <v>0.3</v>
      </c>
    </row>
    <row r="1786" spans="1:8">
      <c r="A1786" s="64"/>
      <c r="B1786" s="73" t="s">
        <v>3412</v>
      </c>
      <c r="C1786" s="66" t="s">
        <v>3413</v>
      </c>
      <c r="D1786" s="67">
        <v>0.1304</v>
      </c>
      <c r="E1786" s="68"/>
      <c r="F1786" s="69">
        <v>0.5</v>
      </c>
      <c r="G1786" s="70"/>
      <c r="H1786" s="71">
        <v>0.3</v>
      </c>
    </row>
    <row r="1787" spans="1:8">
      <c r="A1787" s="64"/>
      <c r="B1787" s="73" t="s">
        <v>3414</v>
      </c>
      <c r="C1787" s="66" t="s">
        <v>3415</v>
      </c>
      <c r="D1787" s="67">
        <v>0.087</v>
      </c>
      <c r="E1787" s="68"/>
      <c r="F1787" s="69">
        <v>1</v>
      </c>
      <c r="G1787" s="70"/>
      <c r="H1787" s="71">
        <v>0.2</v>
      </c>
    </row>
    <row r="1788" spans="1:8">
      <c r="A1788" s="64"/>
      <c r="B1788" s="103" t="s">
        <v>3416</v>
      </c>
      <c r="C1788" s="104" t="s">
        <v>3417</v>
      </c>
      <c r="D1788" s="67">
        <v>0.1304</v>
      </c>
      <c r="E1788" s="68"/>
      <c r="F1788" s="105">
        <v>1</v>
      </c>
      <c r="G1788" s="106"/>
      <c r="H1788" s="107">
        <v>0.3</v>
      </c>
    </row>
    <row r="1789" spans="1:8">
      <c r="A1789" s="64"/>
      <c r="B1789" s="103" t="s">
        <v>3418</v>
      </c>
      <c r="C1789" s="104" t="s">
        <v>3419</v>
      </c>
      <c r="D1789" s="67">
        <v>0.087</v>
      </c>
      <c r="E1789" s="68"/>
      <c r="F1789" s="105">
        <v>1</v>
      </c>
      <c r="G1789" s="106"/>
      <c r="H1789" s="107">
        <v>0.2</v>
      </c>
    </row>
    <row r="1790" spans="1:8">
      <c r="A1790" s="64"/>
      <c r="B1790" s="103" t="s">
        <v>3420</v>
      </c>
      <c r="C1790" s="104" t="s">
        <v>3421</v>
      </c>
      <c r="D1790" s="67">
        <v>0.1739</v>
      </c>
      <c r="E1790" s="68"/>
      <c r="F1790" s="105">
        <v>1</v>
      </c>
      <c r="G1790" s="106"/>
      <c r="H1790" s="107">
        <v>0.4</v>
      </c>
    </row>
    <row r="1791" spans="1:8">
      <c r="A1791" s="64"/>
      <c r="B1791" s="103" t="s">
        <v>3422</v>
      </c>
      <c r="C1791" s="104" t="s">
        <v>3423</v>
      </c>
      <c r="D1791" s="67">
        <v>0.1304</v>
      </c>
      <c r="E1791" s="68"/>
      <c r="F1791" s="105">
        <v>1</v>
      </c>
      <c r="G1791" s="106"/>
      <c r="H1791" s="107">
        <v>0.3</v>
      </c>
    </row>
    <row r="1792" spans="1:8">
      <c r="A1792" s="64"/>
      <c r="B1792" s="73" t="s">
        <v>3424</v>
      </c>
      <c r="C1792" s="66" t="s">
        <v>3425</v>
      </c>
      <c r="D1792" s="67">
        <v>0.1304</v>
      </c>
      <c r="E1792" s="68"/>
      <c r="F1792" s="69">
        <v>0.5</v>
      </c>
      <c r="G1792" s="70"/>
      <c r="H1792" s="71">
        <v>0.3</v>
      </c>
    </row>
    <row r="1793" spans="1:8">
      <c r="A1793" s="64"/>
      <c r="B1793" s="73" t="s">
        <v>3426</v>
      </c>
      <c r="C1793" s="66" t="s">
        <v>3427</v>
      </c>
      <c r="D1793" s="67">
        <v>0.1304</v>
      </c>
      <c r="E1793" s="68"/>
      <c r="F1793" s="69">
        <v>0.5</v>
      </c>
      <c r="G1793" s="70"/>
      <c r="H1793" s="71">
        <v>0.3</v>
      </c>
    </row>
    <row r="1794" spans="1:8">
      <c r="A1794" s="64"/>
      <c r="B1794" s="103" t="s">
        <v>3428</v>
      </c>
      <c r="C1794" s="104" t="s">
        <v>3429</v>
      </c>
      <c r="D1794" s="67">
        <v>0.1304</v>
      </c>
      <c r="E1794" s="68"/>
      <c r="F1794" s="105">
        <v>0.5</v>
      </c>
      <c r="G1794" s="106"/>
      <c r="H1794" s="107">
        <v>0.3</v>
      </c>
    </row>
    <row r="1795" spans="1:8">
      <c r="A1795" s="64"/>
      <c r="B1795" s="73" t="s">
        <v>3430</v>
      </c>
      <c r="C1795" s="66" t="s">
        <v>3431</v>
      </c>
      <c r="D1795" s="67">
        <v>0.1565</v>
      </c>
      <c r="E1795" s="68"/>
      <c r="F1795" s="69">
        <v>0.5</v>
      </c>
      <c r="G1795" s="70"/>
      <c r="H1795" s="71">
        <v>0.36</v>
      </c>
    </row>
    <row r="1796" spans="1:8">
      <c r="A1796" s="64"/>
      <c r="B1796" s="103" t="s">
        <v>3432</v>
      </c>
      <c r="C1796" s="104" t="s">
        <v>3433</v>
      </c>
      <c r="D1796" s="67">
        <v>0.1304</v>
      </c>
      <c r="E1796" s="68"/>
      <c r="F1796" s="105">
        <v>0.5</v>
      </c>
      <c r="G1796" s="106"/>
      <c r="H1796" s="107">
        <v>0.3</v>
      </c>
    </row>
    <row r="1797" spans="1:8">
      <c r="A1797" s="64"/>
      <c r="B1797" s="73" t="s">
        <v>3434</v>
      </c>
      <c r="C1797" s="66" t="s">
        <v>3435</v>
      </c>
      <c r="D1797" s="67">
        <v>0.1304</v>
      </c>
      <c r="E1797" s="68"/>
      <c r="F1797" s="69">
        <v>0.5</v>
      </c>
      <c r="G1797" s="70"/>
      <c r="H1797" s="71">
        <v>0.3</v>
      </c>
    </row>
    <row r="1798" spans="1:8">
      <c r="A1798" s="64"/>
      <c r="B1798" s="103" t="s">
        <v>3436</v>
      </c>
      <c r="C1798" s="104" t="s">
        <v>3437</v>
      </c>
      <c r="D1798" s="67">
        <v>0.1304</v>
      </c>
      <c r="E1798" s="68"/>
      <c r="F1798" s="105">
        <v>0.5</v>
      </c>
      <c r="G1798" s="106"/>
      <c r="H1798" s="107">
        <v>0.3</v>
      </c>
    </row>
    <row r="1799" spans="1:8">
      <c r="A1799" s="64"/>
      <c r="B1799" s="103" t="s">
        <v>3438</v>
      </c>
      <c r="C1799" s="104" t="s">
        <v>3439</v>
      </c>
      <c r="D1799" s="67">
        <v>0.1304</v>
      </c>
      <c r="E1799" s="68"/>
      <c r="F1799" s="105">
        <v>0.5</v>
      </c>
      <c r="G1799" s="106"/>
      <c r="H1799" s="107">
        <v>0.3</v>
      </c>
    </row>
    <row r="1800" spans="1:8">
      <c r="A1800" s="64"/>
      <c r="B1800" s="73" t="s">
        <v>3440</v>
      </c>
      <c r="C1800" s="66" t="s">
        <v>3441</v>
      </c>
      <c r="D1800" s="67">
        <v>0.0435</v>
      </c>
      <c r="E1800" s="68"/>
      <c r="F1800" s="69">
        <v>0.2</v>
      </c>
      <c r="G1800" s="70"/>
      <c r="H1800" s="71">
        <v>0.1</v>
      </c>
    </row>
    <row r="1801" spans="1:8">
      <c r="A1801" s="64"/>
      <c r="B1801" s="103" t="s">
        <v>3442</v>
      </c>
      <c r="C1801" s="104" t="s">
        <v>3443</v>
      </c>
      <c r="D1801" s="67">
        <v>0.087</v>
      </c>
      <c r="E1801" s="68"/>
      <c r="F1801" s="105">
        <v>0.5</v>
      </c>
      <c r="G1801" s="106"/>
      <c r="H1801" s="107">
        <v>0.2</v>
      </c>
    </row>
    <row r="1802" spans="1:8">
      <c r="A1802" s="64"/>
      <c r="B1802" s="103" t="s">
        <v>3444</v>
      </c>
      <c r="C1802" s="104" t="s">
        <v>3445</v>
      </c>
      <c r="D1802" s="67">
        <v>0.1304</v>
      </c>
      <c r="E1802" s="68"/>
      <c r="F1802" s="105">
        <v>0.5</v>
      </c>
      <c r="G1802" s="106"/>
      <c r="H1802" s="107">
        <v>0.3</v>
      </c>
    </row>
    <row r="1803" spans="1:8">
      <c r="A1803" s="64"/>
      <c r="B1803" s="103" t="s">
        <v>3446</v>
      </c>
      <c r="C1803" s="104" t="s">
        <v>3447</v>
      </c>
      <c r="D1803" s="67">
        <v>0.0435</v>
      </c>
      <c r="E1803" s="68"/>
      <c r="F1803" s="105">
        <v>0.2</v>
      </c>
      <c r="G1803" s="106"/>
      <c r="H1803" s="107">
        <v>0.1</v>
      </c>
    </row>
    <row r="1804" spans="1:8">
      <c r="A1804" s="64"/>
      <c r="B1804" s="103" t="s">
        <v>3448</v>
      </c>
      <c r="C1804" s="104" t="s">
        <v>3449</v>
      </c>
      <c r="D1804" s="67">
        <v>0.3913</v>
      </c>
      <c r="E1804" s="68"/>
      <c r="F1804" s="105">
        <v>1.5</v>
      </c>
      <c r="G1804" s="106"/>
      <c r="H1804" s="107">
        <v>0.9</v>
      </c>
    </row>
    <row r="1805" spans="1:8">
      <c r="A1805" s="64"/>
      <c r="B1805" s="103" t="s">
        <v>3450</v>
      </c>
      <c r="C1805" s="104" t="s">
        <v>3451</v>
      </c>
      <c r="D1805" s="67">
        <v>0.3478</v>
      </c>
      <c r="E1805" s="68"/>
      <c r="F1805" s="105">
        <v>1.3</v>
      </c>
      <c r="G1805" s="106"/>
      <c r="H1805" s="107">
        <v>0.8</v>
      </c>
    </row>
    <row r="1806" spans="1:8">
      <c r="A1806" s="64"/>
      <c r="B1806" s="103" t="s">
        <v>3452</v>
      </c>
      <c r="C1806" s="104" t="s">
        <v>3453</v>
      </c>
      <c r="D1806" s="67">
        <v>0.2609</v>
      </c>
      <c r="E1806" s="68"/>
      <c r="F1806" s="105">
        <v>1</v>
      </c>
      <c r="G1806" s="106"/>
      <c r="H1806" s="107">
        <v>0.6</v>
      </c>
    </row>
    <row r="1807" spans="1:8">
      <c r="A1807" s="64"/>
      <c r="B1807" s="103" t="s">
        <v>3454</v>
      </c>
      <c r="C1807" s="104" t="s">
        <v>3455</v>
      </c>
      <c r="D1807" s="67">
        <v>0.087</v>
      </c>
      <c r="E1807" s="68"/>
      <c r="F1807" s="105">
        <v>1</v>
      </c>
      <c r="G1807" s="106"/>
      <c r="H1807" s="107">
        <v>0.2</v>
      </c>
    </row>
    <row r="1808" spans="1:8">
      <c r="A1808" s="64"/>
      <c r="B1808" s="103" t="s">
        <v>3456</v>
      </c>
      <c r="C1808" s="104" t="s">
        <v>3457</v>
      </c>
      <c r="D1808" s="67">
        <v>0.1304</v>
      </c>
      <c r="E1808" s="68"/>
      <c r="F1808" s="105">
        <v>0.5</v>
      </c>
      <c r="G1808" s="106"/>
      <c r="H1808" s="107">
        <v>0.3</v>
      </c>
    </row>
    <row r="1809" spans="1:8">
      <c r="A1809" s="64"/>
      <c r="B1809" s="103" t="s">
        <v>3458</v>
      </c>
      <c r="C1809" s="104" t="s">
        <v>3459</v>
      </c>
      <c r="D1809" s="67">
        <v>0.6522</v>
      </c>
      <c r="E1809" s="68"/>
      <c r="F1809" s="105">
        <v>2.5</v>
      </c>
      <c r="G1809" s="106"/>
      <c r="H1809" s="107">
        <v>1.5</v>
      </c>
    </row>
    <row r="1810" spans="1:8">
      <c r="A1810" s="64"/>
      <c r="B1810" s="73" t="s">
        <v>3460</v>
      </c>
      <c r="C1810" s="66" t="s">
        <v>3461</v>
      </c>
      <c r="D1810" s="67">
        <v>5.1304</v>
      </c>
      <c r="E1810" s="68"/>
      <c r="F1810" s="79">
        <v>18</v>
      </c>
      <c r="G1810" s="80"/>
      <c r="H1810" s="71">
        <v>11.8</v>
      </c>
    </row>
    <row r="1811" spans="1:8">
      <c r="A1811" s="64"/>
      <c r="B1811" s="73" t="s">
        <v>3462</v>
      </c>
      <c r="C1811" s="66" t="s">
        <v>3463</v>
      </c>
      <c r="D1811" s="67">
        <v>0.5652</v>
      </c>
      <c r="E1811" s="68"/>
      <c r="F1811" s="69">
        <v>2.1</v>
      </c>
      <c r="G1811" s="70"/>
      <c r="H1811" s="71">
        <v>1.3</v>
      </c>
    </row>
    <row r="1812" spans="1:8">
      <c r="A1812" s="64"/>
      <c r="B1812" s="73" t="s">
        <v>3464</v>
      </c>
      <c r="C1812" s="66" t="s">
        <v>3465</v>
      </c>
      <c r="D1812" s="67">
        <v>0.7391</v>
      </c>
      <c r="E1812" s="68"/>
      <c r="F1812" s="69">
        <v>2.7</v>
      </c>
      <c r="G1812" s="70"/>
      <c r="H1812" s="71">
        <v>1.7</v>
      </c>
    </row>
    <row r="1813" spans="1:8">
      <c r="A1813" s="64"/>
      <c r="B1813" s="73" t="s">
        <v>3466</v>
      </c>
      <c r="C1813" s="66" t="s">
        <v>3467</v>
      </c>
      <c r="D1813" s="67">
        <v>1.2174</v>
      </c>
      <c r="E1813" s="68"/>
      <c r="F1813" s="69">
        <v>4.5</v>
      </c>
      <c r="G1813" s="70"/>
      <c r="H1813" s="71">
        <v>2.8</v>
      </c>
    </row>
    <row r="1814" spans="1:8">
      <c r="A1814" s="64"/>
      <c r="B1814" s="73" t="s">
        <v>3468</v>
      </c>
      <c r="C1814" s="66" t="s">
        <v>3469</v>
      </c>
      <c r="D1814" s="67">
        <v>0.5652</v>
      </c>
      <c r="E1814" s="68"/>
      <c r="F1814" s="69">
        <v>2.1</v>
      </c>
      <c r="G1814" s="70"/>
      <c r="H1814" s="71">
        <v>1.3</v>
      </c>
    </row>
    <row r="1815" spans="1:8">
      <c r="A1815" s="64"/>
      <c r="B1815" s="103" t="s">
        <v>3470</v>
      </c>
      <c r="C1815" s="104" t="s">
        <v>3471</v>
      </c>
      <c r="D1815" s="67">
        <v>0.5652</v>
      </c>
      <c r="E1815" s="68"/>
      <c r="F1815" s="105">
        <v>2</v>
      </c>
      <c r="G1815" s="106"/>
      <c r="H1815" s="107">
        <v>1.3</v>
      </c>
    </row>
    <row r="1816" spans="1:8">
      <c r="A1816" s="64"/>
      <c r="B1816" s="73" t="s">
        <v>3472</v>
      </c>
      <c r="C1816" s="66" t="s">
        <v>3473</v>
      </c>
      <c r="D1816" s="67">
        <v>9</v>
      </c>
      <c r="E1816" s="68"/>
      <c r="F1816" s="79">
        <v>33.1</v>
      </c>
      <c r="G1816" s="80"/>
      <c r="H1816" s="71">
        <v>20.7</v>
      </c>
    </row>
    <row r="1817" spans="1:8">
      <c r="A1817" s="64"/>
      <c r="B1817" s="73" t="s">
        <v>3474</v>
      </c>
      <c r="C1817" s="66" t="s">
        <v>3475</v>
      </c>
      <c r="D1817" s="67">
        <v>3.7391</v>
      </c>
      <c r="E1817" s="68"/>
      <c r="F1817" s="79">
        <v>15</v>
      </c>
      <c r="G1817" s="80"/>
      <c r="H1817" s="71">
        <v>8.6</v>
      </c>
    </row>
    <row r="1818" spans="1:8">
      <c r="A1818" s="64"/>
      <c r="B1818" s="73" t="s">
        <v>3476</v>
      </c>
      <c r="C1818" s="66" t="s">
        <v>3477</v>
      </c>
      <c r="D1818" s="67">
        <v>6.4348</v>
      </c>
      <c r="E1818" s="68"/>
      <c r="F1818" s="79">
        <v>15</v>
      </c>
      <c r="G1818" s="80"/>
      <c r="H1818" s="71">
        <v>14.8</v>
      </c>
    </row>
    <row r="1819" spans="1:8">
      <c r="A1819" s="64"/>
      <c r="B1819" s="73" t="s">
        <v>3478</v>
      </c>
      <c r="C1819" s="66" t="s">
        <v>3479</v>
      </c>
      <c r="D1819" s="67">
        <v>0.3913</v>
      </c>
      <c r="E1819" s="68"/>
      <c r="F1819" s="69">
        <v>1.5</v>
      </c>
      <c r="G1819" s="70"/>
      <c r="H1819" s="71">
        <v>0.9</v>
      </c>
    </row>
    <row r="1820" spans="1:8">
      <c r="A1820" s="64"/>
      <c r="B1820" s="73" t="s">
        <v>3480</v>
      </c>
      <c r="C1820" s="66" t="s">
        <v>3481</v>
      </c>
      <c r="D1820" s="67">
        <v>0.6087</v>
      </c>
      <c r="E1820" s="68"/>
      <c r="F1820" s="69">
        <v>2.3</v>
      </c>
      <c r="G1820" s="70"/>
      <c r="H1820" s="71">
        <v>1.4</v>
      </c>
    </row>
    <row r="1821" spans="1:8">
      <c r="A1821" s="64"/>
      <c r="B1821" s="73" t="s">
        <v>3482</v>
      </c>
      <c r="C1821" s="66" t="s">
        <v>3483</v>
      </c>
      <c r="D1821" s="67">
        <v>0.3913</v>
      </c>
      <c r="E1821" s="68"/>
      <c r="F1821" s="69">
        <v>1.5</v>
      </c>
      <c r="G1821" s="70"/>
      <c r="H1821" s="71">
        <v>0.9</v>
      </c>
    </row>
    <row r="1822" spans="1:8">
      <c r="A1822" s="64"/>
      <c r="B1822" s="73" t="s">
        <v>3484</v>
      </c>
      <c r="C1822" s="66" t="s">
        <v>3485</v>
      </c>
      <c r="D1822" s="67">
        <v>0.3913</v>
      </c>
      <c r="E1822" s="68"/>
      <c r="F1822" s="69">
        <v>1.5</v>
      </c>
      <c r="G1822" s="70"/>
      <c r="H1822" s="71">
        <v>0.9</v>
      </c>
    </row>
    <row r="1823" spans="1:8">
      <c r="A1823" s="64"/>
      <c r="B1823" s="73" t="s">
        <v>3486</v>
      </c>
      <c r="C1823" s="66" t="s">
        <v>3487</v>
      </c>
      <c r="D1823" s="67">
        <v>1.2609</v>
      </c>
      <c r="E1823" s="68"/>
      <c r="F1823" s="69">
        <v>4</v>
      </c>
      <c r="G1823" s="70"/>
      <c r="H1823" s="71">
        <v>2.9</v>
      </c>
    </row>
    <row r="1824" spans="1:8">
      <c r="A1824" s="64"/>
      <c r="B1824" s="103" t="s">
        <v>3488</v>
      </c>
      <c r="C1824" s="104" t="s">
        <v>3489</v>
      </c>
      <c r="D1824" s="67">
        <v>1.7391</v>
      </c>
      <c r="E1824" s="68"/>
      <c r="F1824" s="105">
        <v>6.5</v>
      </c>
      <c r="G1824" s="106"/>
      <c r="H1824" s="107">
        <v>4</v>
      </c>
    </row>
    <row r="1825" spans="1:8">
      <c r="A1825" s="64"/>
      <c r="B1825" s="103" t="s">
        <v>3490</v>
      </c>
      <c r="C1825" s="104" t="s">
        <v>3491</v>
      </c>
      <c r="D1825" s="67">
        <v>3.087</v>
      </c>
      <c r="E1825" s="68"/>
      <c r="F1825" s="126">
        <v>11.5</v>
      </c>
      <c r="G1825" s="127"/>
      <c r="H1825" s="107">
        <v>7.1</v>
      </c>
    </row>
    <row r="1826" spans="1:8">
      <c r="A1826" s="64"/>
      <c r="B1826" s="73" t="s">
        <v>3492</v>
      </c>
      <c r="C1826" s="66" t="s">
        <v>3493</v>
      </c>
      <c r="D1826" s="67">
        <v>4.4783</v>
      </c>
      <c r="E1826" s="68"/>
      <c r="F1826" s="79">
        <v>16.4</v>
      </c>
      <c r="G1826" s="80"/>
      <c r="H1826" s="71">
        <v>10.3</v>
      </c>
    </row>
    <row r="1827" spans="1:8">
      <c r="A1827" s="64"/>
      <c r="B1827" s="103" t="s">
        <v>3494</v>
      </c>
      <c r="C1827" s="104" t="s">
        <v>3495</v>
      </c>
      <c r="D1827" s="67">
        <v>0.4348</v>
      </c>
      <c r="E1827" s="68"/>
      <c r="F1827" s="105">
        <v>1.6</v>
      </c>
      <c r="G1827" s="106"/>
      <c r="H1827" s="107">
        <v>1</v>
      </c>
    </row>
    <row r="1828" spans="1:8">
      <c r="A1828" s="64"/>
      <c r="B1828" s="73" t="s">
        <v>3496</v>
      </c>
      <c r="C1828" s="66" t="s">
        <v>3497</v>
      </c>
      <c r="D1828" s="67">
        <v>0.1739</v>
      </c>
      <c r="E1828" s="68"/>
      <c r="F1828" s="69">
        <v>0.6</v>
      </c>
      <c r="G1828" s="70"/>
      <c r="H1828" s="71">
        <v>0.4</v>
      </c>
    </row>
    <row r="1829" spans="1:8">
      <c r="A1829" s="64"/>
      <c r="B1829" s="73" t="s">
        <v>3498</v>
      </c>
      <c r="C1829" s="66" t="s">
        <v>3499</v>
      </c>
      <c r="D1829" s="67">
        <v>0.1739</v>
      </c>
      <c r="E1829" s="68"/>
      <c r="F1829" s="69">
        <v>0.7</v>
      </c>
      <c r="G1829" s="70"/>
      <c r="H1829" s="71">
        <v>0.4</v>
      </c>
    </row>
    <row r="1830" spans="1:8">
      <c r="A1830" s="64"/>
      <c r="B1830" s="73" t="s">
        <v>3500</v>
      </c>
      <c r="C1830" s="66" t="s">
        <v>3501</v>
      </c>
      <c r="D1830" s="67">
        <v>0.3478</v>
      </c>
      <c r="E1830" s="68"/>
      <c r="F1830" s="69">
        <v>1.3</v>
      </c>
      <c r="G1830" s="70"/>
      <c r="H1830" s="71">
        <v>0.8</v>
      </c>
    </row>
    <row r="1831" spans="1:8">
      <c r="A1831" s="64"/>
      <c r="B1831" s="103" t="s">
        <v>3502</v>
      </c>
      <c r="C1831" s="104" t="s">
        <v>3503</v>
      </c>
      <c r="D1831" s="67">
        <v>0.0435</v>
      </c>
      <c r="E1831" s="68"/>
      <c r="F1831" s="105">
        <v>0.25</v>
      </c>
      <c r="G1831" s="106"/>
      <c r="H1831" s="107">
        <v>0.1</v>
      </c>
    </row>
    <row r="1832" spans="1:8">
      <c r="A1832" s="64"/>
      <c r="B1832" s="73" t="s">
        <v>3504</v>
      </c>
      <c r="C1832" s="66" t="s">
        <v>3505</v>
      </c>
      <c r="D1832" s="67">
        <v>0.0435</v>
      </c>
      <c r="E1832" s="68"/>
      <c r="F1832" s="69">
        <v>0.3</v>
      </c>
      <c r="G1832" s="70"/>
      <c r="H1832" s="71">
        <v>0.2</v>
      </c>
    </row>
    <row r="1833" spans="1:8">
      <c r="A1833" s="64"/>
      <c r="B1833" s="73" t="s">
        <v>3506</v>
      </c>
      <c r="C1833" s="66" t="s">
        <v>3507</v>
      </c>
      <c r="D1833" s="67">
        <v>0.087</v>
      </c>
      <c r="E1833" s="68"/>
      <c r="F1833" s="69">
        <v>0.25</v>
      </c>
      <c r="G1833" s="70"/>
      <c r="H1833" s="71">
        <v>0.2</v>
      </c>
    </row>
    <row r="1834" spans="1:8">
      <c r="A1834" s="64"/>
      <c r="B1834" s="73" t="s">
        <v>3508</v>
      </c>
      <c r="C1834" s="66" t="s">
        <v>3509</v>
      </c>
      <c r="D1834" s="67">
        <v>0.087</v>
      </c>
      <c r="E1834" s="68"/>
      <c r="F1834" s="69">
        <v>0.3</v>
      </c>
      <c r="G1834" s="70"/>
      <c r="H1834" s="71">
        <v>0.2</v>
      </c>
    </row>
    <row r="1835" spans="1:8">
      <c r="A1835" s="64"/>
      <c r="B1835" s="73" t="s">
        <v>3510</v>
      </c>
      <c r="C1835" s="66" t="s">
        <v>3511</v>
      </c>
      <c r="D1835" s="67">
        <v>3.0435</v>
      </c>
      <c r="E1835" s="68"/>
      <c r="F1835" s="79">
        <v>13</v>
      </c>
      <c r="G1835" s="80"/>
      <c r="H1835" s="71">
        <v>7</v>
      </c>
    </row>
    <row r="1836" spans="1:8">
      <c r="A1836" s="64"/>
      <c r="B1836" s="103" t="s">
        <v>3512</v>
      </c>
      <c r="C1836" s="104" t="s">
        <v>3513</v>
      </c>
      <c r="D1836" s="67">
        <v>0.4348</v>
      </c>
      <c r="E1836" s="68"/>
      <c r="F1836" s="105">
        <v>1.5</v>
      </c>
      <c r="G1836" s="106"/>
      <c r="H1836" s="107">
        <v>1</v>
      </c>
    </row>
    <row r="1837" ht="25.5" spans="1:8">
      <c r="A1837" s="64"/>
      <c r="B1837" s="73" t="s">
        <v>3514</v>
      </c>
      <c r="C1837" s="66" t="s">
        <v>3515</v>
      </c>
      <c r="D1837" s="67">
        <v>1.8696</v>
      </c>
      <c r="E1837" s="68"/>
      <c r="F1837" s="69">
        <v>6.8</v>
      </c>
      <c r="G1837" s="70"/>
      <c r="H1837" s="71">
        <v>4.3</v>
      </c>
    </row>
    <row r="1838" spans="1:8">
      <c r="A1838" s="64"/>
      <c r="B1838" s="73" t="s">
        <v>3516</v>
      </c>
      <c r="C1838" s="66" t="s">
        <v>3517</v>
      </c>
      <c r="D1838" s="67">
        <v>3.8261</v>
      </c>
      <c r="E1838" s="68"/>
      <c r="F1838" s="79">
        <v>14</v>
      </c>
      <c r="G1838" s="80"/>
      <c r="H1838" s="71">
        <v>8.8</v>
      </c>
    </row>
    <row r="1839" spans="1:8">
      <c r="A1839" s="64"/>
      <c r="B1839" s="103" t="s">
        <v>3518</v>
      </c>
      <c r="C1839" s="104" t="s">
        <v>3519</v>
      </c>
      <c r="D1839" s="67">
        <v>8.3043</v>
      </c>
      <c r="E1839" s="68"/>
      <c r="F1839" s="126">
        <v>30</v>
      </c>
      <c r="G1839" s="127"/>
      <c r="H1839" s="107">
        <v>19.1</v>
      </c>
    </row>
    <row r="1840" spans="1:8">
      <c r="A1840" s="64"/>
      <c r="B1840" s="73" t="s">
        <v>3520</v>
      </c>
      <c r="C1840" s="66" t="s">
        <v>3521</v>
      </c>
      <c r="D1840" s="67">
        <v>3.087</v>
      </c>
      <c r="E1840" s="68"/>
      <c r="F1840" s="79">
        <v>11.3</v>
      </c>
      <c r="G1840" s="80"/>
      <c r="H1840" s="71">
        <v>7.1</v>
      </c>
    </row>
    <row r="1841" spans="1:8">
      <c r="A1841" s="64"/>
      <c r="B1841" s="73" t="s">
        <v>3522</v>
      </c>
      <c r="C1841" s="66" t="s">
        <v>3523</v>
      </c>
      <c r="D1841" s="67">
        <v>3.3043</v>
      </c>
      <c r="E1841" s="68"/>
      <c r="F1841" s="79">
        <v>12.5</v>
      </c>
      <c r="G1841" s="80"/>
      <c r="H1841" s="71">
        <v>7.6</v>
      </c>
    </row>
    <row r="1842" spans="1:8">
      <c r="A1842" s="64"/>
      <c r="B1842" s="103" t="s">
        <v>3524</v>
      </c>
      <c r="C1842" s="104" t="s">
        <v>3525</v>
      </c>
      <c r="D1842" s="67">
        <v>1.8696</v>
      </c>
      <c r="E1842" s="68"/>
      <c r="F1842" s="105">
        <v>6.9</v>
      </c>
      <c r="G1842" s="106"/>
      <c r="H1842" s="107">
        <v>4.3</v>
      </c>
    </row>
    <row r="1843" spans="1:8">
      <c r="A1843" s="64"/>
      <c r="B1843" s="103" t="s">
        <v>3526</v>
      </c>
      <c r="C1843" s="104" t="s">
        <v>3527</v>
      </c>
      <c r="D1843" s="67">
        <v>0.2174</v>
      </c>
      <c r="E1843" s="68"/>
      <c r="F1843" s="105">
        <v>1</v>
      </c>
      <c r="G1843" s="106"/>
      <c r="H1843" s="107">
        <v>0.5</v>
      </c>
    </row>
    <row r="1844" spans="1:8">
      <c r="A1844" s="64"/>
      <c r="B1844" s="103" t="s">
        <v>3528</v>
      </c>
      <c r="C1844" s="104" t="s">
        <v>3529</v>
      </c>
      <c r="D1844" s="67">
        <v>0.2174</v>
      </c>
      <c r="E1844" s="68"/>
      <c r="F1844" s="105">
        <v>1</v>
      </c>
      <c r="G1844" s="106"/>
      <c r="H1844" s="107">
        <v>0.5</v>
      </c>
    </row>
    <row r="1845" spans="1:8">
      <c r="A1845" s="64"/>
      <c r="B1845" s="73" t="s">
        <v>3530</v>
      </c>
      <c r="C1845" s="66" t="s">
        <v>3531</v>
      </c>
      <c r="D1845" s="67">
        <v>0.2174</v>
      </c>
      <c r="E1845" s="68"/>
      <c r="F1845" s="69">
        <v>1</v>
      </c>
      <c r="G1845" s="70"/>
      <c r="H1845" s="71">
        <v>0.5</v>
      </c>
    </row>
    <row r="1846" spans="1:8">
      <c r="A1846" s="64"/>
      <c r="B1846" s="73" t="s">
        <v>3532</v>
      </c>
      <c r="C1846" s="66" t="s">
        <v>3533</v>
      </c>
      <c r="D1846" s="67">
        <v>0.2174</v>
      </c>
      <c r="E1846" s="68"/>
      <c r="F1846" s="69">
        <v>1</v>
      </c>
      <c r="G1846" s="70"/>
      <c r="H1846" s="71">
        <v>0.5</v>
      </c>
    </row>
    <row r="1847" spans="1:8">
      <c r="A1847" s="64"/>
      <c r="B1847" s="73" t="s">
        <v>3534</v>
      </c>
      <c r="C1847" s="66" t="s">
        <v>3535</v>
      </c>
      <c r="D1847" s="67">
        <v>0.2174</v>
      </c>
      <c r="E1847" s="68"/>
      <c r="F1847" s="69">
        <v>1</v>
      </c>
      <c r="G1847" s="70"/>
      <c r="H1847" s="71">
        <v>0.5</v>
      </c>
    </row>
    <row r="1848" spans="1:8">
      <c r="A1848" s="64"/>
      <c r="B1848" s="73" t="s">
        <v>3536</v>
      </c>
      <c r="C1848" s="66" t="s">
        <v>3537</v>
      </c>
      <c r="D1848" s="67">
        <v>0.2174</v>
      </c>
      <c r="E1848" s="68"/>
      <c r="F1848" s="69">
        <v>1</v>
      </c>
      <c r="G1848" s="70"/>
      <c r="H1848" s="71">
        <v>0.5</v>
      </c>
    </row>
    <row r="1849" spans="1:8">
      <c r="A1849" s="64"/>
      <c r="B1849" s="103" t="s">
        <v>3538</v>
      </c>
      <c r="C1849" s="104" t="s">
        <v>3539</v>
      </c>
      <c r="D1849" s="67">
        <v>0.2174</v>
      </c>
      <c r="E1849" s="68"/>
      <c r="F1849" s="105">
        <v>1</v>
      </c>
      <c r="G1849" s="106"/>
      <c r="H1849" s="107">
        <v>0.5</v>
      </c>
    </row>
    <row r="1850" ht="25.5" spans="1:8">
      <c r="A1850" s="64"/>
      <c r="B1850" s="73" t="s">
        <v>3540</v>
      </c>
      <c r="C1850" s="66" t="s">
        <v>3541</v>
      </c>
      <c r="D1850" s="67">
        <v>0.2174</v>
      </c>
      <c r="E1850" s="68"/>
      <c r="F1850" s="69">
        <v>1</v>
      </c>
      <c r="G1850" s="70"/>
      <c r="H1850" s="71">
        <v>0.5</v>
      </c>
    </row>
    <row r="1851" spans="1:8">
      <c r="A1851" s="64"/>
      <c r="B1851" s="73" t="s">
        <v>3542</v>
      </c>
      <c r="C1851" s="66" t="s">
        <v>3543</v>
      </c>
      <c r="D1851" s="67">
        <v>0.2174</v>
      </c>
      <c r="E1851" s="68"/>
      <c r="F1851" s="69">
        <v>1</v>
      </c>
      <c r="G1851" s="70"/>
      <c r="H1851" s="71">
        <v>0.5</v>
      </c>
    </row>
    <row r="1852" spans="1:8">
      <c r="A1852" s="64"/>
      <c r="B1852" s="73" t="s">
        <v>3544</v>
      </c>
      <c r="C1852" s="66" t="s">
        <v>3545</v>
      </c>
      <c r="D1852" s="67">
        <v>0.2174</v>
      </c>
      <c r="E1852" s="68"/>
      <c r="F1852" s="69">
        <v>1</v>
      </c>
      <c r="G1852" s="70"/>
      <c r="H1852" s="71">
        <v>0.5</v>
      </c>
    </row>
    <row r="1853" spans="1:8">
      <c r="A1853" s="64"/>
      <c r="B1853" s="73" t="s">
        <v>3546</v>
      </c>
      <c r="C1853" s="66" t="s">
        <v>3547</v>
      </c>
      <c r="D1853" s="67">
        <v>0.2174</v>
      </c>
      <c r="E1853" s="68"/>
      <c r="F1853" s="69">
        <v>1</v>
      </c>
      <c r="G1853" s="70"/>
      <c r="H1853" s="71">
        <v>0.5</v>
      </c>
    </row>
    <row r="1854" spans="1:8">
      <c r="A1854" s="64"/>
      <c r="B1854" s="103" t="s">
        <v>3548</v>
      </c>
      <c r="C1854" s="104" t="s">
        <v>3549</v>
      </c>
      <c r="D1854" s="67">
        <v>0.2174</v>
      </c>
      <c r="E1854" s="68"/>
      <c r="F1854" s="105">
        <v>1</v>
      </c>
      <c r="G1854" s="106"/>
      <c r="H1854" s="107">
        <v>0.5</v>
      </c>
    </row>
    <row r="1855" spans="1:8">
      <c r="A1855" s="64"/>
      <c r="B1855" s="73" t="s">
        <v>3550</v>
      </c>
      <c r="C1855" s="66" t="s">
        <v>3551</v>
      </c>
      <c r="D1855" s="67">
        <v>0.2174</v>
      </c>
      <c r="E1855" s="68"/>
      <c r="F1855" s="69">
        <v>1</v>
      </c>
      <c r="G1855" s="70"/>
      <c r="H1855" s="71">
        <v>0.5</v>
      </c>
    </row>
    <row r="1856" spans="1:8">
      <c r="A1856" s="64"/>
      <c r="B1856" s="103" t="s">
        <v>3552</v>
      </c>
      <c r="C1856" s="104" t="s">
        <v>3553</v>
      </c>
      <c r="D1856" s="67">
        <v>0.2174</v>
      </c>
      <c r="E1856" s="68"/>
      <c r="F1856" s="105">
        <v>1</v>
      </c>
      <c r="G1856" s="106"/>
      <c r="H1856" s="107">
        <v>0.5</v>
      </c>
    </row>
    <row r="1857" spans="1:8">
      <c r="A1857" s="64"/>
      <c r="B1857" s="103" t="s">
        <v>3554</v>
      </c>
      <c r="C1857" s="104" t="s">
        <v>3555</v>
      </c>
      <c r="D1857" s="67">
        <v>0.2174</v>
      </c>
      <c r="E1857" s="68"/>
      <c r="F1857" s="105">
        <v>1</v>
      </c>
      <c r="G1857" s="106"/>
      <c r="H1857" s="107">
        <v>0.5</v>
      </c>
    </row>
    <row r="1858" spans="1:8">
      <c r="A1858" s="64"/>
      <c r="B1858" s="103" t="s">
        <v>3556</v>
      </c>
      <c r="C1858" s="104" t="s">
        <v>3557</v>
      </c>
      <c r="D1858" s="67">
        <v>0.2174</v>
      </c>
      <c r="E1858" s="68"/>
      <c r="F1858" s="105">
        <v>1</v>
      </c>
      <c r="G1858" s="106"/>
      <c r="H1858" s="107">
        <v>0.5</v>
      </c>
    </row>
    <row r="1859" spans="1:8">
      <c r="A1859" s="64"/>
      <c r="B1859" s="73" t="s">
        <v>3558</v>
      </c>
      <c r="C1859" s="66" t="s">
        <v>3559</v>
      </c>
      <c r="D1859" s="67">
        <v>0.2174</v>
      </c>
      <c r="E1859" s="68"/>
      <c r="F1859" s="69">
        <v>1</v>
      </c>
      <c r="G1859" s="70"/>
      <c r="H1859" s="71">
        <v>0.5</v>
      </c>
    </row>
    <row r="1860" spans="1:8">
      <c r="A1860" s="64"/>
      <c r="B1860" s="103" t="s">
        <v>3560</v>
      </c>
      <c r="C1860" s="104" t="s">
        <v>3561</v>
      </c>
      <c r="D1860" s="67">
        <v>0.2174</v>
      </c>
      <c r="E1860" s="68"/>
      <c r="F1860" s="105">
        <v>1</v>
      </c>
      <c r="G1860" s="106"/>
      <c r="H1860" s="107">
        <v>0.5</v>
      </c>
    </row>
    <row r="1861" spans="1:8">
      <c r="A1861" s="74"/>
      <c r="B1861" s="103" t="s">
        <v>3562</v>
      </c>
      <c r="C1861" s="104" t="s">
        <v>3563</v>
      </c>
      <c r="D1861" s="67">
        <v>0.2174</v>
      </c>
      <c r="E1861" s="68"/>
      <c r="F1861" s="105">
        <v>1</v>
      </c>
      <c r="G1861" s="106"/>
      <c r="H1861" s="107">
        <v>0.5</v>
      </c>
    </row>
    <row r="1862" spans="1:8">
      <c r="A1862" s="75"/>
      <c r="B1862" s="73" t="s">
        <v>3564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</row>
    <row r="1863" spans="1:8">
      <c r="A1863" s="64"/>
      <c r="B1863" s="73" t="s">
        <v>3565</v>
      </c>
      <c r="C1863" s="66" t="s">
        <v>3566</v>
      </c>
      <c r="D1863" s="67">
        <v>0.2174</v>
      </c>
      <c r="E1863" s="68"/>
      <c r="F1863" s="69">
        <v>1</v>
      </c>
      <c r="G1863" s="70"/>
      <c r="H1863" s="71">
        <v>0.5</v>
      </c>
    </row>
    <row r="1864" spans="1:8">
      <c r="A1864" s="64"/>
      <c r="B1864" s="103" t="s">
        <v>3567</v>
      </c>
      <c r="C1864" s="104" t="s">
        <v>3568</v>
      </c>
      <c r="D1864" s="67">
        <v>0.2174</v>
      </c>
      <c r="E1864" s="68"/>
      <c r="F1864" s="105">
        <v>1</v>
      </c>
      <c r="G1864" s="106"/>
      <c r="H1864" s="107">
        <v>0.5</v>
      </c>
    </row>
    <row r="1865" spans="1:8">
      <c r="A1865" s="64"/>
      <c r="B1865" s="103" t="s">
        <v>3569</v>
      </c>
      <c r="C1865" s="104" t="s">
        <v>3570</v>
      </c>
      <c r="D1865" s="67">
        <v>0.2174</v>
      </c>
      <c r="E1865" s="68"/>
      <c r="F1865" s="105">
        <v>1</v>
      </c>
      <c r="G1865" s="106"/>
      <c r="H1865" s="107">
        <v>0.5</v>
      </c>
    </row>
    <row r="1866" spans="1:8">
      <c r="A1866" s="64"/>
      <c r="B1866" s="103" t="s">
        <v>3571</v>
      </c>
      <c r="C1866" s="104" t="s">
        <v>3572</v>
      </c>
      <c r="D1866" s="67">
        <v>0.2174</v>
      </c>
      <c r="E1866" s="68"/>
      <c r="F1866" s="105">
        <v>1</v>
      </c>
      <c r="G1866" s="106"/>
      <c r="H1866" s="107">
        <v>0.5</v>
      </c>
    </row>
    <row r="1867" spans="1:8">
      <c r="A1867" s="64"/>
      <c r="B1867" s="73" t="s">
        <v>3573</v>
      </c>
      <c r="C1867" s="66" t="s">
        <v>3574</v>
      </c>
      <c r="D1867" s="67">
        <v>0.1739</v>
      </c>
      <c r="E1867" s="68"/>
      <c r="F1867" s="69">
        <v>0.7</v>
      </c>
      <c r="G1867" s="70"/>
      <c r="H1867" s="71">
        <v>0.4</v>
      </c>
    </row>
    <row r="1868" spans="1:8">
      <c r="A1868" s="64"/>
      <c r="B1868" s="103" t="s">
        <v>3575</v>
      </c>
      <c r="C1868" s="104" t="s">
        <v>3576</v>
      </c>
      <c r="D1868" s="67">
        <v>0.4348</v>
      </c>
      <c r="E1868" s="68"/>
      <c r="F1868" s="105">
        <v>2</v>
      </c>
      <c r="G1868" s="106"/>
      <c r="H1868" s="107">
        <v>1</v>
      </c>
    </row>
    <row r="1869" spans="1:8">
      <c r="A1869" s="64"/>
      <c r="B1869" s="103" t="s">
        <v>3577</v>
      </c>
      <c r="C1869" s="104" t="s">
        <v>3578</v>
      </c>
      <c r="D1869" s="67">
        <v>0.3043</v>
      </c>
      <c r="E1869" s="68"/>
      <c r="F1869" s="105">
        <v>1.1</v>
      </c>
      <c r="G1869" s="106"/>
      <c r="H1869" s="107">
        <v>0.7</v>
      </c>
    </row>
    <row r="1870" spans="1:8">
      <c r="A1870" s="64"/>
      <c r="B1870" s="103" t="s">
        <v>3579</v>
      </c>
      <c r="C1870" s="104" t="s">
        <v>3580</v>
      </c>
      <c r="D1870" s="67">
        <v>0.8261</v>
      </c>
      <c r="E1870" s="68"/>
      <c r="F1870" s="105">
        <v>3</v>
      </c>
      <c r="G1870" s="106"/>
      <c r="H1870" s="107">
        <v>1.9</v>
      </c>
    </row>
    <row r="1871" spans="1:8">
      <c r="A1871" s="64"/>
      <c r="B1871" s="103" t="s">
        <v>3581</v>
      </c>
      <c r="C1871" s="104" t="s">
        <v>3582</v>
      </c>
      <c r="D1871" s="67">
        <v>0.4783</v>
      </c>
      <c r="E1871" s="68"/>
      <c r="F1871" s="105">
        <v>1.7</v>
      </c>
      <c r="G1871" s="106"/>
      <c r="H1871" s="107">
        <v>1.1</v>
      </c>
    </row>
    <row r="1872" spans="1:8">
      <c r="A1872" s="64"/>
      <c r="B1872" s="73" t="s">
        <v>3583</v>
      </c>
      <c r="C1872" s="66" t="s">
        <v>3584</v>
      </c>
      <c r="D1872" s="67">
        <v>0.1304</v>
      </c>
      <c r="E1872" s="68"/>
      <c r="F1872" s="69">
        <v>0.5</v>
      </c>
      <c r="G1872" s="70"/>
      <c r="H1872" s="71">
        <v>0.3</v>
      </c>
    </row>
    <row r="1873" spans="1:8">
      <c r="A1873" s="64"/>
      <c r="B1873" s="73" t="s">
        <v>3585</v>
      </c>
      <c r="C1873" s="66" t="s">
        <v>3586</v>
      </c>
      <c r="D1873" s="67">
        <v>0.5217</v>
      </c>
      <c r="E1873" s="68"/>
      <c r="F1873" s="69">
        <v>2</v>
      </c>
      <c r="G1873" s="70"/>
      <c r="H1873" s="71">
        <v>1.2</v>
      </c>
    </row>
    <row r="1874" spans="1:8">
      <c r="A1874" s="64"/>
      <c r="B1874" s="103" t="s">
        <v>3587</v>
      </c>
      <c r="C1874" s="104" t="s">
        <v>3588</v>
      </c>
      <c r="D1874" s="67">
        <v>0.6522</v>
      </c>
      <c r="E1874" s="68"/>
      <c r="F1874" s="105">
        <v>2.5</v>
      </c>
      <c r="G1874" s="106"/>
      <c r="H1874" s="107">
        <v>1.5</v>
      </c>
    </row>
    <row r="1875" spans="1:8">
      <c r="A1875" s="64"/>
      <c r="B1875" s="73" t="s">
        <v>3589</v>
      </c>
      <c r="C1875" s="66" t="s">
        <v>3590</v>
      </c>
      <c r="D1875" s="67">
        <v>0.4348</v>
      </c>
      <c r="E1875" s="68"/>
      <c r="F1875" s="69">
        <v>1.6</v>
      </c>
      <c r="G1875" s="70"/>
      <c r="H1875" s="71">
        <v>1</v>
      </c>
    </row>
    <row r="1876" spans="1:8">
      <c r="A1876" s="64"/>
      <c r="B1876" s="73" t="s">
        <v>3591</v>
      </c>
      <c r="C1876" s="66" t="s">
        <v>3592</v>
      </c>
      <c r="D1876" s="67">
        <v>0.5217</v>
      </c>
      <c r="E1876" s="68"/>
      <c r="F1876" s="69">
        <v>2</v>
      </c>
      <c r="G1876" s="70"/>
      <c r="H1876" s="71">
        <v>1.2</v>
      </c>
    </row>
    <row r="1877" spans="1:8">
      <c r="A1877" s="64"/>
      <c r="B1877" s="103" t="s">
        <v>3593</v>
      </c>
      <c r="C1877" s="104" t="s">
        <v>3594</v>
      </c>
      <c r="D1877" s="67">
        <v>0.4348</v>
      </c>
      <c r="E1877" s="68"/>
      <c r="F1877" s="105">
        <v>2</v>
      </c>
      <c r="G1877" s="106"/>
      <c r="H1877" s="107">
        <v>1</v>
      </c>
    </row>
    <row r="1878" spans="1:8">
      <c r="A1878" s="64"/>
      <c r="B1878" s="103" t="s">
        <v>3595</v>
      </c>
      <c r="C1878" s="104" t="s">
        <v>3596</v>
      </c>
      <c r="D1878" s="67">
        <v>0.3913</v>
      </c>
      <c r="E1878" s="68"/>
      <c r="F1878" s="105">
        <v>1.5</v>
      </c>
      <c r="G1878" s="106"/>
      <c r="H1878" s="107">
        <v>1</v>
      </c>
    </row>
    <row r="1879" spans="1:8">
      <c r="A1879" s="64"/>
      <c r="B1879" s="73" t="s">
        <v>3597</v>
      </c>
      <c r="C1879" s="66" t="s">
        <v>3598</v>
      </c>
      <c r="D1879" s="67">
        <v>1</v>
      </c>
      <c r="E1879" s="68"/>
      <c r="F1879" s="69">
        <v>4</v>
      </c>
      <c r="G1879" s="70"/>
      <c r="H1879" s="71">
        <v>2.3</v>
      </c>
    </row>
    <row r="1880" spans="1:8">
      <c r="A1880" s="64"/>
      <c r="B1880" s="73" t="s">
        <v>3599</v>
      </c>
      <c r="C1880" s="66" t="s">
        <v>3600</v>
      </c>
      <c r="D1880" s="67">
        <v>0.6522</v>
      </c>
      <c r="E1880" s="68"/>
      <c r="F1880" s="69">
        <v>2.5</v>
      </c>
      <c r="G1880" s="70"/>
      <c r="H1880" s="71">
        <v>1.5</v>
      </c>
    </row>
    <row r="1881" spans="1:8">
      <c r="A1881" s="64"/>
      <c r="B1881" s="103" t="s">
        <v>3601</v>
      </c>
      <c r="C1881" s="104" t="s">
        <v>3602</v>
      </c>
      <c r="D1881" s="67">
        <v>0.1739</v>
      </c>
      <c r="E1881" s="68"/>
      <c r="F1881" s="105">
        <v>0.5</v>
      </c>
      <c r="G1881" s="106"/>
      <c r="H1881" s="107">
        <v>0.4</v>
      </c>
    </row>
    <row r="1882" spans="1:8">
      <c r="A1882" s="64"/>
      <c r="B1882" s="73" t="s">
        <v>3603</v>
      </c>
      <c r="C1882" s="66" t="s">
        <v>3604</v>
      </c>
      <c r="D1882" s="67">
        <v>0.1739</v>
      </c>
      <c r="E1882" s="68"/>
      <c r="F1882" s="69">
        <v>0.5</v>
      </c>
      <c r="G1882" s="70"/>
      <c r="H1882" s="71">
        <v>0.4</v>
      </c>
    </row>
    <row r="1883" spans="1:8">
      <c r="A1883" s="64"/>
      <c r="B1883" s="103" t="s">
        <v>3605</v>
      </c>
      <c r="C1883" s="104" t="s">
        <v>3606</v>
      </c>
      <c r="D1883" s="67">
        <v>0.1739</v>
      </c>
      <c r="E1883" s="68"/>
      <c r="F1883" s="105">
        <v>0.5</v>
      </c>
      <c r="G1883" s="106"/>
      <c r="H1883" s="107">
        <v>0.3</v>
      </c>
    </row>
    <row r="1884" spans="1:8">
      <c r="A1884" s="64"/>
      <c r="B1884" s="73" t="s">
        <v>3607</v>
      </c>
      <c r="C1884" s="66" t="s">
        <v>3608</v>
      </c>
      <c r="D1884" s="67">
        <v>0.2174</v>
      </c>
      <c r="E1884" s="68"/>
      <c r="F1884" s="69">
        <v>1</v>
      </c>
      <c r="G1884" s="70"/>
      <c r="H1884" s="71">
        <v>0.5</v>
      </c>
    </row>
    <row r="1885" spans="1:8">
      <c r="A1885" s="64"/>
      <c r="B1885" s="73" t="s">
        <v>3609</v>
      </c>
      <c r="C1885" s="66" t="s">
        <v>3610</v>
      </c>
      <c r="D1885" s="67">
        <v>0.2174</v>
      </c>
      <c r="E1885" s="68"/>
      <c r="F1885" s="69">
        <v>1</v>
      </c>
      <c r="G1885" s="70"/>
      <c r="H1885" s="71">
        <v>0.5</v>
      </c>
    </row>
    <row r="1886" spans="1:8">
      <c r="A1886" s="64"/>
      <c r="B1886" s="73" t="s">
        <v>3611</v>
      </c>
      <c r="C1886" s="66" t="s">
        <v>3612</v>
      </c>
      <c r="D1886" s="67">
        <v>0.2174</v>
      </c>
      <c r="E1886" s="68"/>
      <c r="F1886" s="69">
        <v>1</v>
      </c>
      <c r="G1886" s="70"/>
      <c r="H1886" s="71">
        <v>0.5</v>
      </c>
    </row>
    <row r="1887" spans="1:8">
      <c r="A1887" s="64"/>
      <c r="B1887" s="73" t="s">
        <v>3613</v>
      </c>
      <c r="C1887" s="66" t="s">
        <v>3614</v>
      </c>
      <c r="D1887" s="67">
        <v>0.2174</v>
      </c>
      <c r="E1887" s="68"/>
      <c r="F1887" s="69">
        <v>1</v>
      </c>
      <c r="G1887" s="70"/>
      <c r="H1887" s="71">
        <v>0.5</v>
      </c>
    </row>
    <row r="1888" spans="1:8">
      <c r="A1888" s="64"/>
      <c r="B1888" s="73" t="s">
        <v>3615</v>
      </c>
      <c r="C1888" s="66" t="s">
        <v>3616</v>
      </c>
      <c r="D1888" s="67">
        <v>0.2174</v>
      </c>
      <c r="E1888" s="68"/>
      <c r="F1888" s="69">
        <v>1</v>
      </c>
      <c r="G1888" s="70"/>
      <c r="H1888" s="71">
        <v>0.5</v>
      </c>
    </row>
    <row r="1889" spans="1:8">
      <c r="A1889" s="64"/>
      <c r="B1889" s="73" t="s">
        <v>3617</v>
      </c>
      <c r="C1889" s="66" t="s">
        <v>3618</v>
      </c>
      <c r="D1889" s="67">
        <v>0.2174</v>
      </c>
      <c r="E1889" s="68"/>
      <c r="F1889" s="69">
        <v>1</v>
      </c>
      <c r="G1889" s="70"/>
      <c r="H1889" s="71">
        <v>0.5</v>
      </c>
    </row>
    <row r="1890" spans="1:8">
      <c r="A1890" s="64"/>
      <c r="B1890" s="103" t="s">
        <v>3619</v>
      </c>
      <c r="C1890" s="104" t="s">
        <v>3620</v>
      </c>
      <c r="D1890" s="67">
        <v>0.2174</v>
      </c>
      <c r="E1890" s="68"/>
      <c r="F1890" s="105">
        <v>1</v>
      </c>
      <c r="G1890" s="106"/>
      <c r="H1890" s="107">
        <v>0.5</v>
      </c>
    </row>
    <row r="1891" ht="25.5" spans="1:8">
      <c r="A1891" s="64"/>
      <c r="B1891" s="73" t="s">
        <v>3621</v>
      </c>
      <c r="C1891" s="66" t="s">
        <v>3622</v>
      </c>
      <c r="D1891" s="67">
        <v>0.2174</v>
      </c>
      <c r="E1891" s="68"/>
      <c r="F1891" s="69">
        <v>1</v>
      </c>
      <c r="G1891" s="70"/>
      <c r="H1891" s="71">
        <v>0.5</v>
      </c>
    </row>
    <row r="1892" spans="1:8">
      <c r="A1892" s="64"/>
      <c r="B1892" s="73" t="s">
        <v>3623</v>
      </c>
      <c r="C1892" s="66" t="s">
        <v>3624</v>
      </c>
      <c r="D1892" s="67">
        <v>0.2174</v>
      </c>
      <c r="E1892" s="68"/>
      <c r="F1892" s="69">
        <v>1</v>
      </c>
      <c r="G1892" s="70"/>
      <c r="H1892" s="71">
        <v>0.5</v>
      </c>
    </row>
    <row r="1893" spans="1:8">
      <c r="A1893" s="64"/>
      <c r="B1893" s="73" t="s">
        <v>3625</v>
      </c>
      <c r="C1893" s="66" t="s">
        <v>3626</v>
      </c>
      <c r="D1893" s="67">
        <v>0.2174</v>
      </c>
      <c r="E1893" s="68"/>
      <c r="F1893" s="69">
        <v>1</v>
      </c>
      <c r="G1893" s="70"/>
      <c r="H1893" s="71">
        <v>0.5</v>
      </c>
    </row>
    <row r="1894" spans="1:8">
      <c r="A1894" s="64"/>
      <c r="B1894" s="73" t="s">
        <v>3627</v>
      </c>
      <c r="C1894" s="66" t="s">
        <v>3628</v>
      </c>
      <c r="D1894" s="67">
        <v>0.2174</v>
      </c>
      <c r="E1894" s="68"/>
      <c r="F1894" s="69">
        <v>1</v>
      </c>
      <c r="G1894" s="70"/>
      <c r="H1894" s="71">
        <v>0.5</v>
      </c>
    </row>
    <row r="1895" spans="1:8">
      <c r="A1895" s="64"/>
      <c r="B1895" s="73" t="s">
        <v>3629</v>
      </c>
      <c r="C1895" s="66" t="s">
        <v>3630</v>
      </c>
      <c r="D1895" s="67">
        <v>0.2174</v>
      </c>
      <c r="E1895" s="68"/>
      <c r="F1895" s="69">
        <v>1</v>
      </c>
      <c r="G1895" s="70"/>
      <c r="H1895" s="71">
        <v>0.5</v>
      </c>
    </row>
    <row r="1896" spans="1:8">
      <c r="A1896" s="64"/>
      <c r="B1896" s="73" t="s">
        <v>3631</v>
      </c>
      <c r="C1896" s="66" t="s">
        <v>3632</v>
      </c>
      <c r="D1896" s="67">
        <v>0.2174</v>
      </c>
      <c r="E1896" s="68"/>
      <c r="F1896" s="69">
        <v>1</v>
      </c>
      <c r="G1896" s="70"/>
      <c r="H1896" s="71">
        <v>0.5</v>
      </c>
    </row>
    <row r="1897" spans="1:8">
      <c r="A1897" s="64"/>
      <c r="B1897" s="103" t="s">
        <v>3633</v>
      </c>
      <c r="C1897" s="104" t="s">
        <v>3634</v>
      </c>
      <c r="D1897" s="67">
        <v>0.2174</v>
      </c>
      <c r="E1897" s="68"/>
      <c r="F1897" s="105">
        <v>1</v>
      </c>
      <c r="G1897" s="106"/>
      <c r="H1897" s="107">
        <v>0.5</v>
      </c>
    </row>
    <row r="1898" spans="1:8">
      <c r="A1898" s="64"/>
      <c r="B1898" s="73" t="s">
        <v>3635</v>
      </c>
      <c r="C1898" s="66" t="s">
        <v>3636</v>
      </c>
      <c r="D1898" s="67">
        <v>0.2174</v>
      </c>
      <c r="E1898" s="68"/>
      <c r="F1898" s="69">
        <v>1</v>
      </c>
      <c r="G1898" s="70"/>
      <c r="H1898" s="71">
        <v>0.5</v>
      </c>
    </row>
    <row r="1899" spans="1:8">
      <c r="A1899" s="64"/>
      <c r="B1899" s="103" t="s">
        <v>3637</v>
      </c>
      <c r="C1899" s="104" t="s">
        <v>3638</v>
      </c>
      <c r="D1899" s="67">
        <v>0.2174</v>
      </c>
      <c r="E1899" s="68"/>
      <c r="F1899" s="105">
        <v>1</v>
      </c>
      <c r="G1899" s="106"/>
      <c r="H1899" s="107">
        <v>0.5</v>
      </c>
    </row>
    <row r="1900" spans="1:8">
      <c r="A1900" s="64"/>
      <c r="B1900" s="103" t="s">
        <v>3639</v>
      </c>
      <c r="C1900" s="104" t="s">
        <v>3640</v>
      </c>
      <c r="D1900" s="67">
        <v>0.2174</v>
      </c>
      <c r="E1900" s="68"/>
      <c r="F1900" s="105">
        <v>1</v>
      </c>
      <c r="G1900" s="106"/>
      <c r="H1900" s="107">
        <v>0.5</v>
      </c>
    </row>
    <row r="1901" spans="1:8">
      <c r="A1901" s="64"/>
      <c r="B1901" s="73" t="s">
        <v>3641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</row>
    <row r="1902" spans="1:8">
      <c r="A1902" s="64"/>
      <c r="B1902" s="73" t="s">
        <v>3642</v>
      </c>
      <c r="C1902" s="66" t="s">
        <v>3643</v>
      </c>
      <c r="D1902" s="67">
        <v>0.2174</v>
      </c>
      <c r="E1902" s="68"/>
      <c r="F1902" s="69">
        <v>1</v>
      </c>
      <c r="G1902" s="70"/>
      <c r="H1902" s="71">
        <v>0.5</v>
      </c>
    </row>
    <row r="1903" spans="1:8">
      <c r="A1903" s="64"/>
      <c r="B1903" s="103" t="s">
        <v>3644</v>
      </c>
      <c r="C1903" s="104" t="s">
        <v>3645</v>
      </c>
      <c r="D1903" s="67">
        <v>0.2174</v>
      </c>
      <c r="E1903" s="68"/>
      <c r="F1903" s="105">
        <v>1</v>
      </c>
      <c r="G1903" s="106"/>
      <c r="H1903" s="107">
        <v>0.5</v>
      </c>
    </row>
    <row r="1904" spans="1:8">
      <c r="A1904" s="64"/>
      <c r="B1904" s="103" t="s">
        <v>3646</v>
      </c>
      <c r="C1904" s="104" t="s">
        <v>3647</v>
      </c>
      <c r="D1904" s="67">
        <v>0.2174</v>
      </c>
      <c r="E1904" s="68"/>
      <c r="F1904" s="105">
        <v>1</v>
      </c>
      <c r="G1904" s="106"/>
      <c r="H1904" s="107">
        <v>0.5</v>
      </c>
    </row>
    <row r="1905" spans="1:8">
      <c r="A1905" s="64"/>
      <c r="B1905" s="103" t="s">
        <v>3648</v>
      </c>
      <c r="C1905" s="104" t="s">
        <v>3649</v>
      </c>
      <c r="D1905" s="67">
        <v>0.2174</v>
      </c>
      <c r="E1905" s="68"/>
      <c r="F1905" s="105">
        <v>1</v>
      </c>
      <c r="G1905" s="106"/>
      <c r="H1905" s="107">
        <v>0.5</v>
      </c>
    </row>
    <row r="1906" spans="1:8">
      <c r="A1906" s="64"/>
      <c r="B1906" s="73" t="s">
        <v>3650</v>
      </c>
      <c r="C1906" s="66" t="s">
        <v>3651</v>
      </c>
      <c r="D1906" s="67">
        <v>0.2174</v>
      </c>
      <c r="E1906" s="68"/>
      <c r="F1906" s="69">
        <v>1</v>
      </c>
      <c r="G1906" s="70"/>
      <c r="H1906" s="71">
        <v>0.5</v>
      </c>
    </row>
    <row r="1907" spans="1:8">
      <c r="A1907" s="64"/>
      <c r="B1907" s="73" t="s">
        <v>3652</v>
      </c>
      <c r="C1907" s="66" t="s">
        <v>3653</v>
      </c>
      <c r="D1907" s="67">
        <v>0.2174</v>
      </c>
      <c r="E1907" s="68"/>
      <c r="F1907" s="69">
        <v>1</v>
      </c>
      <c r="G1907" s="70"/>
      <c r="H1907" s="71">
        <v>0.5</v>
      </c>
    </row>
    <row r="1908" ht="25.5" spans="1:8">
      <c r="A1908" s="64"/>
      <c r="B1908" s="73" t="s">
        <v>3654</v>
      </c>
      <c r="C1908" s="66" t="s">
        <v>3655</v>
      </c>
      <c r="D1908" s="67">
        <v>0.2174</v>
      </c>
      <c r="E1908" s="68"/>
      <c r="F1908" s="69">
        <v>1</v>
      </c>
      <c r="G1908" s="70"/>
      <c r="H1908" s="71">
        <v>0.5</v>
      </c>
    </row>
    <row r="1909" ht="25.5" spans="1:8">
      <c r="A1909" s="64"/>
      <c r="B1909" s="73" t="s">
        <v>3656</v>
      </c>
      <c r="C1909" s="66" t="s">
        <v>3657</v>
      </c>
      <c r="D1909" s="67">
        <v>0.2174</v>
      </c>
      <c r="E1909" s="68"/>
      <c r="F1909" s="69">
        <v>1</v>
      </c>
      <c r="G1909" s="70"/>
      <c r="H1909" s="71">
        <v>0.5</v>
      </c>
    </row>
    <row r="1910" spans="1:8">
      <c r="A1910" s="64"/>
      <c r="B1910" s="73" t="s">
        <v>3658</v>
      </c>
      <c r="C1910" s="66" t="s">
        <v>3659</v>
      </c>
      <c r="D1910" s="67">
        <v>0.2174</v>
      </c>
      <c r="E1910" s="68"/>
      <c r="F1910" s="69">
        <v>1</v>
      </c>
      <c r="G1910" s="70"/>
      <c r="H1910" s="71">
        <v>0.5</v>
      </c>
    </row>
    <row r="1911" ht="25.5" spans="1:8">
      <c r="A1911" s="64"/>
      <c r="B1911" s="73" t="s">
        <v>3660</v>
      </c>
      <c r="C1911" s="66" t="s">
        <v>3661</v>
      </c>
      <c r="D1911" s="67">
        <v>0.2174</v>
      </c>
      <c r="E1911" s="68"/>
      <c r="F1911" s="69">
        <v>1</v>
      </c>
      <c r="G1911" s="70"/>
      <c r="H1911" s="71">
        <v>0.5</v>
      </c>
    </row>
    <row r="1912" spans="1:8">
      <c r="A1912" s="64"/>
      <c r="B1912" s="73" t="s">
        <v>3662</v>
      </c>
      <c r="C1912" s="66" t="s">
        <v>3663</v>
      </c>
      <c r="D1912" s="67">
        <v>0.2174</v>
      </c>
      <c r="E1912" s="68"/>
      <c r="F1912" s="69">
        <v>1</v>
      </c>
      <c r="G1912" s="70"/>
      <c r="H1912" s="71">
        <v>0.5</v>
      </c>
    </row>
    <row r="1913" ht="25.5" spans="1:8">
      <c r="A1913" s="64"/>
      <c r="B1913" s="73" t="s">
        <v>3664</v>
      </c>
      <c r="C1913" s="66" t="s">
        <v>3665</v>
      </c>
      <c r="D1913" s="67">
        <v>0.2174</v>
      </c>
      <c r="E1913" s="68"/>
      <c r="F1913" s="69">
        <v>1</v>
      </c>
      <c r="G1913" s="70"/>
      <c r="H1913" s="71">
        <v>0.5</v>
      </c>
    </row>
    <row r="1914" spans="1:8">
      <c r="A1914" s="64"/>
      <c r="B1914" s="73" t="s">
        <v>3666</v>
      </c>
      <c r="C1914" s="66" t="s">
        <v>3667</v>
      </c>
      <c r="D1914" s="67">
        <v>0.2174</v>
      </c>
      <c r="E1914" s="68"/>
      <c r="F1914" s="69">
        <v>1</v>
      </c>
      <c r="G1914" s="70"/>
      <c r="H1914" s="71">
        <v>0.5</v>
      </c>
    </row>
    <row r="1915" spans="1:8">
      <c r="A1915" s="64"/>
      <c r="B1915" s="103" t="s">
        <v>3668</v>
      </c>
      <c r="C1915" s="104" t="s">
        <v>3669</v>
      </c>
      <c r="D1915" s="67">
        <v>0.2174</v>
      </c>
      <c r="E1915" s="68"/>
      <c r="F1915" s="105">
        <v>1</v>
      </c>
      <c r="G1915" s="106"/>
      <c r="H1915" s="107">
        <v>0.5</v>
      </c>
    </row>
    <row r="1916" spans="1:8">
      <c r="A1916" s="64"/>
      <c r="B1916" s="73" t="s">
        <v>3670</v>
      </c>
      <c r="C1916" s="66" t="s">
        <v>3671</v>
      </c>
      <c r="D1916" s="67">
        <v>0.2174</v>
      </c>
      <c r="E1916" s="68"/>
      <c r="F1916" s="69">
        <v>1</v>
      </c>
      <c r="G1916" s="70"/>
      <c r="H1916" s="71">
        <v>0.5</v>
      </c>
    </row>
    <row r="1917" spans="1:8">
      <c r="A1917" s="64"/>
      <c r="B1917" s="103" t="s">
        <v>3672</v>
      </c>
      <c r="C1917" s="104" t="s">
        <v>3673</v>
      </c>
      <c r="D1917" s="67">
        <v>0.2174</v>
      </c>
      <c r="E1917" s="68"/>
      <c r="F1917" s="105">
        <v>1</v>
      </c>
      <c r="G1917" s="106"/>
      <c r="H1917" s="107">
        <v>0.5</v>
      </c>
    </row>
    <row r="1918" spans="1:8">
      <c r="A1918" s="64"/>
      <c r="B1918" s="73" t="s">
        <v>3674</v>
      </c>
      <c r="C1918" s="66" t="s">
        <v>3675</v>
      </c>
      <c r="D1918" s="67">
        <v>0.2174</v>
      </c>
      <c r="E1918" s="68"/>
      <c r="F1918" s="69">
        <v>1</v>
      </c>
      <c r="G1918" s="70"/>
      <c r="H1918" s="71">
        <v>0.5</v>
      </c>
    </row>
    <row r="1919" ht="25.5" spans="1:8">
      <c r="A1919" s="64"/>
      <c r="B1919" s="73" t="s">
        <v>3676</v>
      </c>
      <c r="C1919" s="66" t="s">
        <v>3677</v>
      </c>
      <c r="D1919" s="67">
        <v>0.2174</v>
      </c>
      <c r="E1919" s="68"/>
      <c r="F1919" s="69">
        <v>1</v>
      </c>
      <c r="G1919" s="70"/>
      <c r="H1919" s="71">
        <v>0.5</v>
      </c>
    </row>
    <row r="1920" spans="1:8">
      <c r="A1920" s="64"/>
      <c r="B1920" s="73" t="s">
        <v>3678</v>
      </c>
      <c r="C1920" s="66" t="s">
        <v>3679</v>
      </c>
      <c r="D1920" s="67">
        <v>0.2174</v>
      </c>
      <c r="E1920" s="68"/>
      <c r="F1920" s="69">
        <v>1</v>
      </c>
      <c r="G1920" s="70"/>
      <c r="H1920" s="71">
        <v>0.5</v>
      </c>
    </row>
    <row r="1921" ht="25.5" spans="1:8">
      <c r="A1921" s="64"/>
      <c r="B1921" s="73" t="s">
        <v>3680</v>
      </c>
      <c r="C1921" s="66" t="s">
        <v>3681</v>
      </c>
      <c r="D1921" s="67">
        <v>0.913</v>
      </c>
      <c r="E1921" s="68"/>
      <c r="F1921" s="69">
        <v>3.5</v>
      </c>
      <c r="G1921" s="70"/>
      <c r="H1921" s="71">
        <v>2.1</v>
      </c>
    </row>
    <row r="1922" spans="1:8">
      <c r="A1922" s="64"/>
      <c r="B1922" s="73" t="s">
        <v>3682</v>
      </c>
      <c r="C1922" s="66" t="s">
        <v>3683</v>
      </c>
      <c r="D1922" s="67">
        <v>0.2174</v>
      </c>
      <c r="E1922" s="68"/>
      <c r="F1922" s="69">
        <v>1</v>
      </c>
      <c r="G1922" s="70"/>
      <c r="H1922" s="71">
        <v>0.5</v>
      </c>
    </row>
    <row r="1923" spans="1:8">
      <c r="A1923" s="64"/>
      <c r="B1923" s="73" t="s">
        <v>3684</v>
      </c>
      <c r="C1923" s="66" t="s">
        <v>3685</v>
      </c>
      <c r="D1923" s="67">
        <v>0.2174</v>
      </c>
      <c r="E1923" s="68"/>
      <c r="F1923" s="69">
        <v>1</v>
      </c>
      <c r="G1923" s="70"/>
      <c r="H1923" s="71">
        <v>0.5</v>
      </c>
    </row>
    <row r="1924" spans="1:8">
      <c r="A1924" s="64"/>
      <c r="B1924" s="73" t="s">
        <v>3686</v>
      </c>
      <c r="C1924" s="66" t="s">
        <v>3687</v>
      </c>
      <c r="D1924" s="67">
        <v>0.2174</v>
      </c>
      <c r="E1924" s="68"/>
      <c r="F1924" s="69">
        <v>1</v>
      </c>
      <c r="G1924" s="70"/>
      <c r="H1924" s="71">
        <v>0.5</v>
      </c>
    </row>
    <row r="1925" spans="1:8">
      <c r="A1925" s="64"/>
      <c r="B1925" s="73" t="s">
        <v>3688</v>
      </c>
      <c r="C1925" s="66" t="s">
        <v>3689</v>
      </c>
      <c r="D1925" s="67">
        <v>0.2174</v>
      </c>
      <c r="E1925" s="68"/>
      <c r="F1925" s="69">
        <v>1</v>
      </c>
      <c r="G1925" s="70"/>
      <c r="H1925" s="71">
        <v>0.5</v>
      </c>
    </row>
    <row r="1926" ht="25.5" spans="1:8">
      <c r="A1926" s="64"/>
      <c r="B1926" s="73" t="s">
        <v>3690</v>
      </c>
      <c r="C1926" s="66" t="s">
        <v>3691</v>
      </c>
      <c r="D1926" s="67">
        <v>0.2174</v>
      </c>
      <c r="E1926" s="68"/>
      <c r="F1926" s="69">
        <v>1</v>
      </c>
      <c r="G1926" s="70"/>
      <c r="H1926" s="71">
        <v>0.5</v>
      </c>
    </row>
    <row r="1927" spans="1:8">
      <c r="A1927" s="64"/>
      <c r="B1927" s="73" t="s">
        <v>3692</v>
      </c>
      <c r="C1927" s="66" t="s">
        <v>3693</v>
      </c>
      <c r="D1927" s="67">
        <v>0.2174</v>
      </c>
      <c r="E1927" s="68"/>
      <c r="F1927" s="69">
        <v>1</v>
      </c>
      <c r="G1927" s="70"/>
      <c r="H1927" s="71">
        <v>0.5</v>
      </c>
    </row>
    <row r="1928" ht="25.5" spans="1:8">
      <c r="A1928" s="64"/>
      <c r="B1928" s="73" t="s">
        <v>3694</v>
      </c>
      <c r="C1928" s="66" t="s">
        <v>3695</v>
      </c>
      <c r="D1928" s="67">
        <v>0.2174</v>
      </c>
      <c r="E1928" s="68"/>
      <c r="F1928" s="69">
        <v>1</v>
      </c>
      <c r="G1928" s="70"/>
      <c r="H1928" s="71">
        <v>0.5</v>
      </c>
    </row>
    <row r="1929" spans="1:8">
      <c r="A1929" s="64"/>
      <c r="B1929" s="73" t="s">
        <v>3696</v>
      </c>
      <c r="C1929" s="66" t="s">
        <v>3697</v>
      </c>
      <c r="D1929" s="67">
        <v>0.2174</v>
      </c>
      <c r="E1929" s="68"/>
      <c r="F1929" s="69">
        <v>1</v>
      </c>
      <c r="G1929" s="70"/>
      <c r="H1929" s="71">
        <v>0.5</v>
      </c>
    </row>
    <row r="1930" spans="1:8">
      <c r="A1930" s="64"/>
      <c r="B1930" s="73" t="s">
        <v>3698</v>
      </c>
      <c r="C1930" s="66" t="s">
        <v>3699</v>
      </c>
      <c r="D1930" s="67">
        <v>0.2174</v>
      </c>
      <c r="E1930" s="68"/>
      <c r="F1930" s="69">
        <v>1</v>
      </c>
      <c r="G1930" s="70"/>
      <c r="H1930" s="71">
        <v>0.5</v>
      </c>
    </row>
    <row r="1931" spans="1:8">
      <c r="A1931" s="64"/>
      <c r="B1931" s="73" t="s">
        <v>3700</v>
      </c>
      <c r="C1931" s="66" t="s">
        <v>3701</v>
      </c>
      <c r="D1931" s="67">
        <v>0.2174</v>
      </c>
      <c r="E1931" s="68"/>
      <c r="F1931" s="69">
        <v>1</v>
      </c>
      <c r="G1931" s="70"/>
      <c r="H1931" s="71">
        <v>0.5</v>
      </c>
    </row>
    <row r="1932" spans="1:8">
      <c r="A1932" s="64"/>
      <c r="B1932" s="73" t="s">
        <v>3702</v>
      </c>
      <c r="C1932" s="66" t="s">
        <v>3703</v>
      </c>
      <c r="D1932" s="67">
        <v>0.2174</v>
      </c>
      <c r="E1932" s="68"/>
      <c r="F1932" s="69">
        <v>1</v>
      </c>
      <c r="G1932" s="70"/>
      <c r="H1932" s="71">
        <v>0.5</v>
      </c>
    </row>
    <row r="1933" ht="25.5" spans="1:8">
      <c r="A1933" s="64"/>
      <c r="B1933" s="73" t="s">
        <v>3704</v>
      </c>
      <c r="C1933" s="66" t="s">
        <v>3705</v>
      </c>
      <c r="D1933" s="67">
        <v>0.2174</v>
      </c>
      <c r="E1933" s="68"/>
      <c r="F1933" s="69">
        <v>1</v>
      </c>
      <c r="G1933" s="70"/>
      <c r="H1933" s="71">
        <v>0.5</v>
      </c>
    </row>
    <row r="1934" spans="1:8">
      <c r="A1934" s="64"/>
      <c r="B1934" s="73" t="s">
        <v>3706</v>
      </c>
      <c r="C1934" s="66" t="s">
        <v>3707</v>
      </c>
      <c r="D1934" s="67">
        <v>0.2174</v>
      </c>
      <c r="E1934" s="68"/>
      <c r="F1934" s="69">
        <v>1</v>
      </c>
      <c r="G1934" s="70"/>
      <c r="H1934" s="71">
        <v>0.5</v>
      </c>
    </row>
    <row r="1935" spans="1:8">
      <c r="A1935" s="64"/>
      <c r="B1935" s="73" t="s">
        <v>3708</v>
      </c>
      <c r="C1935" s="66" t="s">
        <v>3709</v>
      </c>
      <c r="D1935" s="67">
        <v>0.2174</v>
      </c>
      <c r="E1935" s="68"/>
      <c r="F1935" s="69">
        <v>1</v>
      </c>
      <c r="G1935" s="70"/>
      <c r="H1935" s="71">
        <v>0.5</v>
      </c>
    </row>
    <row r="1936" spans="1:8">
      <c r="A1936" s="64"/>
      <c r="B1936" s="73" t="s">
        <v>3710</v>
      </c>
      <c r="C1936" s="66" t="s">
        <v>3711</v>
      </c>
      <c r="D1936" s="67">
        <v>0.2174</v>
      </c>
      <c r="E1936" s="68"/>
      <c r="F1936" s="69">
        <v>1</v>
      </c>
      <c r="G1936" s="70"/>
      <c r="H1936" s="71">
        <v>0.5</v>
      </c>
    </row>
    <row r="1937" spans="1:8">
      <c r="A1937" s="64"/>
      <c r="B1937" s="73" t="s">
        <v>3712</v>
      </c>
      <c r="C1937" s="66" t="s">
        <v>3713</v>
      </c>
      <c r="D1937" s="67">
        <v>0.2174</v>
      </c>
      <c r="E1937" s="68"/>
      <c r="F1937" s="69">
        <v>1</v>
      </c>
      <c r="G1937" s="70"/>
      <c r="H1937" s="71">
        <v>0.5</v>
      </c>
    </row>
    <row r="1938" spans="1:8">
      <c r="A1938" s="64"/>
      <c r="B1938" s="73" t="s">
        <v>3714</v>
      </c>
      <c r="C1938" s="66" t="s">
        <v>3715</v>
      </c>
      <c r="D1938" s="67">
        <v>0.2174</v>
      </c>
      <c r="E1938" s="68"/>
      <c r="F1938" s="69">
        <v>1</v>
      </c>
      <c r="G1938" s="70"/>
      <c r="H1938" s="71">
        <v>0.5</v>
      </c>
    </row>
    <row r="1939" spans="1:8">
      <c r="A1939" s="64"/>
      <c r="B1939" s="73" t="s">
        <v>3716</v>
      </c>
      <c r="C1939" s="66" t="s">
        <v>3717</v>
      </c>
      <c r="D1939" s="67">
        <v>0.2174</v>
      </c>
      <c r="E1939" s="68"/>
      <c r="F1939" s="69">
        <v>1</v>
      </c>
      <c r="G1939" s="70"/>
      <c r="H1939" s="71">
        <v>0.5</v>
      </c>
    </row>
    <row r="1940" spans="1:8">
      <c r="A1940" s="64"/>
      <c r="B1940" s="73" t="s">
        <v>3718</v>
      </c>
      <c r="C1940" s="66" t="s">
        <v>3719</v>
      </c>
      <c r="D1940" s="67">
        <v>0.2174</v>
      </c>
      <c r="E1940" s="68"/>
      <c r="F1940" s="69">
        <v>1</v>
      </c>
      <c r="G1940" s="70"/>
      <c r="H1940" s="71">
        <v>0.5</v>
      </c>
    </row>
    <row r="1941" spans="1:8">
      <c r="A1941" s="64"/>
      <c r="B1941" s="73" t="s">
        <v>3720</v>
      </c>
      <c r="C1941" s="66" t="s">
        <v>3721</v>
      </c>
      <c r="D1941" s="67">
        <v>0.2174</v>
      </c>
      <c r="E1941" s="68"/>
      <c r="F1941" s="69">
        <v>1</v>
      </c>
      <c r="G1941" s="70"/>
      <c r="H1941" s="71">
        <v>0.5</v>
      </c>
    </row>
    <row r="1942" ht="25.5" spans="1:8">
      <c r="A1942" s="64"/>
      <c r="B1942" s="73" t="s">
        <v>3722</v>
      </c>
      <c r="C1942" s="66" t="s">
        <v>3723</v>
      </c>
      <c r="D1942" s="67">
        <v>0.2174</v>
      </c>
      <c r="E1942" s="68"/>
      <c r="F1942" s="69">
        <v>1</v>
      </c>
      <c r="G1942" s="70"/>
      <c r="H1942" s="71">
        <v>0.5</v>
      </c>
    </row>
    <row r="1943" spans="1:8">
      <c r="A1943" s="64"/>
      <c r="B1943" s="73" t="s">
        <v>3724</v>
      </c>
      <c r="C1943" s="66" t="s">
        <v>3725</v>
      </c>
      <c r="D1943" s="67">
        <v>0.2174</v>
      </c>
      <c r="E1943" s="68"/>
      <c r="F1943" s="69">
        <v>1</v>
      </c>
      <c r="G1943" s="70"/>
      <c r="H1943" s="71">
        <v>0.5</v>
      </c>
    </row>
    <row r="1944" ht="25.5" spans="1:8">
      <c r="A1944" s="64"/>
      <c r="B1944" s="73" t="s">
        <v>3726</v>
      </c>
      <c r="C1944" s="66" t="s">
        <v>3727</v>
      </c>
      <c r="D1944" s="67">
        <v>0.2174</v>
      </c>
      <c r="E1944" s="68"/>
      <c r="F1944" s="69">
        <v>1</v>
      </c>
      <c r="G1944" s="70"/>
      <c r="H1944" s="71">
        <v>0.5</v>
      </c>
    </row>
    <row r="1945" spans="1:8">
      <c r="A1945" s="64"/>
      <c r="B1945" s="73" t="s">
        <v>3728</v>
      </c>
      <c r="C1945" s="66" t="s">
        <v>3729</v>
      </c>
      <c r="D1945" s="67">
        <v>0.2174</v>
      </c>
      <c r="E1945" s="68"/>
      <c r="F1945" s="69">
        <v>1</v>
      </c>
      <c r="G1945" s="70"/>
      <c r="H1945" s="71">
        <v>0.5</v>
      </c>
    </row>
    <row r="1946" spans="1:8">
      <c r="A1946" s="64"/>
      <c r="B1946" s="73" t="s">
        <v>3730</v>
      </c>
      <c r="C1946" s="66" t="s">
        <v>3731</v>
      </c>
      <c r="D1946" s="67">
        <v>0.2174</v>
      </c>
      <c r="E1946" s="68"/>
      <c r="F1946" s="69">
        <v>1</v>
      </c>
      <c r="G1946" s="70"/>
      <c r="H1946" s="71">
        <v>0.5</v>
      </c>
    </row>
    <row r="1947" spans="1:8">
      <c r="A1947" s="64"/>
      <c r="B1947" s="73" t="s">
        <v>3732</v>
      </c>
      <c r="C1947" s="66" t="s">
        <v>3733</v>
      </c>
      <c r="D1947" s="67">
        <v>0.2174</v>
      </c>
      <c r="E1947" s="68"/>
      <c r="F1947" s="69">
        <v>1</v>
      </c>
      <c r="G1947" s="70"/>
      <c r="H1947" s="71">
        <v>0.5</v>
      </c>
    </row>
    <row r="1948" spans="1:8">
      <c r="A1948" s="64"/>
      <c r="B1948" s="73" t="s">
        <v>3734</v>
      </c>
      <c r="C1948" s="66" t="s">
        <v>3735</v>
      </c>
      <c r="D1948" s="67">
        <v>0.2174</v>
      </c>
      <c r="E1948" s="68"/>
      <c r="F1948" s="69">
        <v>1</v>
      </c>
      <c r="G1948" s="70"/>
      <c r="H1948" s="71">
        <v>0.5</v>
      </c>
    </row>
    <row r="1949" ht="25.5" spans="1:8">
      <c r="A1949" s="64"/>
      <c r="B1949" s="73" t="s">
        <v>3736</v>
      </c>
      <c r="C1949" s="66" t="s">
        <v>3737</v>
      </c>
      <c r="D1949" s="67">
        <v>0.2174</v>
      </c>
      <c r="E1949" s="68"/>
      <c r="F1949" s="69">
        <v>1</v>
      </c>
      <c r="G1949" s="70"/>
      <c r="H1949" s="71">
        <v>0.5</v>
      </c>
    </row>
    <row r="1950" spans="1:8">
      <c r="A1950" s="64"/>
      <c r="B1950" s="73" t="s">
        <v>3738</v>
      </c>
      <c r="C1950" s="66" t="s">
        <v>3739</v>
      </c>
      <c r="D1950" s="67">
        <v>0.2174</v>
      </c>
      <c r="E1950" s="68"/>
      <c r="F1950" s="69">
        <v>1</v>
      </c>
      <c r="G1950" s="70"/>
      <c r="H1950" s="71">
        <v>0.5</v>
      </c>
    </row>
    <row r="1951" spans="1:8">
      <c r="A1951" s="64"/>
      <c r="B1951" s="73" t="s">
        <v>3740</v>
      </c>
      <c r="C1951" s="66" t="s">
        <v>3741</v>
      </c>
      <c r="D1951" s="67">
        <v>0.2174</v>
      </c>
      <c r="E1951" s="68"/>
      <c r="F1951" s="69">
        <v>1</v>
      </c>
      <c r="G1951" s="70"/>
      <c r="H1951" s="71">
        <v>0.5</v>
      </c>
    </row>
    <row r="1952" spans="1:8">
      <c r="A1952" s="64"/>
      <c r="B1952" s="73" t="s">
        <v>3742</v>
      </c>
      <c r="C1952" s="66" t="s">
        <v>3743</v>
      </c>
      <c r="D1952" s="67">
        <v>0.2174</v>
      </c>
      <c r="E1952" s="68"/>
      <c r="F1952" s="69">
        <v>1</v>
      </c>
      <c r="G1952" s="70"/>
      <c r="H1952" s="71">
        <v>0.5</v>
      </c>
    </row>
    <row r="1953" spans="1:8">
      <c r="A1953" s="64"/>
      <c r="B1953" s="73" t="s">
        <v>3744</v>
      </c>
      <c r="C1953" s="66" t="s">
        <v>3745</v>
      </c>
      <c r="D1953" s="67">
        <v>0.2174</v>
      </c>
      <c r="E1953" s="68"/>
      <c r="F1953" s="69">
        <v>1</v>
      </c>
      <c r="G1953" s="70"/>
      <c r="H1953" s="71">
        <v>0.5</v>
      </c>
    </row>
    <row r="1954" spans="1:8">
      <c r="A1954" s="64"/>
      <c r="B1954" s="73" t="s">
        <v>3746</v>
      </c>
      <c r="C1954" s="66" t="s">
        <v>3747</v>
      </c>
      <c r="D1954" s="67">
        <v>0.4348</v>
      </c>
      <c r="E1954" s="68"/>
      <c r="F1954" s="69">
        <v>1.6</v>
      </c>
      <c r="G1954" s="70"/>
      <c r="H1954" s="71">
        <v>1</v>
      </c>
    </row>
    <row r="1955" spans="1:8">
      <c r="A1955" s="64"/>
      <c r="B1955" s="73" t="s">
        <v>3748</v>
      </c>
      <c r="C1955" s="66" t="s">
        <v>3749</v>
      </c>
      <c r="D1955" s="67">
        <v>0.4348</v>
      </c>
      <c r="E1955" s="68"/>
      <c r="F1955" s="69">
        <v>1.6</v>
      </c>
      <c r="G1955" s="70"/>
      <c r="H1955" s="71">
        <v>1</v>
      </c>
    </row>
    <row r="1956" spans="1:8">
      <c r="A1956" s="64"/>
      <c r="B1956" s="103" t="s">
        <v>3750</v>
      </c>
      <c r="C1956" s="104" t="s">
        <v>3751</v>
      </c>
      <c r="D1956" s="67">
        <v>1.6957</v>
      </c>
      <c r="E1956" s="68"/>
      <c r="F1956" s="105">
        <v>6.5</v>
      </c>
      <c r="G1956" s="106"/>
      <c r="H1956" s="107">
        <v>3.9</v>
      </c>
    </row>
    <row r="1957" spans="1:8">
      <c r="A1957" s="64"/>
      <c r="B1957" s="73" t="s">
        <v>3752</v>
      </c>
      <c r="C1957" s="66" t="s">
        <v>3753</v>
      </c>
      <c r="D1957" s="67">
        <v>1.2174</v>
      </c>
      <c r="E1957" s="68"/>
      <c r="F1957" s="69">
        <v>4.5</v>
      </c>
      <c r="G1957" s="70"/>
      <c r="H1957" s="71">
        <v>2.8</v>
      </c>
    </row>
    <row r="1958" spans="1:8">
      <c r="A1958" s="64"/>
      <c r="B1958" s="73" t="s">
        <v>3754</v>
      </c>
      <c r="C1958" s="66" t="s">
        <v>3755</v>
      </c>
      <c r="D1958" s="67">
        <v>1.8261</v>
      </c>
      <c r="E1958" s="68"/>
      <c r="F1958" s="69">
        <v>6.8</v>
      </c>
      <c r="G1958" s="70"/>
      <c r="H1958" s="71">
        <v>4.2</v>
      </c>
    </row>
    <row r="1959" spans="1:8">
      <c r="A1959" s="64"/>
      <c r="B1959" s="73" t="s">
        <v>3756</v>
      </c>
      <c r="C1959" s="66" t="s">
        <v>3757</v>
      </c>
      <c r="D1959" s="67">
        <v>1.3043</v>
      </c>
      <c r="E1959" s="68"/>
      <c r="F1959" s="69">
        <v>2</v>
      </c>
      <c r="G1959" s="70"/>
      <c r="H1959" s="71">
        <v>1.5</v>
      </c>
    </row>
  </sheetData>
  <autoFilter xmlns:etc="http://www.wps.cn/officeDocument/2017/etCustomData" ref="A4:H1959" etc:filterBottomFollowUsedRange="0">
    <extLst/>
  </autoFilter>
  <mergeCells count="3958"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A16:A17"/>
    <mergeCell ref="A176:A177"/>
    <mergeCell ref="A217:A218"/>
    <mergeCell ref="A336:A337"/>
    <mergeCell ref="A344:A345"/>
    <mergeCell ref="A410:A411"/>
    <mergeCell ref="A417:A418"/>
    <mergeCell ref="A419:A423"/>
    <mergeCell ref="A425:A436"/>
    <mergeCell ref="A437:A440"/>
    <mergeCell ref="A441:A442"/>
    <mergeCell ref="A451:A452"/>
    <mergeCell ref="A482:A483"/>
    <mergeCell ref="A513:A514"/>
    <mergeCell ref="A539:A540"/>
    <mergeCell ref="A546:A552"/>
    <mergeCell ref="A567:A568"/>
    <mergeCell ref="A600:A601"/>
    <mergeCell ref="A603:A604"/>
    <mergeCell ref="A632:A633"/>
    <mergeCell ref="A634:A635"/>
    <mergeCell ref="A657:A660"/>
    <mergeCell ref="A718:A719"/>
    <mergeCell ref="A737:A738"/>
    <mergeCell ref="A791:A792"/>
    <mergeCell ref="A808:A809"/>
    <mergeCell ref="A810:A811"/>
    <mergeCell ref="A825:A827"/>
    <mergeCell ref="A853:A854"/>
    <mergeCell ref="A876:A878"/>
    <mergeCell ref="A885:A888"/>
    <mergeCell ref="A936:A938"/>
    <mergeCell ref="A1033:A1034"/>
    <mergeCell ref="A1058:A1059"/>
    <mergeCell ref="A1118:A1119"/>
    <mergeCell ref="A1183:A1194"/>
    <mergeCell ref="A1366:A1367"/>
    <mergeCell ref="A1541:A1542"/>
    <mergeCell ref="A1566:A1573"/>
    <mergeCell ref="A1574:A1575"/>
    <mergeCell ref="A1617:A1618"/>
    <mergeCell ref="A1656:A1657"/>
    <mergeCell ref="A1698:A1699"/>
    <mergeCell ref="A1700:A1702"/>
    <mergeCell ref="A1772:A1773"/>
    <mergeCell ref="A1861:A1862"/>
  </mergeCells>
  <pageMargins left="0.708661417322835" right="0.708661417322835" top="0.748031496062992" bottom="0.748031496062992" header="0.31496062992126" footer="0.31496062992126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2"/>
  <sheetViews>
    <sheetView topLeftCell="B1496" workbookViewId="0">
      <selection activeCell="C1796" sqref="C1796"/>
    </sheetView>
  </sheetViews>
  <sheetFormatPr defaultColWidth="9.33333333333333" defaultRowHeight="15.75"/>
  <cols>
    <col min="1" max="1" width="16" customWidth="1"/>
    <col min="2" max="2" width="16.1666666666667" customWidth="1"/>
    <col min="3" max="3" width="40.8333333333333" customWidth="1"/>
    <col min="4" max="4" width="2.5" customWidth="1"/>
    <col min="5" max="5" width="11.5" hidden="1" customWidth="1"/>
    <col min="6" max="6" width="2.83333333333333" customWidth="1"/>
    <col min="7" max="7" width="8" customWidth="1"/>
    <col min="8" max="10" width="11.1666666666667" customWidth="1"/>
    <col min="13" max="13" width="9.33333333333333" style="48"/>
    <col min="14" max="15" width="9.33333333333333" style="49"/>
    <col min="16" max="18" width="9.33333333333333" style="3"/>
    <col min="19" max="20" width="9.33333333333333" style="49"/>
    <col min="21" max="21" width="9.33333333333333" style="5"/>
  </cols>
  <sheetData>
    <row r="1" ht="2.1" customHeight="1"/>
    <row r="2" ht="18.75" customHeight="1" spans="1:10">
      <c r="A2" s="50" t="s">
        <v>3758</v>
      </c>
      <c r="B2" s="50"/>
      <c r="C2" s="50"/>
      <c r="D2" s="51"/>
      <c r="E2" s="52" t="s">
        <v>3759</v>
      </c>
      <c r="F2" s="53"/>
      <c r="G2" s="54"/>
      <c r="H2" s="55"/>
      <c r="I2" s="55"/>
      <c r="J2" s="55"/>
    </row>
    <row r="3" ht="21.75" customHeight="1" spans="1:10">
      <c r="A3" s="56"/>
      <c r="B3" s="56"/>
      <c r="C3" s="56"/>
      <c r="D3" s="56"/>
      <c r="E3" s="57"/>
      <c r="F3" s="58" t="s">
        <v>3760</v>
      </c>
      <c r="G3" s="59"/>
      <c r="H3" s="60" t="s">
        <v>3761</v>
      </c>
      <c r="I3" s="60" t="s">
        <v>3762</v>
      </c>
      <c r="J3" s="60" t="s">
        <v>3763</v>
      </c>
    </row>
    <row r="4" ht="21.75" customHeight="1" spans="1:20">
      <c r="A4" s="61" t="s">
        <v>0</v>
      </c>
      <c r="B4" s="61" t="s">
        <v>1</v>
      </c>
      <c r="C4" s="61" t="s">
        <v>2</v>
      </c>
      <c r="D4" s="62"/>
      <c r="E4" s="63"/>
      <c r="F4" s="58" t="s">
        <v>3760</v>
      </c>
      <c r="G4" s="59"/>
      <c r="H4" s="60" t="s">
        <v>3761</v>
      </c>
      <c r="I4" s="60" t="s">
        <v>3762</v>
      </c>
      <c r="J4" s="60" t="s">
        <v>3763</v>
      </c>
      <c r="K4" s="76" t="s">
        <v>3764</v>
      </c>
      <c r="L4" s="76" t="s">
        <v>3765</v>
      </c>
      <c r="M4" s="32" t="s">
        <v>3766</v>
      </c>
      <c r="N4" s="77" t="s">
        <v>3767</v>
      </c>
      <c r="O4" s="77" t="s">
        <v>3768</v>
      </c>
      <c r="P4" s="78" t="s">
        <v>3769</v>
      </c>
      <c r="Q4" s="78" t="s">
        <v>3770</v>
      </c>
      <c r="R4" s="78" t="s">
        <v>3771</v>
      </c>
      <c r="S4" s="49" t="s">
        <v>3772</v>
      </c>
      <c r="T4" s="49" t="s">
        <v>3768</v>
      </c>
    </row>
    <row r="5" ht="27.95" hidden="1" customHeight="1" spans="1:21">
      <c r="A5" s="64"/>
      <c r="B5" s="65">
        <v>6852345547511</v>
      </c>
      <c r="C5" s="66" t="s">
        <v>6</v>
      </c>
      <c r="D5" s="67">
        <v>4.3478</v>
      </c>
      <c r="E5" s="68"/>
      <c r="F5" s="69">
        <v>0</v>
      </c>
      <c r="G5" s="70"/>
      <c r="H5" s="71">
        <v>0</v>
      </c>
      <c r="I5" s="71">
        <v>10</v>
      </c>
      <c r="J5" s="71">
        <v>8.33</v>
      </c>
      <c r="M5"/>
      <c r="N5"/>
      <c r="O5"/>
      <c r="P5"/>
      <c r="Q5"/>
      <c r="R5"/>
      <c r="S5"/>
      <c r="T5"/>
      <c r="U5"/>
    </row>
    <row r="6" ht="27.95" hidden="1" customHeight="1" spans="1:21">
      <c r="A6" s="64"/>
      <c r="B6" s="65">
        <v>7861038062483</v>
      </c>
      <c r="C6" s="66" t="s">
        <v>7</v>
      </c>
      <c r="D6" s="67">
        <v>0.913</v>
      </c>
      <c r="E6" s="68"/>
      <c r="F6" s="69">
        <v>0</v>
      </c>
      <c r="G6" s="70"/>
      <c r="H6" s="71">
        <v>0</v>
      </c>
      <c r="I6" s="71">
        <v>2.1</v>
      </c>
      <c r="J6" s="71">
        <v>1.75</v>
      </c>
      <c r="M6"/>
      <c r="N6"/>
      <c r="O6"/>
      <c r="P6"/>
      <c r="Q6"/>
      <c r="R6"/>
      <c r="S6"/>
      <c r="T6"/>
      <c r="U6"/>
    </row>
    <row r="7" ht="27.95" hidden="1" customHeight="1" spans="1:21">
      <c r="A7" s="64"/>
      <c r="B7" s="65">
        <v>6202110243207</v>
      </c>
      <c r="C7" s="66" t="s">
        <v>8</v>
      </c>
      <c r="D7" s="67">
        <v>0.6957</v>
      </c>
      <c r="E7" s="68"/>
      <c r="F7" s="69">
        <v>0</v>
      </c>
      <c r="G7" s="70"/>
      <c r="H7" s="71">
        <v>0</v>
      </c>
      <c r="I7" s="71">
        <v>1.6</v>
      </c>
      <c r="J7" s="71">
        <v>1</v>
      </c>
      <c r="M7"/>
      <c r="N7"/>
      <c r="O7"/>
      <c r="P7"/>
      <c r="Q7"/>
      <c r="R7"/>
      <c r="S7"/>
      <c r="T7"/>
      <c r="U7"/>
    </row>
    <row r="8" ht="40.5" customHeight="1" spans="1:20">
      <c r="A8" s="72" t="s">
        <v>3773</v>
      </c>
      <c r="B8" s="65" t="s">
        <v>3774</v>
      </c>
      <c r="C8" s="66" t="s">
        <v>3775</v>
      </c>
      <c r="D8" s="67"/>
      <c r="E8" s="68"/>
      <c r="F8" s="69">
        <v>0.5</v>
      </c>
      <c r="G8" s="70"/>
      <c r="H8" s="71">
        <v>0.3</v>
      </c>
      <c r="I8" s="71"/>
      <c r="J8" s="71"/>
      <c r="M8" s="32">
        <v>13</v>
      </c>
      <c r="N8" s="77">
        <f>+F8</f>
        <v>0.5</v>
      </c>
      <c r="O8" s="77">
        <f>+M8*N8</f>
        <v>6.5</v>
      </c>
      <c r="R8" s="3">
        <f>+M8</f>
        <v>13</v>
      </c>
      <c r="S8" s="49">
        <f>+H8</f>
        <v>0.3</v>
      </c>
      <c r="T8" s="49">
        <f>+R8*S8</f>
        <v>3.9</v>
      </c>
    </row>
    <row r="9" ht="27.95" hidden="1" customHeight="1" spans="1:21">
      <c r="A9" s="72"/>
      <c r="B9" s="73" t="s">
        <v>9</v>
      </c>
      <c r="C9" s="66" t="s">
        <v>10</v>
      </c>
      <c r="D9" s="67">
        <v>0.2174</v>
      </c>
      <c r="E9" s="68"/>
      <c r="F9" s="69">
        <v>1</v>
      </c>
      <c r="G9" s="70"/>
      <c r="H9" s="71">
        <v>0.5</v>
      </c>
      <c r="I9" s="71">
        <v>0</v>
      </c>
      <c r="J9" s="71">
        <v>0</v>
      </c>
      <c r="M9"/>
      <c r="N9"/>
      <c r="O9"/>
      <c r="P9"/>
      <c r="Q9"/>
      <c r="R9"/>
      <c r="S9"/>
      <c r="T9"/>
      <c r="U9"/>
    </row>
    <row r="10" ht="27.95" hidden="1" customHeight="1" spans="1:21">
      <c r="A10" s="64"/>
      <c r="B10" s="73" t="s">
        <v>11</v>
      </c>
      <c r="C10" s="66" t="s">
        <v>12</v>
      </c>
      <c r="D10" s="67">
        <v>0.2174</v>
      </c>
      <c r="E10" s="68"/>
      <c r="F10" s="69">
        <v>1</v>
      </c>
      <c r="G10" s="70"/>
      <c r="H10" s="71">
        <v>0.5</v>
      </c>
      <c r="I10" s="71">
        <v>0</v>
      </c>
      <c r="J10" s="71">
        <v>0</v>
      </c>
      <c r="M10"/>
      <c r="N10"/>
      <c r="O10"/>
      <c r="P10"/>
      <c r="Q10"/>
      <c r="R10"/>
      <c r="S10"/>
      <c r="T10"/>
      <c r="U10"/>
    </row>
    <row r="11" ht="27.95" hidden="1" customHeight="1" spans="1:21">
      <c r="A11" s="64"/>
      <c r="B11" s="73" t="s">
        <v>13</v>
      </c>
      <c r="C11" s="66" t="s">
        <v>14</v>
      </c>
      <c r="D11" s="67">
        <v>0.2174</v>
      </c>
      <c r="E11" s="68"/>
      <c r="F11" s="69">
        <v>1</v>
      </c>
      <c r="G11" s="70"/>
      <c r="H11" s="71">
        <v>0.5</v>
      </c>
      <c r="I11" s="71">
        <v>0</v>
      </c>
      <c r="J11" s="71">
        <v>0</v>
      </c>
      <c r="M11"/>
      <c r="N11"/>
      <c r="O11"/>
      <c r="P11"/>
      <c r="Q11"/>
      <c r="R11"/>
      <c r="S11"/>
      <c r="T11"/>
      <c r="U11"/>
    </row>
    <row r="12" ht="27.95" hidden="1" customHeight="1" spans="1:21">
      <c r="A12" s="64"/>
      <c r="B12" s="73" t="s">
        <v>15</v>
      </c>
      <c r="C12" s="66" t="s">
        <v>16</v>
      </c>
      <c r="D12" s="67">
        <v>0.2174</v>
      </c>
      <c r="E12" s="68"/>
      <c r="F12" s="69">
        <v>1</v>
      </c>
      <c r="G12" s="70"/>
      <c r="H12" s="71">
        <v>0.5</v>
      </c>
      <c r="I12" s="71">
        <v>0</v>
      </c>
      <c r="J12" s="71">
        <v>0</v>
      </c>
      <c r="M12"/>
      <c r="N12"/>
      <c r="O12"/>
      <c r="P12"/>
      <c r="Q12"/>
      <c r="R12"/>
      <c r="S12"/>
      <c r="T12"/>
      <c r="U12"/>
    </row>
    <row r="13" ht="27.95" hidden="1" customHeight="1" spans="1:21">
      <c r="A13" s="64"/>
      <c r="B13" s="73" t="s">
        <v>17</v>
      </c>
      <c r="C13" s="66" t="s">
        <v>18</v>
      </c>
      <c r="D13" s="67">
        <v>0.2174</v>
      </c>
      <c r="E13" s="68"/>
      <c r="F13" s="69">
        <v>1</v>
      </c>
      <c r="G13" s="70"/>
      <c r="H13" s="71">
        <v>0.5</v>
      </c>
      <c r="I13" s="71">
        <v>0</v>
      </c>
      <c r="J13" s="71">
        <v>0</v>
      </c>
      <c r="M13"/>
      <c r="N13"/>
      <c r="O13"/>
      <c r="P13"/>
      <c r="Q13"/>
      <c r="R13"/>
      <c r="S13"/>
      <c r="T13"/>
      <c r="U13"/>
    </row>
    <row r="14" ht="27.95" hidden="1" customHeight="1" spans="1:21">
      <c r="A14" s="64"/>
      <c r="B14" s="73" t="s">
        <v>19</v>
      </c>
      <c r="C14" s="66" t="s">
        <v>20</v>
      </c>
      <c r="D14" s="67">
        <v>0.2174</v>
      </c>
      <c r="E14" s="68"/>
      <c r="F14" s="69">
        <v>1</v>
      </c>
      <c r="G14" s="70"/>
      <c r="H14" s="71">
        <v>0.5</v>
      </c>
      <c r="I14" s="71">
        <v>0</v>
      </c>
      <c r="J14" s="71">
        <v>0</v>
      </c>
      <c r="M14"/>
      <c r="N14"/>
      <c r="O14"/>
      <c r="P14"/>
      <c r="Q14"/>
      <c r="R14"/>
      <c r="S14"/>
      <c r="T14"/>
      <c r="U14"/>
    </row>
    <row r="15" ht="27.95" hidden="1" customHeight="1" spans="1:21">
      <c r="A15" s="64"/>
      <c r="B15" s="73" t="s">
        <v>21</v>
      </c>
      <c r="C15" s="66" t="s">
        <v>22</v>
      </c>
      <c r="D15" s="67">
        <v>0.2174</v>
      </c>
      <c r="E15" s="68"/>
      <c r="F15" s="69">
        <v>1</v>
      </c>
      <c r="G15" s="70"/>
      <c r="H15" s="71">
        <v>0.5</v>
      </c>
      <c r="I15" s="71">
        <v>0</v>
      </c>
      <c r="J15" s="71">
        <v>0</v>
      </c>
      <c r="M15"/>
      <c r="N15"/>
      <c r="O15"/>
      <c r="P15"/>
      <c r="Q15"/>
      <c r="R15"/>
      <c r="S15"/>
      <c r="T15"/>
      <c r="U15"/>
    </row>
    <row r="16" ht="27.95" hidden="1" customHeight="1" spans="1:21">
      <c r="A16" s="64"/>
      <c r="B16" s="73" t="s">
        <v>23</v>
      </c>
      <c r="C16" s="66" t="s">
        <v>24</v>
      </c>
      <c r="D16" s="67">
        <v>0.2174</v>
      </c>
      <c r="E16" s="68"/>
      <c r="F16" s="69">
        <v>1</v>
      </c>
      <c r="G16" s="70"/>
      <c r="H16" s="71">
        <v>0.5</v>
      </c>
      <c r="I16" s="71">
        <v>0</v>
      </c>
      <c r="J16" s="71">
        <v>0</v>
      </c>
      <c r="M16"/>
      <c r="N16"/>
      <c r="O16"/>
      <c r="P16"/>
      <c r="Q16"/>
      <c r="R16"/>
      <c r="S16"/>
      <c r="T16"/>
      <c r="U16"/>
    </row>
    <row r="17" customFormat="1" ht="27.95" hidden="1" customHeight="1" spans="1:10">
      <c r="A17" s="74"/>
      <c r="B17" s="73" t="s">
        <v>25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  <c r="I17" s="71">
        <v>0</v>
      </c>
      <c r="J17" s="71">
        <v>0</v>
      </c>
    </row>
    <row r="18" customFormat="1" ht="27.95" hidden="1" customHeight="1" spans="1:10">
      <c r="A18" s="75"/>
      <c r="B18" s="73" t="s">
        <v>27</v>
      </c>
      <c r="C18" s="66" t="s">
        <v>26</v>
      </c>
      <c r="D18" s="67">
        <v>0.2174</v>
      </c>
      <c r="E18" s="68"/>
      <c r="F18" s="69">
        <v>1</v>
      </c>
      <c r="G18" s="70"/>
      <c r="H18" s="71">
        <v>0.5</v>
      </c>
      <c r="I18" s="71">
        <v>0</v>
      </c>
      <c r="J18" s="71">
        <v>0</v>
      </c>
    </row>
    <row r="19" customFormat="1" ht="27.95" hidden="1" customHeight="1" spans="1:10">
      <c r="A19" s="64"/>
      <c r="B19" s="73" t="s">
        <v>28</v>
      </c>
      <c r="C19" s="66" t="s">
        <v>29</v>
      </c>
      <c r="D19" s="67">
        <v>0.2174</v>
      </c>
      <c r="E19" s="68"/>
      <c r="F19" s="69">
        <v>1</v>
      </c>
      <c r="G19" s="70"/>
      <c r="H19" s="71">
        <v>0.5</v>
      </c>
      <c r="I19" s="71">
        <v>0</v>
      </c>
      <c r="J19" s="71">
        <v>0</v>
      </c>
    </row>
    <row r="20" customFormat="1" ht="27.95" hidden="1" customHeight="1" spans="1:10">
      <c r="A20" s="64"/>
      <c r="B20" s="73" t="s">
        <v>30</v>
      </c>
      <c r="C20" s="66" t="s">
        <v>31</v>
      </c>
      <c r="D20" s="67">
        <v>0.2174</v>
      </c>
      <c r="E20" s="68"/>
      <c r="F20" s="69">
        <v>1</v>
      </c>
      <c r="G20" s="70"/>
      <c r="H20" s="71">
        <v>0.5</v>
      </c>
      <c r="I20" s="71">
        <v>0</v>
      </c>
      <c r="J20" s="71">
        <v>0</v>
      </c>
    </row>
    <row r="21" customFormat="1" ht="27.95" hidden="1" customHeight="1" spans="1:10">
      <c r="A21" s="64"/>
      <c r="B21" s="73" t="s">
        <v>32</v>
      </c>
      <c r="C21" s="66" t="s">
        <v>33</v>
      </c>
      <c r="D21" s="67">
        <v>0.2174</v>
      </c>
      <c r="E21" s="68"/>
      <c r="F21" s="69">
        <v>1</v>
      </c>
      <c r="G21" s="70"/>
      <c r="H21" s="71">
        <v>0.5</v>
      </c>
      <c r="I21" s="71">
        <v>0</v>
      </c>
      <c r="J21" s="71">
        <v>0</v>
      </c>
    </row>
    <row r="22" customFormat="1" ht="27.95" hidden="1" customHeight="1" spans="1:10">
      <c r="A22" s="64"/>
      <c r="B22" s="73" t="s">
        <v>34</v>
      </c>
      <c r="C22" s="66" t="s">
        <v>35</v>
      </c>
      <c r="D22" s="67">
        <v>0.2174</v>
      </c>
      <c r="E22" s="68"/>
      <c r="F22" s="69">
        <v>1</v>
      </c>
      <c r="G22" s="70"/>
      <c r="H22" s="71">
        <v>0.5</v>
      </c>
      <c r="I22" s="71">
        <v>0</v>
      </c>
      <c r="J22" s="71">
        <v>0</v>
      </c>
    </row>
    <row r="23" customFormat="1" ht="27.95" hidden="1" customHeight="1" spans="1:10">
      <c r="A23" s="64"/>
      <c r="B23" s="73" t="s">
        <v>36</v>
      </c>
      <c r="C23" s="66" t="s">
        <v>37</v>
      </c>
      <c r="D23" s="67">
        <v>0.2174</v>
      </c>
      <c r="E23" s="68"/>
      <c r="F23" s="69">
        <v>1</v>
      </c>
      <c r="G23" s="70"/>
      <c r="H23" s="71">
        <v>0.5</v>
      </c>
      <c r="I23" s="71">
        <v>0</v>
      </c>
      <c r="J23" s="71">
        <v>0</v>
      </c>
    </row>
    <row r="24" customFormat="1" ht="27.95" hidden="1" customHeight="1" spans="1:10">
      <c r="A24" s="64"/>
      <c r="B24" s="73" t="s">
        <v>38</v>
      </c>
      <c r="C24" s="66" t="s">
        <v>39</v>
      </c>
      <c r="D24" s="67">
        <v>0.2174</v>
      </c>
      <c r="E24" s="68"/>
      <c r="F24" s="69">
        <v>1</v>
      </c>
      <c r="G24" s="70"/>
      <c r="H24" s="71">
        <v>0.5</v>
      </c>
      <c r="I24" s="71">
        <v>0</v>
      </c>
      <c r="J24" s="71">
        <v>0</v>
      </c>
    </row>
    <row r="25" customFormat="1" ht="27.95" hidden="1" customHeight="1" spans="1:10">
      <c r="A25" s="64"/>
      <c r="B25" s="73" t="s">
        <v>40</v>
      </c>
      <c r="C25" s="66" t="s">
        <v>41</v>
      </c>
      <c r="D25" s="67">
        <v>0.2174</v>
      </c>
      <c r="E25" s="68"/>
      <c r="F25" s="69">
        <v>1</v>
      </c>
      <c r="G25" s="70"/>
      <c r="H25" s="71">
        <v>0.5</v>
      </c>
      <c r="I25" s="71">
        <v>0</v>
      </c>
      <c r="J25" s="71">
        <v>0</v>
      </c>
    </row>
    <row r="26" customFormat="1" ht="27.95" hidden="1" customHeight="1" spans="1:10">
      <c r="A26" s="64"/>
      <c r="B26" s="73" t="s">
        <v>42</v>
      </c>
      <c r="C26" s="66" t="s">
        <v>43</v>
      </c>
      <c r="D26" s="67">
        <v>0.2174</v>
      </c>
      <c r="E26" s="68"/>
      <c r="F26" s="69">
        <v>1</v>
      </c>
      <c r="G26" s="70"/>
      <c r="H26" s="71">
        <v>0.5</v>
      </c>
      <c r="I26" s="71">
        <v>0</v>
      </c>
      <c r="J26" s="71">
        <v>0</v>
      </c>
    </row>
    <row r="27" customFormat="1" ht="27.95" hidden="1" customHeight="1" spans="1:10">
      <c r="A27" s="64"/>
      <c r="B27" s="73" t="s">
        <v>44</v>
      </c>
      <c r="C27" s="66" t="s">
        <v>45</v>
      </c>
      <c r="D27" s="67">
        <v>0.0435</v>
      </c>
      <c r="E27" s="68"/>
      <c r="F27" s="69">
        <v>0.2</v>
      </c>
      <c r="G27" s="70"/>
      <c r="H27" s="71">
        <v>0.1</v>
      </c>
      <c r="I27" s="71">
        <v>0</v>
      </c>
      <c r="J27" s="71">
        <v>0</v>
      </c>
    </row>
    <row r="28" customFormat="1" ht="27.95" hidden="1" customHeight="1" spans="1:10">
      <c r="A28" s="64"/>
      <c r="B28" s="73" t="s">
        <v>46</v>
      </c>
      <c r="C28" s="66" t="s">
        <v>47</v>
      </c>
      <c r="D28" s="67">
        <v>0.2174</v>
      </c>
      <c r="E28" s="68"/>
      <c r="F28" s="69">
        <v>1</v>
      </c>
      <c r="G28" s="70"/>
      <c r="H28" s="71">
        <v>0.5</v>
      </c>
      <c r="I28" s="71">
        <v>0</v>
      </c>
      <c r="J28" s="71">
        <v>0</v>
      </c>
    </row>
    <row r="29" customFormat="1" ht="27.95" hidden="1" customHeight="1" spans="1:10">
      <c r="A29" s="64"/>
      <c r="B29" s="73" t="s">
        <v>48</v>
      </c>
      <c r="C29" s="66" t="s">
        <v>49</v>
      </c>
      <c r="D29" s="67">
        <v>0.2174</v>
      </c>
      <c r="E29" s="68"/>
      <c r="F29" s="69">
        <v>1</v>
      </c>
      <c r="G29" s="70"/>
      <c r="H29" s="71">
        <v>0.5</v>
      </c>
      <c r="I29" s="71">
        <v>0</v>
      </c>
      <c r="J29" s="71">
        <v>0</v>
      </c>
    </row>
    <row r="30" customFormat="1" ht="27.95" hidden="1" customHeight="1" spans="1:10">
      <c r="A30" s="64"/>
      <c r="B30" s="73" t="s">
        <v>50</v>
      </c>
      <c r="C30" s="66" t="s">
        <v>51</v>
      </c>
      <c r="D30" s="67">
        <v>0.2174</v>
      </c>
      <c r="E30" s="68"/>
      <c r="F30" s="69">
        <v>1</v>
      </c>
      <c r="G30" s="70"/>
      <c r="H30" s="71">
        <v>0.5</v>
      </c>
      <c r="I30" s="71">
        <v>0</v>
      </c>
      <c r="J30" s="71">
        <v>0</v>
      </c>
    </row>
    <row r="31" customFormat="1" ht="27.95" hidden="1" customHeight="1" spans="1:10">
      <c r="A31" s="64"/>
      <c r="B31" s="73" t="s">
        <v>52</v>
      </c>
      <c r="C31" s="66" t="s">
        <v>53</v>
      </c>
      <c r="D31" s="67">
        <v>0.2174</v>
      </c>
      <c r="E31" s="68"/>
      <c r="F31" s="69">
        <v>1</v>
      </c>
      <c r="G31" s="70"/>
      <c r="H31" s="71">
        <v>0.5</v>
      </c>
      <c r="I31" s="71">
        <v>0</v>
      </c>
      <c r="J31" s="71">
        <v>0</v>
      </c>
    </row>
    <row r="32" customFormat="1" ht="27.95" hidden="1" customHeight="1" spans="1:10">
      <c r="A32" s="64"/>
      <c r="B32" s="73" t="s">
        <v>54</v>
      </c>
      <c r="C32" s="66" t="s">
        <v>55</v>
      </c>
      <c r="D32" s="67">
        <v>0.2174</v>
      </c>
      <c r="E32" s="68"/>
      <c r="F32" s="69">
        <v>1</v>
      </c>
      <c r="G32" s="70"/>
      <c r="H32" s="71">
        <v>0.5</v>
      </c>
      <c r="I32" s="71">
        <v>0</v>
      </c>
      <c r="J32" s="71">
        <v>0</v>
      </c>
    </row>
    <row r="33" customFormat="1" ht="27.95" hidden="1" customHeight="1" spans="1:10">
      <c r="A33" s="64"/>
      <c r="B33" s="73" t="s">
        <v>56</v>
      </c>
      <c r="C33" s="66" t="s">
        <v>57</v>
      </c>
      <c r="D33" s="67">
        <v>0.2174</v>
      </c>
      <c r="E33" s="68"/>
      <c r="F33" s="69">
        <v>1</v>
      </c>
      <c r="G33" s="70"/>
      <c r="H33" s="71">
        <v>0.5</v>
      </c>
      <c r="I33" s="71">
        <v>0</v>
      </c>
      <c r="J33" s="71">
        <v>0</v>
      </c>
    </row>
    <row r="34" customFormat="1" ht="27.95" hidden="1" customHeight="1" spans="1:10">
      <c r="A34" s="64"/>
      <c r="B34" s="73" t="s">
        <v>58</v>
      </c>
      <c r="C34" s="66" t="s">
        <v>59</v>
      </c>
      <c r="D34" s="67">
        <v>0.2174</v>
      </c>
      <c r="E34" s="68"/>
      <c r="F34" s="69">
        <v>1</v>
      </c>
      <c r="G34" s="70"/>
      <c r="H34" s="71">
        <v>0.5</v>
      </c>
      <c r="I34" s="71">
        <v>0</v>
      </c>
      <c r="J34" s="71">
        <v>0</v>
      </c>
    </row>
    <row r="35" customFormat="1" ht="27.95" hidden="1" customHeight="1" spans="1:10">
      <c r="A35" s="64"/>
      <c r="B35" s="73" t="s">
        <v>60</v>
      </c>
      <c r="C35" s="66" t="s">
        <v>61</v>
      </c>
      <c r="D35" s="67">
        <v>0.2174</v>
      </c>
      <c r="E35" s="68"/>
      <c r="F35" s="69">
        <v>1</v>
      </c>
      <c r="G35" s="70"/>
      <c r="H35" s="71">
        <v>0.5</v>
      </c>
      <c r="I35" s="71">
        <v>0</v>
      </c>
      <c r="J35" s="71">
        <v>0</v>
      </c>
    </row>
    <row r="36" customFormat="1" ht="27.95" hidden="1" customHeight="1" spans="1:10">
      <c r="A36" s="64"/>
      <c r="B36" s="73" t="s">
        <v>62</v>
      </c>
      <c r="C36" s="66" t="s">
        <v>63</v>
      </c>
      <c r="D36" s="67">
        <v>0.2174</v>
      </c>
      <c r="E36" s="68"/>
      <c r="F36" s="69">
        <v>1</v>
      </c>
      <c r="G36" s="70"/>
      <c r="H36" s="71">
        <v>0.5</v>
      </c>
      <c r="I36" s="71">
        <v>0</v>
      </c>
      <c r="J36" s="71">
        <v>0</v>
      </c>
    </row>
    <row r="37" customFormat="1" ht="27.95" hidden="1" customHeight="1" spans="1:10">
      <c r="A37" s="64"/>
      <c r="B37" s="73" t="s">
        <v>64</v>
      </c>
      <c r="C37" s="66" t="s">
        <v>65</v>
      </c>
      <c r="D37" s="67">
        <v>0.2174</v>
      </c>
      <c r="E37" s="68"/>
      <c r="F37" s="69">
        <v>1</v>
      </c>
      <c r="G37" s="70"/>
      <c r="H37" s="71">
        <v>0.5</v>
      </c>
      <c r="I37" s="71">
        <v>0</v>
      </c>
      <c r="J37" s="71">
        <v>0</v>
      </c>
    </row>
    <row r="38" customFormat="1" ht="27.95" hidden="1" customHeight="1" spans="1:10">
      <c r="A38" s="64"/>
      <c r="B38" s="73" t="s">
        <v>66</v>
      </c>
      <c r="C38" s="66" t="s">
        <v>67</v>
      </c>
      <c r="D38" s="67">
        <v>0.2174</v>
      </c>
      <c r="E38" s="68"/>
      <c r="F38" s="69">
        <v>1</v>
      </c>
      <c r="G38" s="70"/>
      <c r="H38" s="71">
        <v>0.5</v>
      </c>
      <c r="I38" s="71">
        <v>0</v>
      </c>
      <c r="J38" s="71">
        <v>0</v>
      </c>
    </row>
    <row r="39" customFormat="1" ht="27.95" hidden="1" customHeight="1" spans="1:10">
      <c r="A39" s="64"/>
      <c r="B39" s="73" t="s">
        <v>68</v>
      </c>
      <c r="C39" s="66" t="s">
        <v>69</v>
      </c>
      <c r="D39" s="67">
        <v>0.2174</v>
      </c>
      <c r="E39" s="68"/>
      <c r="F39" s="69">
        <v>1</v>
      </c>
      <c r="G39" s="70"/>
      <c r="H39" s="71">
        <v>0.5</v>
      </c>
      <c r="I39" s="71">
        <v>0</v>
      </c>
      <c r="J39" s="71">
        <v>0</v>
      </c>
    </row>
    <row r="40" customFormat="1" ht="27.95" hidden="1" customHeight="1" spans="1:10">
      <c r="A40" s="64"/>
      <c r="B40" s="73" t="s">
        <v>70</v>
      </c>
      <c r="C40" s="66" t="s">
        <v>71</v>
      </c>
      <c r="D40" s="67">
        <v>0.2174</v>
      </c>
      <c r="E40" s="68"/>
      <c r="F40" s="69">
        <v>1</v>
      </c>
      <c r="G40" s="70"/>
      <c r="H40" s="71">
        <v>0.5</v>
      </c>
      <c r="I40" s="71">
        <v>0</v>
      </c>
      <c r="J40" s="71">
        <v>0</v>
      </c>
    </row>
    <row r="41" customFormat="1" ht="27.95" hidden="1" customHeight="1" spans="1:10">
      <c r="A41" s="64"/>
      <c r="B41" s="73" t="s">
        <v>72</v>
      </c>
      <c r="C41" s="66" t="s">
        <v>73</v>
      </c>
      <c r="D41" s="67">
        <v>0.2174</v>
      </c>
      <c r="E41" s="68"/>
      <c r="F41" s="69">
        <v>1</v>
      </c>
      <c r="G41" s="70"/>
      <c r="H41" s="71">
        <v>0.5</v>
      </c>
      <c r="I41" s="71">
        <v>0</v>
      </c>
      <c r="J41" s="71">
        <v>0</v>
      </c>
    </row>
    <row r="42" customFormat="1" ht="27.95" hidden="1" customHeight="1" spans="1:10">
      <c r="A42" s="64"/>
      <c r="B42" s="73" t="s">
        <v>74</v>
      </c>
      <c r="C42" s="66" t="s">
        <v>75</v>
      </c>
      <c r="D42" s="67">
        <v>0.8696</v>
      </c>
      <c r="E42" s="68"/>
      <c r="F42" s="69">
        <v>0</v>
      </c>
      <c r="G42" s="70"/>
      <c r="H42" s="71">
        <v>0</v>
      </c>
      <c r="I42" s="71">
        <v>2</v>
      </c>
      <c r="J42" s="71">
        <v>1.5</v>
      </c>
    </row>
    <row r="43" customFormat="1" ht="27.95" hidden="1" customHeight="1" spans="1:10">
      <c r="A43" s="64"/>
      <c r="B43" s="73" t="s">
        <v>76</v>
      </c>
      <c r="C43" s="66" t="s">
        <v>77</v>
      </c>
      <c r="D43" s="67">
        <v>0.2174</v>
      </c>
      <c r="E43" s="68"/>
      <c r="F43" s="69">
        <v>1</v>
      </c>
      <c r="G43" s="70"/>
      <c r="H43" s="71">
        <v>0.5</v>
      </c>
      <c r="I43" s="71">
        <v>0</v>
      </c>
      <c r="J43" s="71">
        <v>0</v>
      </c>
    </row>
    <row r="44" customFormat="1" ht="27.95" hidden="1" customHeight="1" spans="1:10">
      <c r="A44" s="64"/>
      <c r="B44" s="73" t="s">
        <v>78</v>
      </c>
      <c r="C44" s="66" t="s">
        <v>79</v>
      </c>
      <c r="D44" s="67">
        <v>1.087</v>
      </c>
      <c r="E44" s="68"/>
      <c r="F44" s="69">
        <v>3.5</v>
      </c>
      <c r="G44" s="70"/>
      <c r="H44" s="71">
        <v>2.5</v>
      </c>
      <c r="I44" s="71">
        <v>0</v>
      </c>
      <c r="J44" s="71">
        <v>0</v>
      </c>
    </row>
    <row r="45" customFormat="1" ht="27.95" hidden="1" customHeight="1" spans="1:10">
      <c r="A45" s="64"/>
      <c r="B45" s="73" t="s">
        <v>80</v>
      </c>
      <c r="C45" s="66" t="s">
        <v>81</v>
      </c>
      <c r="D45" s="67">
        <v>1.2174</v>
      </c>
      <c r="E45" s="68"/>
      <c r="F45" s="69">
        <v>4.5</v>
      </c>
      <c r="G45" s="70"/>
      <c r="H45" s="71">
        <v>2.8</v>
      </c>
      <c r="I45" s="71">
        <v>0</v>
      </c>
      <c r="J45" s="71">
        <v>0</v>
      </c>
    </row>
    <row r="46" customFormat="1" ht="27.95" hidden="1" customHeight="1" spans="1:10">
      <c r="A46" s="64"/>
      <c r="B46" s="73" t="s">
        <v>82</v>
      </c>
      <c r="C46" s="66" t="s">
        <v>83</v>
      </c>
      <c r="D46" s="67">
        <v>0.2174</v>
      </c>
      <c r="E46" s="68"/>
      <c r="F46" s="69">
        <v>1</v>
      </c>
      <c r="G46" s="70"/>
      <c r="H46" s="71">
        <v>0.5</v>
      </c>
      <c r="I46" s="71">
        <v>0</v>
      </c>
      <c r="J46" s="71">
        <v>0</v>
      </c>
    </row>
    <row r="47" customFormat="1" ht="27.95" hidden="1" customHeight="1" spans="1:10">
      <c r="A47" s="64"/>
      <c r="B47" s="73" t="s">
        <v>84</v>
      </c>
      <c r="C47" s="66" t="s">
        <v>85</v>
      </c>
      <c r="D47" s="67">
        <v>0.4348</v>
      </c>
      <c r="E47" s="68"/>
      <c r="F47" s="69">
        <v>1.6</v>
      </c>
      <c r="G47" s="70"/>
      <c r="H47" s="71">
        <v>1</v>
      </c>
      <c r="I47" s="71">
        <v>0</v>
      </c>
      <c r="J47" s="71">
        <v>0</v>
      </c>
    </row>
    <row r="48" customFormat="1" ht="27.95" hidden="1" customHeight="1" spans="1:10">
      <c r="A48" s="64"/>
      <c r="B48" s="73" t="s">
        <v>86</v>
      </c>
      <c r="C48" s="66" t="s">
        <v>87</v>
      </c>
      <c r="D48" s="67">
        <v>0.4348</v>
      </c>
      <c r="E48" s="68"/>
      <c r="F48" s="69">
        <v>1.6</v>
      </c>
      <c r="G48" s="70"/>
      <c r="H48" s="71">
        <v>1</v>
      </c>
      <c r="I48" s="71">
        <v>0</v>
      </c>
      <c r="J48" s="71">
        <v>0</v>
      </c>
    </row>
    <row r="49" customFormat="1" ht="27.95" hidden="1" customHeight="1" spans="1:10">
      <c r="A49" s="64"/>
      <c r="B49" s="73" t="s">
        <v>88</v>
      </c>
      <c r="C49" s="66" t="s">
        <v>89</v>
      </c>
      <c r="D49" s="67">
        <v>0.4348</v>
      </c>
      <c r="E49" s="68"/>
      <c r="F49" s="69">
        <v>1.6</v>
      </c>
      <c r="G49" s="70"/>
      <c r="H49" s="71">
        <v>1</v>
      </c>
      <c r="I49" s="71">
        <v>0</v>
      </c>
      <c r="J49" s="71">
        <v>0</v>
      </c>
    </row>
    <row r="50" customFormat="1" ht="27.95" hidden="1" customHeight="1" spans="1:10">
      <c r="A50" s="64"/>
      <c r="B50" s="73" t="s">
        <v>90</v>
      </c>
      <c r="C50" s="66" t="s">
        <v>91</v>
      </c>
      <c r="D50" s="67">
        <v>0.4348</v>
      </c>
      <c r="E50" s="68"/>
      <c r="F50" s="69">
        <v>1.6</v>
      </c>
      <c r="G50" s="70"/>
      <c r="H50" s="71">
        <v>1</v>
      </c>
      <c r="I50" s="71">
        <v>0</v>
      </c>
      <c r="J50" s="71">
        <v>0</v>
      </c>
    </row>
    <row r="51" customFormat="1" ht="27.95" hidden="1" customHeight="1" spans="1:10">
      <c r="A51" s="64"/>
      <c r="B51" s="73" t="s">
        <v>92</v>
      </c>
      <c r="C51" s="66" t="s">
        <v>93</v>
      </c>
      <c r="D51" s="67">
        <v>0.3043</v>
      </c>
      <c r="E51" s="68"/>
      <c r="F51" s="69">
        <v>1</v>
      </c>
      <c r="G51" s="70"/>
      <c r="H51" s="71">
        <v>0.7</v>
      </c>
      <c r="I51" s="71">
        <v>0</v>
      </c>
      <c r="J51" s="71">
        <v>0</v>
      </c>
    </row>
    <row r="52" customFormat="1" ht="27.95" hidden="1" customHeight="1" spans="1:10">
      <c r="A52" s="64"/>
      <c r="B52" s="73" t="s">
        <v>94</v>
      </c>
      <c r="C52" s="66" t="s">
        <v>95</v>
      </c>
      <c r="D52" s="67">
        <v>0.4348</v>
      </c>
      <c r="E52" s="68"/>
      <c r="F52" s="69">
        <v>1.6</v>
      </c>
      <c r="G52" s="70"/>
      <c r="H52" s="71">
        <v>1</v>
      </c>
      <c r="I52" s="71">
        <v>0</v>
      </c>
      <c r="J52" s="71">
        <v>0</v>
      </c>
    </row>
    <row r="53" customFormat="1" ht="27.95" hidden="1" customHeight="1" spans="1:10">
      <c r="A53" s="64"/>
      <c r="B53" s="73" t="s">
        <v>96</v>
      </c>
      <c r="C53" s="66" t="s">
        <v>97</v>
      </c>
      <c r="D53" s="67">
        <v>0.6087</v>
      </c>
      <c r="E53" s="68"/>
      <c r="F53" s="69">
        <v>2.3</v>
      </c>
      <c r="G53" s="70"/>
      <c r="H53" s="71">
        <v>1.4</v>
      </c>
      <c r="I53" s="71">
        <v>0</v>
      </c>
      <c r="J53" s="71">
        <v>0</v>
      </c>
    </row>
    <row r="54" customFormat="1" ht="27.95" hidden="1" customHeight="1" spans="1:10">
      <c r="A54" s="64"/>
      <c r="B54" s="73" t="s">
        <v>98</v>
      </c>
      <c r="C54" s="66" t="s">
        <v>99</v>
      </c>
      <c r="D54" s="67">
        <v>0.6087</v>
      </c>
      <c r="E54" s="68"/>
      <c r="F54" s="69">
        <v>2.3</v>
      </c>
      <c r="G54" s="70"/>
      <c r="H54" s="71">
        <v>1.4</v>
      </c>
      <c r="I54" s="71">
        <v>0</v>
      </c>
      <c r="J54" s="71">
        <v>0</v>
      </c>
    </row>
    <row r="55" customFormat="1" ht="27.95" hidden="1" customHeight="1" spans="1:10">
      <c r="A55" s="64"/>
      <c r="B55" s="73" t="s">
        <v>100</v>
      </c>
      <c r="C55" s="66" t="s">
        <v>101</v>
      </c>
      <c r="D55" s="67">
        <v>0.6087</v>
      </c>
      <c r="E55" s="68"/>
      <c r="F55" s="69">
        <v>2.3</v>
      </c>
      <c r="G55" s="70"/>
      <c r="H55" s="71">
        <v>1.4</v>
      </c>
      <c r="I55" s="71">
        <v>0</v>
      </c>
      <c r="J55" s="71">
        <v>0</v>
      </c>
    </row>
    <row r="56" customFormat="1" ht="27.95" hidden="1" customHeight="1" spans="1:10">
      <c r="A56" s="64"/>
      <c r="B56" s="73" t="s">
        <v>102</v>
      </c>
      <c r="C56" s="66" t="s">
        <v>103</v>
      </c>
      <c r="D56" s="67">
        <v>0.6087</v>
      </c>
      <c r="E56" s="68"/>
      <c r="F56" s="69">
        <v>2.3</v>
      </c>
      <c r="G56" s="70"/>
      <c r="H56" s="71">
        <v>1.4</v>
      </c>
      <c r="I56" s="71">
        <v>0</v>
      </c>
      <c r="J56" s="71">
        <v>0</v>
      </c>
    </row>
    <row r="57" customFormat="1" ht="27.95" hidden="1" customHeight="1" spans="1:10">
      <c r="A57" s="64"/>
      <c r="B57" s="73" t="s">
        <v>104</v>
      </c>
      <c r="C57" s="66" t="s">
        <v>105</v>
      </c>
      <c r="D57" s="67">
        <v>0.3478</v>
      </c>
      <c r="E57" s="68"/>
      <c r="F57" s="69">
        <v>1.2</v>
      </c>
      <c r="G57" s="70"/>
      <c r="H57" s="71">
        <v>0.8</v>
      </c>
      <c r="I57" s="71">
        <v>0</v>
      </c>
      <c r="J57" s="71">
        <v>0</v>
      </c>
    </row>
    <row r="58" customFormat="1" ht="27.95" hidden="1" customHeight="1" spans="1:10">
      <c r="A58" s="64"/>
      <c r="B58" s="73" t="s">
        <v>106</v>
      </c>
      <c r="C58" s="66" t="s">
        <v>107</v>
      </c>
      <c r="D58" s="67">
        <v>0.3043</v>
      </c>
      <c r="E58" s="68"/>
      <c r="F58" s="69">
        <v>1.1</v>
      </c>
      <c r="G58" s="70"/>
      <c r="H58" s="71">
        <v>0.7</v>
      </c>
      <c r="I58" s="71">
        <v>0</v>
      </c>
      <c r="J58" s="71">
        <v>0</v>
      </c>
    </row>
    <row r="59" customFormat="1" ht="27.95" hidden="1" customHeight="1" spans="1:10">
      <c r="A59" s="64"/>
      <c r="B59" s="73" t="s">
        <v>108</v>
      </c>
      <c r="C59" s="66" t="s">
        <v>109</v>
      </c>
      <c r="D59" s="67">
        <v>0.3043</v>
      </c>
      <c r="E59" s="68"/>
      <c r="F59" s="69">
        <v>1.1</v>
      </c>
      <c r="G59" s="70"/>
      <c r="H59" s="71">
        <v>0.7</v>
      </c>
      <c r="I59" s="71">
        <v>0</v>
      </c>
      <c r="J59" s="71">
        <v>0</v>
      </c>
    </row>
    <row r="60" customFormat="1" ht="27.95" hidden="1" customHeight="1" spans="1:10">
      <c r="A60" s="64"/>
      <c r="B60" s="73" t="s">
        <v>110</v>
      </c>
      <c r="C60" s="66" t="s">
        <v>111</v>
      </c>
      <c r="D60" s="67">
        <v>0.3043</v>
      </c>
      <c r="E60" s="68"/>
      <c r="F60" s="69">
        <v>1.1</v>
      </c>
      <c r="G60" s="70"/>
      <c r="H60" s="71">
        <v>0.7</v>
      </c>
      <c r="I60" s="71">
        <v>0</v>
      </c>
      <c r="J60" s="71">
        <v>0</v>
      </c>
    </row>
    <row r="61" customFormat="1" ht="27.95" hidden="1" customHeight="1" spans="1:10">
      <c r="A61" s="64"/>
      <c r="B61" s="73" t="s">
        <v>112</v>
      </c>
      <c r="C61" s="66" t="s">
        <v>113</v>
      </c>
      <c r="D61" s="67">
        <v>1.0435</v>
      </c>
      <c r="E61" s="68"/>
      <c r="F61" s="69">
        <v>4.2</v>
      </c>
      <c r="G61" s="70"/>
      <c r="H61" s="71">
        <v>2.4</v>
      </c>
      <c r="I61" s="71">
        <v>0</v>
      </c>
      <c r="J61" s="71">
        <v>0</v>
      </c>
    </row>
    <row r="62" customFormat="1" ht="27.95" hidden="1" customHeight="1" spans="1:10">
      <c r="A62" s="64"/>
      <c r="B62" s="73" t="s">
        <v>114</v>
      </c>
      <c r="C62" s="66" t="s">
        <v>115</v>
      </c>
      <c r="D62" s="67">
        <v>0.9565</v>
      </c>
      <c r="E62" s="68"/>
      <c r="F62" s="69">
        <v>4</v>
      </c>
      <c r="G62" s="70"/>
      <c r="H62" s="71">
        <v>2.2</v>
      </c>
      <c r="I62" s="71">
        <v>0</v>
      </c>
      <c r="J62" s="71">
        <v>0</v>
      </c>
    </row>
    <row r="63" customFormat="1" ht="27.95" hidden="1" customHeight="1" spans="1:10">
      <c r="A63" s="64"/>
      <c r="B63" s="73" t="s">
        <v>116</v>
      </c>
      <c r="C63" s="66" t="s">
        <v>117</v>
      </c>
      <c r="D63" s="67">
        <v>0.2174</v>
      </c>
      <c r="E63" s="68"/>
      <c r="F63" s="69">
        <v>1</v>
      </c>
      <c r="G63" s="70"/>
      <c r="H63" s="71">
        <v>0.5</v>
      </c>
      <c r="I63" s="71">
        <v>0</v>
      </c>
      <c r="J63" s="71">
        <v>0</v>
      </c>
    </row>
    <row r="64" customFormat="1" ht="27.95" hidden="1" customHeight="1" spans="1:10">
      <c r="A64" s="64"/>
      <c r="B64" s="73" t="s">
        <v>118</v>
      </c>
      <c r="C64" s="66" t="s">
        <v>119</v>
      </c>
      <c r="D64" s="67">
        <v>0.2174</v>
      </c>
      <c r="E64" s="68"/>
      <c r="F64" s="69">
        <v>1</v>
      </c>
      <c r="G64" s="70"/>
      <c r="H64" s="71">
        <v>0.5</v>
      </c>
      <c r="I64" s="71">
        <v>0</v>
      </c>
      <c r="J64" s="71">
        <v>0</v>
      </c>
    </row>
    <row r="65" customFormat="1" ht="27.95" hidden="1" customHeight="1" spans="1:10">
      <c r="A65" s="64"/>
      <c r="B65" s="73" t="s">
        <v>120</v>
      </c>
      <c r="C65" s="66" t="s">
        <v>121</v>
      </c>
      <c r="D65" s="67">
        <v>0.2174</v>
      </c>
      <c r="E65" s="68"/>
      <c r="F65" s="69">
        <v>1</v>
      </c>
      <c r="G65" s="70"/>
      <c r="H65" s="71">
        <v>0.5</v>
      </c>
      <c r="I65" s="71">
        <v>0</v>
      </c>
      <c r="J65" s="71">
        <v>0</v>
      </c>
    </row>
    <row r="66" customFormat="1" ht="27.95" hidden="1" customHeight="1" spans="1:10">
      <c r="A66" s="64"/>
      <c r="B66" s="73" t="s">
        <v>122</v>
      </c>
      <c r="C66" s="66" t="s">
        <v>123</v>
      </c>
      <c r="D66" s="67">
        <v>0.2174</v>
      </c>
      <c r="E66" s="68"/>
      <c r="F66" s="69">
        <v>1</v>
      </c>
      <c r="G66" s="70"/>
      <c r="H66" s="71">
        <v>0.5</v>
      </c>
      <c r="I66" s="71">
        <v>0</v>
      </c>
      <c r="J66" s="71">
        <v>0</v>
      </c>
    </row>
    <row r="67" customFormat="1" ht="27.95" hidden="1" customHeight="1" spans="1:10">
      <c r="A67" s="64"/>
      <c r="B67" s="73" t="s">
        <v>124</v>
      </c>
      <c r="C67" s="66" t="s">
        <v>125</v>
      </c>
      <c r="D67" s="67">
        <v>0.2174</v>
      </c>
      <c r="E67" s="68"/>
      <c r="F67" s="69">
        <v>1</v>
      </c>
      <c r="G67" s="70"/>
      <c r="H67" s="71">
        <v>0.5</v>
      </c>
      <c r="I67" s="71">
        <v>0</v>
      </c>
      <c r="J67" s="71">
        <v>0</v>
      </c>
    </row>
    <row r="68" customFormat="1" ht="27.95" hidden="1" customHeight="1" spans="1:10">
      <c r="A68" s="64"/>
      <c r="B68" s="73" t="s">
        <v>126</v>
      </c>
      <c r="C68" s="66" t="s">
        <v>127</v>
      </c>
      <c r="D68" s="67">
        <v>0.2174</v>
      </c>
      <c r="E68" s="68"/>
      <c r="F68" s="69">
        <v>1</v>
      </c>
      <c r="G68" s="70"/>
      <c r="H68" s="71">
        <v>0.5</v>
      </c>
      <c r="I68" s="71">
        <v>0</v>
      </c>
      <c r="J68" s="71">
        <v>0</v>
      </c>
    </row>
    <row r="69" customFormat="1" ht="27.95" hidden="1" customHeight="1" spans="1:10">
      <c r="A69" s="64"/>
      <c r="B69" s="73" t="s">
        <v>128</v>
      </c>
      <c r="C69" s="66" t="s">
        <v>129</v>
      </c>
      <c r="D69" s="67">
        <v>0.2174</v>
      </c>
      <c r="E69" s="68"/>
      <c r="F69" s="69">
        <v>1</v>
      </c>
      <c r="G69" s="70"/>
      <c r="H69" s="71">
        <v>0.5</v>
      </c>
      <c r="I69" s="71">
        <v>0</v>
      </c>
      <c r="J69" s="71">
        <v>0</v>
      </c>
    </row>
    <row r="70" customFormat="1" ht="27.95" hidden="1" customHeight="1" spans="1:10">
      <c r="A70" s="64"/>
      <c r="B70" s="73" t="s">
        <v>130</v>
      </c>
      <c r="C70" s="66" t="s">
        <v>131</v>
      </c>
      <c r="D70" s="67">
        <v>0.2174</v>
      </c>
      <c r="E70" s="68"/>
      <c r="F70" s="69">
        <v>1</v>
      </c>
      <c r="G70" s="70"/>
      <c r="H70" s="71">
        <v>0.5</v>
      </c>
      <c r="I70" s="71">
        <v>0</v>
      </c>
      <c r="J70" s="71">
        <v>0</v>
      </c>
    </row>
    <row r="71" customFormat="1" ht="27.95" hidden="1" customHeight="1" spans="1:10">
      <c r="A71" s="64"/>
      <c r="B71" s="73" t="s">
        <v>132</v>
      </c>
      <c r="C71" s="66" t="s">
        <v>133</v>
      </c>
      <c r="D71" s="67">
        <v>0.2174</v>
      </c>
      <c r="E71" s="68"/>
      <c r="F71" s="69">
        <v>1</v>
      </c>
      <c r="G71" s="70"/>
      <c r="H71" s="71">
        <v>0.5</v>
      </c>
      <c r="I71" s="71">
        <v>0</v>
      </c>
      <c r="J71" s="71">
        <v>0</v>
      </c>
    </row>
    <row r="72" customFormat="1" ht="27.95" hidden="1" customHeight="1" spans="1:10">
      <c r="A72" s="64"/>
      <c r="B72" s="73" t="s">
        <v>134</v>
      </c>
      <c r="C72" s="66" t="s">
        <v>135</v>
      </c>
      <c r="D72" s="67">
        <v>0.2174</v>
      </c>
      <c r="E72" s="68"/>
      <c r="F72" s="69">
        <v>1</v>
      </c>
      <c r="G72" s="70"/>
      <c r="H72" s="71">
        <v>0.5</v>
      </c>
      <c r="I72" s="71">
        <v>0</v>
      </c>
      <c r="J72" s="71">
        <v>0</v>
      </c>
    </row>
    <row r="73" customFormat="1" ht="27.95" hidden="1" customHeight="1" spans="1:10">
      <c r="A73" s="64"/>
      <c r="B73" s="73" t="s">
        <v>136</v>
      </c>
      <c r="C73" s="66" t="s">
        <v>137</v>
      </c>
      <c r="D73" s="67">
        <v>0.2174</v>
      </c>
      <c r="E73" s="68"/>
      <c r="F73" s="69">
        <v>1</v>
      </c>
      <c r="G73" s="70"/>
      <c r="H73" s="71">
        <v>0.5</v>
      </c>
      <c r="I73" s="71">
        <v>0</v>
      </c>
      <c r="J73" s="71">
        <v>0</v>
      </c>
    </row>
    <row r="74" customFormat="1" ht="27.95" hidden="1" customHeight="1" spans="1:10">
      <c r="A74" s="64"/>
      <c r="B74" s="73" t="s">
        <v>138</v>
      </c>
      <c r="C74" s="66" t="s">
        <v>139</v>
      </c>
      <c r="D74" s="67">
        <v>0.2174</v>
      </c>
      <c r="E74" s="68"/>
      <c r="F74" s="69">
        <v>1</v>
      </c>
      <c r="G74" s="70"/>
      <c r="H74" s="71">
        <v>0.5</v>
      </c>
      <c r="I74" s="71">
        <v>0</v>
      </c>
      <c r="J74" s="71">
        <v>0</v>
      </c>
    </row>
    <row r="75" customFormat="1" ht="27.95" hidden="1" customHeight="1" spans="1:10">
      <c r="A75" s="64"/>
      <c r="B75" s="73" t="s">
        <v>140</v>
      </c>
      <c r="C75" s="66" t="s">
        <v>141</v>
      </c>
      <c r="D75" s="67">
        <v>0.2174</v>
      </c>
      <c r="E75" s="68"/>
      <c r="F75" s="69">
        <v>1</v>
      </c>
      <c r="G75" s="70"/>
      <c r="H75" s="71">
        <v>0.5</v>
      </c>
      <c r="I75" s="71">
        <v>0</v>
      </c>
      <c r="J75" s="71">
        <v>0</v>
      </c>
    </row>
    <row r="76" customFormat="1" ht="27.95" hidden="1" customHeight="1" spans="1:10">
      <c r="A76" s="64"/>
      <c r="B76" s="73" t="s">
        <v>142</v>
      </c>
      <c r="C76" s="66" t="s">
        <v>143</v>
      </c>
      <c r="D76" s="67">
        <v>0.2174</v>
      </c>
      <c r="E76" s="68"/>
      <c r="F76" s="69">
        <v>1</v>
      </c>
      <c r="G76" s="70"/>
      <c r="H76" s="71">
        <v>0.5</v>
      </c>
      <c r="I76" s="71">
        <v>0</v>
      </c>
      <c r="J76" s="71">
        <v>0</v>
      </c>
    </row>
    <row r="77" customFormat="1" ht="27.95" hidden="1" customHeight="1" spans="1:10">
      <c r="A77" s="64"/>
      <c r="B77" s="73" t="s">
        <v>144</v>
      </c>
      <c r="C77" s="66" t="s">
        <v>145</v>
      </c>
      <c r="D77" s="67">
        <v>0.2174</v>
      </c>
      <c r="E77" s="68"/>
      <c r="F77" s="69">
        <v>1</v>
      </c>
      <c r="G77" s="70"/>
      <c r="H77" s="71">
        <v>0.5</v>
      </c>
      <c r="I77" s="71">
        <v>0</v>
      </c>
      <c r="J77" s="71">
        <v>0</v>
      </c>
    </row>
    <row r="78" customFormat="1" ht="27.95" hidden="1" customHeight="1" spans="1:10">
      <c r="A78" s="64"/>
      <c r="B78" s="73" t="s">
        <v>146</v>
      </c>
      <c r="C78" s="66" t="s">
        <v>147</v>
      </c>
      <c r="D78" s="67">
        <v>0.2174</v>
      </c>
      <c r="E78" s="68"/>
      <c r="F78" s="69">
        <v>1</v>
      </c>
      <c r="G78" s="70"/>
      <c r="H78" s="71">
        <v>0.5</v>
      </c>
      <c r="I78" s="71">
        <v>0</v>
      </c>
      <c r="J78" s="71">
        <v>0</v>
      </c>
    </row>
    <row r="79" customFormat="1" ht="27.95" hidden="1" customHeight="1" spans="1:10">
      <c r="A79" s="64"/>
      <c r="B79" s="73" t="s">
        <v>148</v>
      </c>
      <c r="C79" s="66" t="s">
        <v>149</v>
      </c>
      <c r="D79" s="67">
        <v>0.2174</v>
      </c>
      <c r="E79" s="68"/>
      <c r="F79" s="69">
        <v>1</v>
      </c>
      <c r="G79" s="70"/>
      <c r="H79" s="71">
        <v>0.5</v>
      </c>
      <c r="I79" s="71">
        <v>0</v>
      </c>
      <c r="J79" s="71">
        <v>0</v>
      </c>
    </row>
    <row r="80" customFormat="1" ht="27.95" hidden="1" customHeight="1" spans="1:10">
      <c r="A80" s="64"/>
      <c r="B80" s="73" t="s">
        <v>150</v>
      </c>
      <c r="C80" s="66" t="s">
        <v>151</v>
      </c>
      <c r="D80" s="67">
        <v>0.2174</v>
      </c>
      <c r="E80" s="68"/>
      <c r="F80" s="69">
        <v>1</v>
      </c>
      <c r="G80" s="70"/>
      <c r="H80" s="71">
        <v>0.5</v>
      </c>
      <c r="I80" s="71">
        <v>0</v>
      </c>
      <c r="J80" s="71">
        <v>0</v>
      </c>
    </row>
    <row r="81" customFormat="1" ht="27.95" hidden="1" customHeight="1" spans="1:10">
      <c r="A81" s="64"/>
      <c r="B81" s="73" t="s">
        <v>152</v>
      </c>
      <c r="C81" s="66" t="s">
        <v>153</v>
      </c>
      <c r="D81" s="67">
        <v>0.2174</v>
      </c>
      <c r="E81" s="68"/>
      <c r="F81" s="69">
        <v>1</v>
      </c>
      <c r="G81" s="70"/>
      <c r="H81" s="71">
        <v>0.5</v>
      </c>
      <c r="I81" s="71">
        <v>0</v>
      </c>
      <c r="J81" s="71">
        <v>0</v>
      </c>
    </row>
    <row r="82" customFormat="1" ht="27.95" hidden="1" customHeight="1" spans="1:10">
      <c r="A82" s="64"/>
      <c r="B82" s="73" t="s">
        <v>154</v>
      </c>
      <c r="C82" s="66" t="s">
        <v>155</v>
      </c>
      <c r="D82" s="67">
        <v>0.2174</v>
      </c>
      <c r="E82" s="68"/>
      <c r="F82" s="69">
        <v>1</v>
      </c>
      <c r="G82" s="70"/>
      <c r="H82" s="71">
        <v>0.5</v>
      </c>
      <c r="I82" s="71">
        <v>0</v>
      </c>
      <c r="J82" s="71">
        <v>0</v>
      </c>
    </row>
    <row r="83" customFormat="1" ht="27.95" hidden="1" customHeight="1" spans="1:10">
      <c r="A83" s="64"/>
      <c r="B83" s="73" t="s">
        <v>156</v>
      </c>
      <c r="C83" s="66" t="s">
        <v>157</v>
      </c>
      <c r="D83" s="67">
        <v>0.2174</v>
      </c>
      <c r="E83" s="68"/>
      <c r="F83" s="69">
        <v>1</v>
      </c>
      <c r="G83" s="70"/>
      <c r="H83" s="71">
        <v>0.5</v>
      </c>
      <c r="I83" s="71">
        <v>0</v>
      </c>
      <c r="J83" s="71">
        <v>0</v>
      </c>
    </row>
    <row r="84" customFormat="1" ht="27.95" hidden="1" customHeight="1" spans="1:10">
      <c r="A84" s="64"/>
      <c r="B84" s="73" t="s">
        <v>158</v>
      </c>
      <c r="C84" s="66" t="s">
        <v>159</v>
      </c>
      <c r="D84" s="67">
        <v>0.2174</v>
      </c>
      <c r="E84" s="68"/>
      <c r="F84" s="69">
        <v>1</v>
      </c>
      <c r="G84" s="70"/>
      <c r="H84" s="71">
        <v>0.5</v>
      </c>
      <c r="I84" s="71">
        <v>0</v>
      </c>
      <c r="J84" s="71">
        <v>0</v>
      </c>
    </row>
    <row r="85" customFormat="1" ht="27.95" hidden="1" customHeight="1" spans="1:10">
      <c r="A85" s="64"/>
      <c r="B85" s="73" t="s">
        <v>160</v>
      </c>
      <c r="C85" s="66" t="s">
        <v>161</v>
      </c>
      <c r="D85" s="67">
        <v>0.2174</v>
      </c>
      <c r="E85" s="68"/>
      <c r="F85" s="69">
        <v>1</v>
      </c>
      <c r="G85" s="70"/>
      <c r="H85" s="71">
        <v>0.5</v>
      </c>
      <c r="I85" s="71">
        <v>0</v>
      </c>
      <c r="J85" s="71">
        <v>0</v>
      </c>
    </row>
    <row r="86" customFormat="1" ht="27.95" hidden="1" customHeight="1" spans="1:10">
      <c r="A86" s="64"/>
      <c r="B86" s="73" t="s">
        <v>162</v>
      </c>
      <c r="C86" s="66" t="s">
        <v>163</v>
      </c>
      <c r="D86" s="67">
        <v>0.2174</v>
      </c>
      <c r="E86" s="68"/>
      <c r="F86" s="69">
        <v>1</v>
      </c>
      <c r="G86" s="70"/>
      <c r="H86" s="71">
        <v>0.5</v>
      </c>
      <c r="I86" s="71">
        <v>0</v>
      </c>
      <c r="J86" s="71">
        <v>0</v>
      </c>
    </row>
    <row r="87" customFormat="1" ht="27.95" hidden="1" customHeight="1" spans="1:10">
      <c r="A87" s="64"/>
      <c r="B87" s="73" t="s">
        <v>164</v>
      </c>
      <c r="C87" s="66" t="s">
        <v>165</v>
      </c>
      <c r="D87" s="67">
        <v>0.2174</v>
      </c>
      <c r="E87" s="68"/>
      <c r="F87" s="69">
        <v>1</v>
      </c>
      <c r="G87" s="70"/>
      <c r="H87" s="71">
        <v>0.5</v>
      </c>
      <c r="I87" s="71">
        <v>0</v>
      </c>
      <c r="J87" s="71">
        <v>0</v>
      </c>
    </row>
    <row r="88" customFormat="1" ht="27.95" hidden="1" customHeight="1" spans="1:10">
      <c r="A88" s="64"/>
      <c r="B88" s="73" t="s">
        <v>166</v>
      </c>
      <c r="C88" s="66" t="s">
        <v>167</v>
      </c>
      <c r="D88" s="67">
        <v>0.2174</v>
      </c>
      <c r="E88" s="68"/>
      <c r="F88" s="69">
        <v>1</v>
      </c>
      <c r="G88" s="70"/>
      <c r="H88" s="71">
        <v>0.5</v>
      </c>
      <c r="I88" s="71">
        <v>0</v>
      </c>
      <c r="J88" s="71">
        <v>0</v>
      </c>
    </row>
    <row r="89" customFormat="1" ht="27.95" hidden="1" customHeight="1" spans="1:10">
      <c r="A89" s="64"/>
      <c r="B89" s="73" t="s">
        <v>168</v>
      </c>
      <c r="C89" s="66" t="s">
        <v>169</v>
      </c>
      <c r="D89" s="67">
        <v>0.2174</v>
      </c>
      <c r="E89" s="68"/>
      <c r="F89" s="69">
        <v>1</v>
      </c>
      <c r="G89" s="70"/>
      <c r="H89" s="71">
        <v>0.5</v>
      </c>
      <c r="I89" s="71">
        <v>0</v>
      </c>
      <c r="J89" s="71">
        <v>0</v>
      </c>
    </row>
    <row r="90" customFormat="1" ht="27.95" hidden="1" customHeight="1" spans="1:10">
      <c r="A90" s="64"/>
      <c r="B90" s="73" t="s">
        <v>170</v>
      </c>
      <c r="C90" s="66" t="s">
        <v>171</v>
      </c>
      <c r="D90" s="67">
        <v>0.2174</v>
      </c>
      <c r="E90" s="68"/>
      <c r="F90" s="69">
        <v>1</v>
      </c>
      <c r="G90" s="70"/>
      <c r="H90" s="71">
        <v>0.5</v>
      </c>
      <c r="I90" s="71">
        <v>0</v>
      </c>
      <c r="J90" s="71">
        <v>0</v>
      </c>
    </row>
    <row r="91" customFormat="1" ht="27.95" hidden="1" customHeight="1" spans="1:10">
      <c r="A91" s="64"/>
      <c r="B91" s="73" t="s">
        <v>172</v>
      </c>
      <c r="C91" s="66" t="s">
        <v>173</v>
      </c>
      <c r="D91" s="67">
        <v>0.2174</v>
      </c>
      <c r="E91" s="68"/>
      <c r="F91" s="69">
        <v>1</v>
      </c>
      <c r="G91" s="70"/>
      <c r="H91" s="71">
        <v>0.5</v>
      </c>
      <c r="I91" s="71">
        <v>0</v>
      </c>
      <c r="J91" s="71">
        <v>0</v>
      </c>
    </row>
    <row r="92" customFormat="1" ht="27.95" hidden="1" customHeight="1" spans="1:10">
      <c r="A92" s="64"/>
      <c r="B92" s="73" t="s">
        <v>174</v>
      </c>
      <c r="C92" s="66" t="s">
        <v>175</v>
      </c>
      <c r="D92" s="67">
        <v>0.2174</v>
      </c>
      <c r="E92" s="68"/>
      <c r="F92" s="69">
        <v>1</v>
      </c>
      <c r="G92" s="70"/>
      <c r="H92" s="71">
        <v>0.5</v>
      </c>
      <c r="I92" s="71">
        <v>0</v>
      </c>
      <c r="J92" s="71">
        <v>0</v>
      </c>
    </row>
    <row r="93" customFormat="1" ht="27.95" hidden="1" customHeight="1" spans="1:10">
      <c r="A93" s="64"/>
      <c r="B93" s="73" t="s">
        <v>176</v>
      </c>
      <c r="C93" s="66" t="s">
        <v>177</v>
      </c>
      <c r="D93" s="67">
        <v>0.2174</v>
      </c>
      <c r="E93" s="68"/>
      <c r="F93" s="69">
        <v>1</v>
      </c>
      <c r="G93" s="70"/>
      <c r="H93" s="71">
        <v>0.5</v>
      </c>
      <c r="I93" s="71">
        <v>0</v>
      </c>
      <c r="J93" s="71">
        <v>0</v>
      </c>
    </row>
    <row r="94" customFormat="1" ht="27.95" hidden="1" customHeight="1" spans="1:10">
      <c r="A94" s="64"/>
      <c r="B94" s="73" t="s">
        <v>178</v>
      </c>
      <c r="C94" s="66" t="s">
        <v>179</v>
      </c>
      <c r="D94" s="67">
        <v>0.2174</v>
      </c>
      <c r="E94" s="68"/>
      <c r="F94" s="69">
        <v>1</v>
      </c>
      <c r="G94" s="70"/>
      <c r="H94" s="71">
        <v>0.5</v>
      </c>
      <c r="I94" s="71">
        <v>0</v>
      </c>
      <c r="J94" s="71">
        <v>0</v>
      </c>
    </row>
    <row r="95" customFormat="1" ht="27.95" hidden="1" customHeight="1" spans="1:10">
      <c r="A95" s="64"/>
      <c r="B95" s="73" t="s">
        <v>180</v>
      </c>
      <c r="C95" s="66" t="s">
        <v>181</v>
      </c>
      <c r="D95" s="67">
        <v>0.2174</v>
      </c>
      <c r="E95" s="68"/>
      <c r="F95" s="69">
        <v>1</v>
      </c>
      <c r="G95" s="70"/>
      <c r="H95" s="71">
        <v>0.5</v>
      </c>
      <c r="I95" s="71">
        <v>0</v>
      </c>
      <c r="J95" s="71">
        <v>0</v>
      </c>
    </row>
    <row r="96" customFormat="1" ht="27.95" hidden="1" customHeight="1" spans="1:10">
      <c r="A96" s="64"/>
      <c r="B96" s="73" t="s">
        <v>182</v>
      </c>
      <c r="C96" s="66" t="s">
        <v>183</v>
      </c>
      <c r="D96" s="67">
        <v>0.2174</v>
      </c>
      <c r="E96" s="68"/>
      <c r="F96" s="69">
        <v>1</v>
      </c>
      <c r="G96" s="70"/>
      <c r="H96" s="71">
        <v>0.5</v>
      </c>
      <c r="I96" s="71">
        <v>0</v>
      </c>
      <c r="J96" s="71">
        <v>0</v>
      </c>
    </row>
    <row r="97" customFormat="1" ht="27.95" hidden="1" customHeight="1" spans="1:10">
      <c r="A97" s="64"/>
      <c r="B97" s="73" t="s">
        <v>184</v>
      </c>
      <c r="C97" s="66" t="s">
        <v>185</v>
      </c>
      <c r="D97" s="67">
        <v>0.6087</v>
      </c>
      <c r="E97" s="68"/>
      <c r="F97" s="69">
        <v>2</v>
      </c>
      <c r="G97" s="70"/>
      <c r="H97" s="71">
        <v>1.4</v>
      </c>
      <c r="I97" s="71">
        <v>0</v>
      </c>
      <c r="J97" s="71">
        <v>0</v>
      </c>
    </row>
    <row r="98" customFormat="1" ht="27.95" hidden="1" customHeight="1" spans="1:10">
      <c r="A98" s="64"/>
      <c r="B98" s="73" t="s">
        <v>186</v>
      </c>
      <c r="C98" s="66" t="s">
        <v>187</v>
      </c>
      <c r="D98" s="67">
        <v>0.4348</v>
      </c>
      <c r="E98" s="68"/>
      <c r="F98" s="69">
        <v>2</v>
      </c>
      <c r="G98" s="70"/>
      <c r="H98" s="71">
        <v>1</v>
      </c>
      <c r="I98" s="71">
        <v>0</v>
      </c>
      <c r="J98" s="71">
        <v>0</v>
      </c>
    </row>
    <row r="99" customFormat="1" ht="27.95" hidden="1" customHeight="1" spans="1:10">
      <c r="A99" s="64"/>
      <c r="B99" s="73" t="s">
        <v>188</v>
      </c>
      <c r="C99" s="66" t="s">
        <v>189</v>
      </c>
      <c r="D99" s="67">
        <v>0.3913</v>
      </c>
      <c r="E99" s="68"/>
      <c r="F99" s="69">
        <v>1.5</v>
      </c>
      <c r="G99" s="70"/>
      <c r="H99" s="71">
        <v>0.9</v>
      </c>
      <c r="I99" s="71">
        <v>0</v>
      </c>
      <c r="J99" s="71">
        <v>0</v>
      </c>
    </row>
    <row r="100" customFormat="1" ht="27.95" hidden="1" customHeight="1" spans="1:10">
      <c r="A100" s="64"/>
      <c r="B100" s="73" t="s">
        <v>190</v>
      </c>
      <c r="C100" s="66" t="s">
        <v>191</v>
      </c>
      <c r="D100" s="67">
        <v>0.3913</v>
      </c>
      <c r="E100" s="68"/>
      <c r="F100" s="69">
        <v>1.4</v>
      </c>
      <c r="G100" s="70"/>
      <c r="H100" s="71">
        <v>0.9</v>
      </c>
      <c r="I100" s="71">
        <v>0</v>
      </c>
      <c r="J100" s="71">
        <v>0</v>
      </c>
    </row>
    <row r="101" customFormat="1" ht="27.95" hidden="1" customHeight="1" spans="1:10">
      <c r="A101" s="64"/>
      <c r="B101" s="73" t="s">
        <v>192</v>
      </c>
      <c r="C101" s="66" t="s">
        <v>193</v>
      </c>
      <c r="D101" s="67">
        <v>0.4348</v>
      </c>
      <c r="E101" s="68"/>
      <c r="F101" s="69">
        <v>2.5</v>
      </c>
      <c r="G101" s="70"/>
      <c r="H101" s="71">
        <v>1</v>
      </c>
      <c r="I101" s="71">
        <v>0</v>
      </c>
      <c r="J101" s="71">
        <v>0</v>
      </c>
    </row>
    <row r="102" customFormat="1" ht="27.95" hidden="1" customHeight="1" spans="1:10">
      <c r="A102" s="64"/>
      <c r="B102" s="73" t="s">
        <v>194</v>
      </c>
      <c r="C102" s="66" t="s">
        <v>195</v>
      </c>
      <c r="D102" s="67">
        <v>0.3913</v>
      </c>
      <c r="E102" s="68"/>
      <c r="F102" s="69">
        <v>2.5</v>
      </c>
      <c r="G102" s="70"/>
      <c r="H102" s="71">
        <v>0.9</v>
      </c>
      <c r="I102" s="71">
        <v>0</v>
      </c>
      <c r="J102" s="71">
        <v>0</v>
      </c>
    </row>
    <row r="103" customFormat="1" ht="27.95" hidden="1" customHeight="1" spans="1:10">
      <c r="A103" s="64"/>
      <c r="B103" s="73" t="s">
        <v>196</v>
      </c>
      <c r="C103" s="66" t="s">
        <v>197</v>
      </c>
      <c r="D103" s="67">
        <v>0.3913</v>
      </c>
      <c r="E103" s="68"/>
      <c r="F103" s="69">
        <v>1.4</v>
      </c>
      <c r="G103" s="70"/>
      <c r="H103" s="71">
        <v>0.9</v>
      </c>
      <c r="I103" s="71">
        <v>0</v>
      </c>
      <c r="J103" s="71">
        <v>0</v>
      </c>
    </row>
    <row r="104" customFormat="1" ht="27.95" hidden="1" customHeight="1" spans="1:10">
      <c r="A104" s="64"/>
      <c r="B104" s="73" t="s">
        <v>198</v>
      </c>
      <c r="C104" s="66" t="s">
        <v>199</v>
      </c>
      <c r="D104" s="67">
        <v>0.3913</v>
      </c>
      <c r="E104" s="68"/>
      <c r="F104" s="69">
        <v>2.5</v>
      </c>
      <c r="G104" s="70"/>
      <c r="H104" s="71">
        <v>1</v>
      </c>
      <c r="I104" s="71">
        <v>0</v>
      </c>
      <c r="J104" s="71">
        <v>0</v>
      </c>
    </row>
    <row r="105" customFormat="1" ht="27.95" hidden="1" customHeight="1" spans="1:10">
      <c r="A105" s="64"/>
      <c r="B105" s="73" t="s">
        <v>200</v>
      </c>
      <c r="C105" s="66" t="s">
        <v>201</v>
      </c>
      <c r="D105" s="67">
        <v>0.3913</v>
      </c>
      <c r="E105" s="68"/>
      <c r="F105" s="69">
        <v>1.4</v>
      </c>
      <c r="G105" s="70"/>
      <c r="H105" s="71">
        <v>0.9</v>
      </c>
      <c r="I105" s="71">
        <v>0</v>
      </c>
      <c r="J105" s="71">
        <v>0</v>
      </c>
    </row>
    <row r="106" customFormat="1" ht="27.95" hidden="1" customHeight="1" spans="1:10">
      <c r="A106" s="64"/>
      <c r="B106" s="73" t="s">
        <v>202</v>
      </c>
      <c r="C106" s="66" t="s">
        <v>203</v>
      </c>
      <c r="D106" s="67">
        <v>0.4348</v>
      </c>
      <c r="E106" s="68"/>
      <c r="F106" s="69">
        <v>1.4</v>
      </c>
      <c r="G106" s="70"/>
      <c r="H106" s="71">
        <v>1</v>
      </c>
      <c r="I106" s="71">
        <v>0</v>
      </c>
      <c r="J106" s="71">
        <v>0</v>
      </c>
    </row>
    <row r="107" customFormat="1" ht="27.95" hidden="1" customHeight="1" spans="1:10">
      <c r="A107" s="64"/>
      <c r="B107" s="73" t="s">
        <v>204</v>
      </c>
      <c r="C107" s="66" t="s">
        <v>205</v>
      </c>
      <c r="D107" s="67">
        <v>0.4348</v>
      </c>
      <c r="E107" s="68"/>
      <c r="F107" s="69">
        <v>2.5</v>
      </c>
      <c r="G107" s="70"/>
      <c r="H107" s="71">
        <v>1</v>
      </c>
      <c r="I107" s="71">
        <v>0</v>
      </c>
      <c r="J107" s="71">
        <v>0</v>
      </c>
    </row>
    <row r="108" customFormat="1" ht="27.95" hidden="1" customHeight="1" spans="1:10">
      <c r="A108" s="64"/>
      <c r="B108" s="73" t="s">
        <v>206</v>
      </c>
      <c r="C108" s="66" t="s">
        <v>207</v>
      </c>
      <c r="D108" s="67">
        <v>2.6087</v>
      </c>
      <c r="E108" s="68"/>
      <c r="F108" s="69">
        <v>9</v>
      </c>
      <c r="G108" s="70"/>
      <c r="H108" s="71">
        <v>6</v>
      </c>
      <c r="I108" s="71">
        <v>0</v>
      </c>
      <c r="J108" s="71">
        <v>0</v>
      </c>
    </row>
    <row r="109" customFormat="1" ht="27.95" hidden="1" customHeight="1" spans="1:10">
      <c r="A109" s="64"/>
      <c r="B109" s="73" t="s">
        <v>208</v>
      </c>
      <c r="C109" s="66" t="s">
        <v>209</v>
      </c>
      <c r="D109" s="67">
        <v>3.3043</v>
      </c>
      <c r="E109" s="68"/>
      <c r="F109" s="79">
        <v>10</v>
      </c>
      <c r="G109" s="80"/>
      <c r="H109" s="71">
        <v>7.6</v>
      </c>
      <c r="I109" s="71">
        <v>0</v>
      </c>
      <c r="J109" s="71">
        <v>0</v>
      </c>
    </row>
    <row r="110" customFormat="1" ht="27.95" hidden="1" customHeight="1" spans="1:10">
      <c r="A110" s="64"/>
      <c r="B110" s="73" t="s">
        <v>210</v>
      </c>
      <c r="C110" s="66" t="s">
        <v>211</v>
      </c>
      <c r="D110" s="67">
        <v>1.2609</v>
      </c>
      <c r="E110" s="68"/>
      <c r="F110" s="69">
        <v>4.7</v>
      </c>
      <c r="G110" s="70"/>
      <c r="H110" s="71">
        <v>3</v>
      </c>
      <c r="I110" s="71">
        <v>0</v>
      </c>
      <c r="J110" s="71">
        <v>0</v>
      </c>
    </row>
    <row r="111" customFormat="1" ht="27.95" hidden="1" customHeight="1" spans="1:10">
      <c r="A111" s="64"/>
      <c r="B111" s="73" t="s">
        <v>212</v>
      </c>
      <c r="C111" s="66" t="s">
        <v>213</v>
      </c>
      <c r="D111" s="67">
        <v>2.6087</v>
      </c>
      <c r="E111" s="68"/>
      <c r="F111" s="69">
        <v>9</v>
      </c>
      <c r="G111" s="70"/>
      <c r="H111" s="71">
        <v>6</v>
      </c>
      <c r="I111" s="71">
        <v>0</v>
      </c>
      <c r="J111" s="71">
        <v>0</v>
      </c>
    </row>
    <row r="112" customFormat="1" ht="27.95" hidden="1" customHeight="1" spans="1:10">
      <c r="A112" s="64"/>
      <c r="B112" s="73" t="s">
        <v>214</v>
      </c>
      <c r="C112" s="66" t="s">
        <v>215</v>
      </c>
      <c r="D112" s="67">
        <v>0.5652</v>
      </c>
      <c r="E112" s="68"/>
      <c r="F112" s="69">
        <v>2.1</v>
      </c>
      <c r="G112" s="70"/>
      <c r="H112" s="71">
        <v>1.3</v>
      </c>
      <c r="I112" s="71">
        <v>0</v>
      </c>
      <c r="J112" s="71">
        <v>0</v>
      </c>
    </row>
    <row r="113" customFormat="1" ht="27.95" hidden="1" customHeight="1" spans="1:10">
      <c r="A113" s="64"/>
      <c r="B113" s="73" t="s">
        <v>216</v>
      </c>
      <c r="C113" s="66" t="s">
        <v>217</v>
      </c>
      <c r="D113" s="67">
        <v>2.6087</v>
      </c>
      <c r="E113" s="68"/>
      <c r="F113" s="69">
        <v>9</v>
      </c>
      <c r="G113" s="70"/>
      <c r="H113" s="71">
        <v>6</v>
      </c>
      <c r="I113" s="71">
        <v>0</v>
      </c>
      <c r="J113" s="71">
        <v>0</v>
      </c>
    </row>
    <row r="114" customFormat="1" ht="27.95" hidden="1" customHeight="1" spans="1:10">
      <c r="A114" s="64"/>
      <c r="B114" s="73" t="s">
        <v>218</v>
      </c>
      <c r="C114" s="66" t="s">
        <v>219</v>
      </c>
      <c r="D114" s="67">
        <v>0.2174</v>
      </c>
      <c r="E114" s="68"/>
      <c r="F114" s="69">
        <v>1</v>
      </c>
      <c r="G114" s="70"/>
      <c r="H114" s="71">
        <v>0.5</v>
      </c>
      <c r="I114" s="71">
        <v>0</v>
      </c>
      <c r="J114" s="71">
        <v>0</v>
      </c>
    </row>
    <row r="115" customFormat="1" ht="27.95" hidden="1" customHeight="1" spans="1:10">
      <c r="A115" s="64"/>
      <c r="B115" s="73" t="s">
        <v>220</v>
      </c>
      <c r="C115" s="66" t="s">
        <v>221</v>
      </c>
      <c r="D115" s="67">
        <v>0.2174</v>
      </c>
      <c r="E115" s="68"/>
      <c r="F115" s="69">
        <v>1</v>
      </c>
      <c r="G115" s="70"/>
      <c r="H115" s="71">
        <v>0.5</v>
      </c>
      <c r="I115" s="71">
        <v>0</v>
      </c>
      <c r="J115" s="71">
        <v>0</v>
      </c>
    </row>
    <row r="116" customFormat="1" ht="27.95" hidden="1" customHeight="1" spans="1:10">
      <c r="A116" s="64"/>
      <c r="B116" s="73" t="s">
        <v>222</v>
      </c>
      <c r="C116" s="66" t="s">
        <v>223</v>
      </c>
      <c r="D116" s="67">
        <v>0.2174</v>
      </c>
      <c r="E116" s="68"/>
      <c r="F116" s="69">
        <v>1</v>
      </c>
      <c r="G116" s="70"/>
      <c r="H116" s="71">
        <v>0.5</v>
      </c>
      <c r="I116" s="71">
        <v>0</v>
      </c>
      <c r="J116" s="71">
        <v>0</v>
      </c>
    </row>
    <row r="117" customFormat="1" ht="27.95" hidden="1" customHeight="1" spans="1:10">
      <c r="A117" s="64"/>
      <c r="B117" s="73" t="s">
        <v>224</v>
      </c>
      <c r="C117" s="66" t="s">
        <v>225</v>
      </c>
      <c r="D117" s="67">
        <v>0.2174</v>
      </c>
      <c r="E117" s="68"/>
      <c r="F117" s="69">
        <v>1</v>
      </c>
      <c r="G117" s="70"/>
      <c r="H117" s="71">
        <v>0.5</v>
      </c>
      <c r="I117" s="71">
        <v>0</v>
      </c>
      <c r="J117" s="71">
        <v>0</v>
      </c>
    </row>
    <row r="118" customFormat="1" ht="27.95" hidden="1" customHeight="1" spans="1:10">
      <c r="A118" s="64"/>
      <c r="B118" s="73" t="s">
        <v>226</v>
      </c>
      <c r="C118" s="66" t="s">
        <v>227</v>
      </c>
      <c r="D118" s="67">
        <v>0.2174</v>
      </c>
      <c r="E118" s="68"/>
      <c r="F118" s="69">
        <v>1</v>
      </c>
      <c r="G118" s="70"/>
      <c r="H118" s="71">
        <v>0.5</v>
      </c>
      <c r="I118" s="71">
        <v>0</v>
      </c>
      <c r="J118" s="71">
        <v>0</v>
      </c>
    </row>
    <row r="119" customFormat="1" ht="27.95" hidden="1" customHeight="1" spans="1:10">
      <c r="A119" s="64"/>
      <c r="B119" s="73" t="s">
        <v>228</v>
      </c>
      <c r="C119" s="66" t="s">
        <v>229</v>
      </c>
      <c r="D119" s="67">
        <v>0.2174</v>
      </c>
      <c r="E119" s="68"/>
      <c r="F119" s="69">
        <v>1</v>
      </c>
      <c r="G119" s="70"/>
      <c r="H119" s="71">
        <v>0.5</v>
      </c>
      <c r="I119" s="71">
        <v>0</v>
      </c>
      <c r="J119" s="71">
        <v>0</v>
      </c>
    </row>
    <row r="120" customFormat="1" ht="27.95" hidden="1" customHeight="1" spans="1:10">
      <c r="A120" s="64"/>
      <c r="B120" s="73" t="s">
        <v>230</v>
      </c>
      <c r="C120" s="66" t="s">
        <v>231</v>
      </c>
      <c r="D120" s="67">
        <v>0.2174</v>
      </c>
      <c r="E120" s="68"/>
      <c r="F120" s="69">
        <v>1</v>
      </c>
      <c r="G120" s="70"/>
      <c r="H120" s="71">
        <v>0.5</v>
      </c>
      <c r="I120" s="71">
        <v>0</v>
      </c>
      <c r="J120" s="71">
        <v>0</v>
      </c>
    </row>
    <row r="121" customFormat="1" ht="27.95" hidden="1" customHeight="1" spans="1:10">
      <c r="A121" s="64"/>
      <c r="B121" s="73" t="s">
        <v>232</v>
      </c>
      <c r="C121" s="66" t="s">
        <v>233</v>
      </c>
      <c r="D121" s="67">
        <v>0.2174</v>
      </c>
      <c r="E121" s="68"/>
      <c r="F121" s="69">
        <v>1</v>
      </c>
      <c r="G121" s="70"/>
      <c r="H121" s="71">
        <v>0.5</v>
      </c>
      <c r="I121" s="71">
        <v>0</v>
      </c>
      <c r="J121" s="71">
        <v>0</v>
      </c>
    </row>
    <row r="122" customFormat="1" ht="27.95" hidden="1" customHeight="1" spans="1:10">
      <c r="A122" s="64"/>
      <c r="B122" s="73" t="s">
        <v>234</v>
      </c>
      <c r="C122" s="66" t="s">
        <v>235</v>
      </c>
      <c r="D122" s="67">
        <v>0.2174</v>
      </c>
      <c r="E122" s="68"/>
      <c r="F122" s="69">
        <v>1</v>
      </c>
      <c r="G122" s="70"/>
      <c r="H122" s="71">
        <v>0.5</v>
      </c>
      <c r="I122" s="71">
        <v>0</v>
      </c>
      <c r="J122" s="71">
        <v>0</v>
      </c>
    </row>
    <row r="123" customFormat="1" ht="27.95" hidden="1" customHeight="1" spans="1:10">
      <c r="A123" s="64"/>
      <c r="B123" s="73" t="s">
        <v>236</v>
      </c>
      <c r="C123" s="66" t="s">
        <v>237</v>
      </c>
      <c r="D123" s="67">
        <v>0.2174</v>
      </c>
      <c r="E123" s="68"/>
      <c r="F123" s="69">
        <v>1</v>
      </c>
      <c r="G123" s="70"/>
      <c r="H123" s="71">
        <v>0.5</v>
      </c>
      <c r="I123" s="71">
        <v>0</v>
      </c>
      <c r="J123" s="71">
        <v>0</v>
      </c>
    </row>
    <row r="124" customFormat="1" ht="27.95" hidden="1" customHeight="1" spans="1:10">
      <c r="A124" s="64"/>
      <c r="B124" s="73" t="s">
        <v>238</v>
      </c>
      <c r="C124" s="66" t="s">
        <v>239</v>
      </c>
      <c r="D124" s="67">
        <v>0.2174</v>
      </c>
      <c r="E124" s="68"/>
      <c r="F124" s="69">
        <v>1</v>
      </c>
      <c r="G124" s="70"/>
      <c r="H124" s="71">
        <v>0.5</v>
      </c>
      <c r="I124" s="71">
        <v>0</v>
      </c>
      <c r="J124" s="71">
        <v>0</v>
      </c>
    </row>
    <row r="125" customFormat="1" ht="27.95" hidden="1" customHeight="1" spans="1:10">
      <c r="A125" s="64"/>
      <c r="B125" s="73" t="s">
        <v>240</v>
      </c>
      <c r="C125" s="66" t="s">
        <v>241</v>
      </c>
      <c r="D125" s="67">
        <v>0.2174</v>
      </c>
      <c r="E125" s="68"/>
      <c r="F125" s="69">
        <v>1</v>
      </c>
      <c r="G125" s="70"/>
      <c r="H125" s="71">
        <v>0.5</v>
      </c>
      <c r="I125" s="71">
        <v>0</v>
      </c>
      <c r="J125" s="71">
        <v>0</v>
      </c>
    </row>
    <row r="126" customFormat="1" ht="27.95" hidden="1" customHeight="1" spans="1:10">
      <c r="A126" s="64"/>
      <c r="B126" s="73" t="s">
        <v>242</v>
      </c>
      <c r="C126" s="66" t="s">
        <v>243</v>
      </c>
      <c r="D126" s="67">
        <v>0.2174</v>
      </c>
      <c r="E126" s="68"/>
      <c r="F126" s="69">
        <v>1</v>
      </c>
      <c r="G126" s="70"/>
      <c r="H126" s="71">
        <v>0.5</v>
      </c>
      <c r="I126" s="71">
        <v>0</v>
      </c>
      <c r="J126" s="71">
        <v>0</v>
      </c>
    </row>
    <row r="127" customFormat="1" ht="27.95" hidden="1" customHeight="1" spans="1:10">
      <c r="A127" s="64"/>
      <c r="B127" s="73" t="s">
        <v>244</v>
      </c>
      <c r="C127" s="66" t="s">
        <v>245</v>
      </c>
      <c r="D127" s="67">
        <v>0.2174</v>
      </c>
      <c r="E127" s="68"/>
      <c r="F127" s="69">
        <v>1</v>
      </c>
      <c r="G127" s="70"/>
      <c r="H127" s="71">
        <v>0.5</v>
      </c>
      <c r="I127" s="71">
        <v>0</v>
      </c>
      <c r="J127" s="71">
        <v>0</v>
      </c>
    </row>
    <row r="128" customFormat="1" ht="27.95" hidden="1" customHeight="1" spans="1:10">
      <c r="A128" s="64"/>
      <c r="B128" s="73" t="s">
        <v>246</v>
      </c>
      <c r="C128" s="66" t="s">
        <v>247</v>
      </c>
      <c r="D128" s="67">
        <v>0.2174</v>
      </c>
      <c r="E128" s="68"/>
      <c r="F128" s="69">
        <v>1</v>
      </c>
      <c r="G128" s="70"/>
      <c r="H128" s="71">
        <v>0.5</v>
      </c>
      <c r="I128" s="71">
        <v>0</v>
      </c>
      <c r="J128" s="71">
        <v>0</v>
      </c>
    </row>
    <row r="129" ht="27.95" hidden="1" customHeight="1" spans="1:21">
      <c r="A129" s="64"/>
      <c r="B129" s="73" t="s">
        <v>248</v>
      </c>
      <c r="C129" s="66" t="s">
        <v>249</v>
      </c>
      <c r="D129" s="67">
        <v>0.2174</v>
      </c>
      <c r="E129" s="68"/>
      <c r="F129" s="69">
        <v>1</v>
      </c>
      <c r="G129" s="70"/>
      <c r="H129" s="71">
        <v>0.5</v>
      </c>
      <c r="I129" s="71">
        <v>0</v>
      </c>
      <c r="J129" s="71">
        <v>0</v>
      </c>
      <c r="M129"/>
      <c r="N129"/>
      <c r="O129"/>
      <c r="P129"/>
      <c r="Q129"/>
      <c r="R129"/>
      <c r="S129"/>
      <c r="T129"/>
      <c r="U129"/>
    </row>
    <row r="130" ht="27.95" hidden="1" customHeight="1" spans="1:21">
      <c r="A130" s="64"/>
      <c r="B130" s="73" t="s">
        <v>250</v>
      </c>
      <c r="C130" s="66" t="s">
        <v>251</v>
      </c>
      <c r="D130" s="67">
        <v>0.2174</v>
      </c>
      <c r="E130" s="68"/>
      <c r="F130" s="69">
        <v>1</v>
      </c>
      <c r="G130" s="70"/>
      <c r="H130" s="71">
        <v>0.5</v>
      </c>
      <c r="I130" s="71">
        <v>0</v>
      </c>
      <c r="J130" s="71">
        <v>0</v>
      </c>
      <c r="M130"/>
      <c r="N130"/>
      <c r="O130"/>
      <c r="P130"/>
      <c r="Q130"/>
      <c r="R130"/>
      <c r="S130"/>
      <c r="T130"/>
      <c r="U130"/>
    </row>
    <row r="131" ht="27.95" hidden="1" customHeight="1" spans="1:21">
      <c r="A131" s="64"/>
      <c r="B131" s="73" t="s">
        <v>252</v>
      </c>
      <c r="C131" s="66" t="s">
        <v>253</v>
      </c>
      <c r="D131" s="67">
        <v>0.2174</v>
      </c>
      <c r="E131" s="68"/>
      <c r="F131" s="69">
        <v>1</v>
      </c>
      <c r="G131" s="70"/>
      <c r="H131" s="71">
        <v>0.5</v>
      </c>
      <c r="I131" s="71">
        <v>0</v>
      </c>
      <c r="J131" s="71">
        <v>0</v>
      </c>
      <c r="M131"/>
      <c r="N131"/>
      <c r="O131"/>
      <c r="P131"/>
      <c r="Q131"/>
      <c r="R131"/>
      <c r="S131"/>
      <c r="T131"/>
      <c r="U131"/>
    </row>
    <row r="132" ht="27.95" hidden="1" customHeight="1" spans="1:21">
      <c r="A132" s="64"/>
      <c r="B132" s="73" t="s">
        <v>254</v>
      </c>
      <c r="C132" s="66" t="s">
        <v>255</v>
      </c>
      <c r="D132" s="67">
        <v>0.2174</v>
      </c>
      <c r="E132" s="68"/>
      <c r="F132" s="69">
        <v>1</v>
      </c>
      <c r="G132" s="70"/>
      <c r="H132" s="71">
        <v>0.5</v>
      </c>
      <c r="I132" s="71">
        <v>0</v>
      </c>
      <c r="J132" s="71">
        <v>0</v>
      </c>
      <c r="M132"/>
      <c r="N132"/>
      <c r="O132"/>
      <c r="P132"/>
      <c r="Q132"/>
      <c r="R132"/>
      <c r="S132"/>
      <c r="T132"/>
      <c r="U132"/>
    </row>
    <row r="133" ht="27.95" hidden="1" customHeight="1" spans="1:21">
      <c r="A133" s="64"/>
      <c r="B133" s="73" t="s">
        <v>256</v>
      </c>
      <c r="C133" s="66" t="s">
        <v>257</v>
      </c>
      <c r="D133" s="67">
        <v>0.2174</v>
      </c>
      <c r="E133" s="68"/>
      <c r="F133" s="69">
        <v>1</v>
      </c>
      <c r="G133" s="70"/>
      <c r="H133" s="71">
        <v>0.5</v>
      </c>
      <c r="I133" s="71">
        <v>0</v>
      </c>
      <c r="J133" s="71">
        <v>0</v>
      </c>
      <c r="M133"/>
      <c r="N133"/>
      <c r="O133"/>
      <c r="P133"/>
      <c r="Q133"/>
      <c r="R133"/>
      <c r="S133"/>
      <c r="T133"/>
      <c r="U133"/>
    </row>
    <row r="134" ht="27.95" hidden="1" customHeight="1" spans="1:21">
      <c r="A134" s="64"/>
      <c r="B134" s="73" t="s">
        <v>258</v>
      </c>
      <c r="C134" s="66" t="s">
        <v>259</v>
      </c>
      <c r="D134" s="67">
        <v>0.2174</v>
      </c>
      <c r="E134" s="68"/>
      <c r="F134" s="69">
        <v>1</v>
      </c>
      <c r="G134" s="70"/>
      <c r="H134" s="71">
        <v>0.5</v>
      </c>
      <c r="I134" s="71">
        <v>0</v>
      </c>
      <c r="J134" s="71">
        <v>0</v>
      </c>
      <c r="M134"/>
      <c r="N134"/>
      <c r="O134"/>
      <c r="P134"/>
      <c r="Q134"/>
      <c r="R134"/>
      <c r="S134"/>
      <c r="T134"/>
      <c r="U134"/>
    </row>
    <row r="135" ht="27.95" customHeight="1" spans="1:20">
      <c r="A135" s="72" t="s">
        <v>3773</v>
      </c>
      <c r="B135" s="73" t="s">
        <v>260</v>
      </c>
      <c r="C135" s="66" t="s">
        <v>261</v>
      </c>
      <c r="D135" s="67">
        <v>0.2174</v>
      </c>
      <c r="E135" s="68"/>
      <c r="F135" s="69">
        <v>1</v>
      </c>
      <c r="G135" s="70"/>
      <c r="H135" s="71">
        <v>0.5</v>
      </c>
      <c r="I135" s="71"/>
      <c r="J135" s="71"/>
      <c r="M135" s="32">
        <v>24</v>
      </c>
      <c r="N135" s="77">
        <f>+F135</f>
        <v>1</v>
      </c>
      <c r="O135" s="77">
        <f>+M135*N135</f>
        <v>24</v>
      </c>
      <c r="R135" s="3">
        <f>+M135</f>
        <v>24</v>
      </c>
      <c r="S135" s="49">
        <f>+H135</f>
        <v>0.5</v>
      </c>
      <c r="T135" s="49">
        <f>+R135*S135</f>
        <v>12</v>
      </c>
    </row>
    <row r="136" ht="27.95" hidden="1" customHeight="1" spans="1:21">
      <c r="A136" s="64"/>
      <c r="B136" s="73" t="s">
        <v>262</v>
      </c>
      <c r="C136" s="66" t="s">
        <v>263</v>
      </c>
      <c r="D136" s="67">
        <v>0.2174</v>
      </c>
      <c r="E136" s="68"/>
      <c r="F136" s="69">
        <v>1</v>
      </c>
      <c r="G136" s="70"/>
      <c r="H136" s="71">
        <v>0.5</v>
      </c>
      <c r="I136" s="71">
        <v>0</v>
      </c>
      <c r="J136" s="71">
        <v>0</v>
      </c>
      <c r="M136"/>
      <c r="N136"/>
      <c r="O136"/>
      <c r="P136"/>
      <c r="Q136"/>
      <c r="R136"/>
      <c r="S136"/>
      <c r="T136"/>
      <c r="U136"/>
    </row>
    <row r="137" ht="27.95" hidden="1" customHeight="1" spans="1:21">
      <c r="A137" s="64"/>
      <c r="B137" s="73" t="s">
        <v>264</v>
      </c>
      <c r="C137" s="66" t="s">
        <v>265</v>
      </c>
      <c r="D137" s="67">
        <v>0.2174</v>
      </c>
      <c r="E137" s="68"/>
      <c r="F137" s="69">
        <v>1</v>
      </c>
      <c r="G137" s="70"/>
      <c r="H137" s="71">
        <v>0.5</v>
      </c>
      <c r="I137" s="71">
        <v>0</v>
      </c>
      <c r="J137" s="71">
        <v>0</v>
      </c>
      <c r="M137"/>
      <c r="N137"/>
      <c r="O137"/>
      <c r="P137"/>
      <c r="Q137"/>
      <c r="R137"/>
      <c r="S137"/>
      <c r="T137"/>
      <c r="U137"/>
    </row>
    <row r="138" ht="27.95" hidden="1" customHeight="1" spans="1:21">
      <c r="A138" s="64"/>
      <c r="B138" s="73" t="s">
        <v>266</v>
      </c>
      <c r="C138" s="66" t="s">
        <v>267</v>
      </c>
      <c r="D138" s="67">
        <v>0.2174</v>
      </c>
      <c r="E138" s="68"/>
      <c r="F138" s="69">
        <v>1</v>
      </c>
      <c r="G138" s="70"/>
      <c r="H138" s="71">
        <v>0.5</v>
      </c>
      <c r="I138" s="71">
        <v>0</v>
      </c>
      <c r="J138" s="71">
        <v>0</v>
      </c>
      <c r="M138"/>
      <c r="N138"/>
      <c r="O138"/>
      <c r="P138"/>
      <c r="Q138"/>
      <c r="R138"/>
      <c r="S138"/>
      <c r="T138"/>
      <c r="U138"/>
    </row>
    <row r="139" ht="27.95" hidden="1" customHeight="1" spans="1:21">
      <c r="A139" s="64"/>
      <c r="B139" s="73" t="s">
        <v>268</v>
      </c>
      <c r="C139" s="66" t="s">
        <v>269</v>
      </c>
      <c r="D139" s="67">
        <v>0.2174</v>
      </c>
      <c r="E139" s="68"/>
      <c r="F139" s="69">
        <v>1</v>
      </c>
      <c r="G139" s="70"/>
      <c r="H139" s="71">
        <v>0.5</v>
      </c>
      <c r="I139" s="71">
        <v>0</v>
      </c>
      <c r="J139" s="71">
        <v>0</v>
      </c>
      <c r="M139"/>
      <c r="N139"/>
      <c r="O139"/>
      <c r="P139"/>
      <c r="Q139"/>
      <c r="R139"/>
      <c r="S139"/>
      <c r="T139"/>
      <c r="U139"/>
    </row>
    <row r="140" ht="27.95" hidden="1" customHeight="1" spans="1:21">
      <c r="A140" s="64"/>
      <c r="B140" s="73" t="s">
        <v>270</v>
      </c>
      <c r="C140" s="66" t="s">
        <v>271</v>
      </c>
      <c r="D140" s="67">
        <v>0.2174</v>
      </c>
      <c r="E140" s="68"/>
      <c r="F140" s="69">
        <v>1</v>
      </c>
      <c r="G140" s="70"/>
      <c r="H140" s="71">
        <v>0.5</v>
      </c>
      <c r="I140" s="71">
        <v>0</v>
      </c>
      <c r="J140" s="71">
        <v>0</v>
      </c>
      <c r="M140"/>
      <c r="N140"/>
      <c r="O140"/>
      <c r="P140"/>
      <c r="Q140"/>
      <c r="R140"/>
      <c r="S140"/>
      <c r="T140"/>
      <c r="U140"/>
    </row>
    <row r="141" ht="27.95" hidden="1" customHeight="1" spans="1:21">
      <c r="A141" s="64"/>
      <c r="B141" s="73" t="s">
        <v>272</v>
      </c>
      <c r="C141" s="66" t="s">
        <v>273</v>
      </c>
      <c r="D141" s="67">
        <v>0.2174</v>
      </c>
      <c r="E141" s="68"/>
      <c r="F141" s="69">
        <v>1</v>
      </c>
      <c r="G141" s="70"/>
      <c r="H141" s="71">
        <v>0.5</v>
      </c>
      <c r="I141" s="71">
        <v>0</v>
      </c>
      <c r="J141" s="71">
        <v>0</v>
      </c>
      <c r="M141"/>
      <c r="N141"/>
      <c r="O141"/>
      <c r="P141"/>
      <c r="Q141"/>
      <c r="R141"/>
      <c r="S141"/>
      <c r="T141"/>
      <c r="U141"/>
    </row>
    <row r="142" ht="27.95" hidden="1" customHeight="1" spans="1:21">
      <c r="A142" s="64"/>
      <c r="B142" s="73" t="s">
        <v>274</v>
      </c>
      <c r="C142" s="66" t="s">
        <v>275</v>
      </c>
      <c r="D142" s="67">
        <v>0.2174</v>
      </c>
      <c r="E142" s="68"/>
      <c r="F142" s="69">
        <v>1</v>
      </c>
      <c r="G142" s="70"/>
      <c r="H142" s="71">
        <v>0.5</v>
      </c>
      <c r="I142" s="71">
        <v>0</v>
      </c>
      <c r="J142" s="71">
        <v>0</v>
      </c>
      <c r="M142"/>
      <c r="N142"/>
      <c r="O142"/>
      <c r="P142"/>
      <c r="Q142"/>
      <c r="R142"/>
      <c r="S142"/>
      <c r="T142"/>
      <c r="U142"/>
    </row>
    <row r="143" ht="27.95" hidden="1" customHeight="1" spans="1:21">
      <c r="A143" s="64"/>
      <c r="B143" s="73" t="s">
        <v>276</v>
      </c>
      <c r="C143" s="66" t="s">
        <v>277</v>
      </c>
      <c r="D143" s="67">
        <v>0.2174</v>
      </c>
      <c r="E143" s="68"/>
      <c r="F143" s="69">
        <v>1</v>
      </c>
      <c r="G143" s="70"/>
      <c r="H143" s="71">
        <v>0.5</v>
      </c>
      <c r="I143" s="71">
        <v>0</v>
      </c>
      <c r="J143" s="71">
        <v>0</v>
      </c>
      <c r="M143"/>
      <c r="N143"/>
      <c r="O143"/>
      <c r="P143"/>
      <c r="Q143"/>
      <c r="R143"/>
      <c r="S143"/>
      <c r="T143"/>
      <c r="U143"/>
    </row>
    <row r="144" ht="27.95" hidden="1" customHeight="1" spans="1:21">
      <c r="A144" s="64"/>
      <c r="B144" s="73" t="s">
        <v>278</v>
      </c>
      <c r="C144" s="66" t="s">
        <v>279</v>
      </c>
      <c r="D144" s="67">
        <v>0.2174</v>
      </c>
      <c r="E144" s="68"/>
      <c r="F144" s="69">
        <v>1</v>
      </c>
      <c r="G144" s="70"/>
      <c r="H144" s="71">
        <v>0.5</v>
      </c>
      <c r="I144" s="71">
        <v>0</v>
      </c>
      <c r="J144" s="71">
        <v>0</v>
      </c>
      <c r="M144"/>
      <c r="N144"/>
      <c r="O144"/>
      <c r="P144"/>
      <c r="Q144"/>
      <c r="R144"/>
      <c r="S144"/>
      <c r="T144"/>
      <c r="U144"/>
    </row>
    <row r="145" customFormat="1" ht="27.95" hidden="1" customHeight="1" spans="1:10">
      <c r="A145" s="64"/>
      <c r="B145" s="73" t="s">
        <v>280</v>
      </c>
      <c r="C145" s="66" t="s">
        <v>281</v>
      </c>
      <c r="D145" s="67">
        <v>0.2174</v>
      </c>
      <c r="E145" s="68"/>
      <c r="F145" s="69">
        <v>1</v>
      </c>
      <c r="G145" s="70"/>
      <c r="H145" s="71">
        <v>0.5</v>
      </c>
      <c r="I145" s="71">
        <v>0</v>
      </c>
      <c r="J145" s="71">
        <v>0</v>
      </c>
    </row>
    <row r="146" customFormat="1" ht="27.95" hidden="1" customHeight="1" spans="1:10">
      <c r="A146" s="64"/>
      <c r="B146" s="73" t="s">
        <v>282</v>
      </c>
      <c r="C146" s="66" t="s">
        <v>283</v>
      </c>
      <c r="D146" s="67">
        <v>0.2174</v>
      </c>
      <c r="E146" s="68"/>
      <c r="F146" s="69">
        <v>1</v>
      </c>
      <c r="G146" s="70"/>
      <c r="H146" s="71">
        <v>0.5</v>
      </c>
      <c r="I146" s="71">
        <v>0</v>
      </c>
      <c r="J146" s="71">
        <v>0</v>
      </c>
    </row>
    <row r="147" customFormat="1" ht="27.95" hidden="1" customHeight="1" spans="1:10">
      <c r="A147" s="64"/>
      <c r="B147" s="73" t="s">
        <v>284</v>
      </c>
      <c r="C147" s="66" t="s">
        <v>285</v>
      </c>
      <c r="D147" s="67">
        <v>0.2174</v>
      </c>
      <c r="E147" s="68"/>
      <c r="F147" s="69">
        <v>1</v>
      </c>
      <c r="G147" s="70"/>
      <c r="H147" s="71">
        <v>0.5</v>
      </c>
      <c r="I147" s="71">
        <v>0</v>
      </c>
      <c r="J147" s="71">
        <v>0</v>
      </c>
    </row>
    <row r="148" customFormat="1" ht="27.95" hidden="1" customHeight="1" spans="1:10">
      <c r="A148" s="64"/>
      <c r="B148" s="73" t="s">
        <v>286</v>
      </c>
      <c r="C148" s="66" t="s">
        <v>287</v>
      </c>
      <c r="D148" s="67">
        <v>0.2174</v>
      </c>
      <c r="E148" s="68"/>
      <c r="F148" s="69">
        <v>1</v>
      </c>
      <c r="G148" s="70"/>
      <c r="H148" s="71">
        <v>0.5</v>
      </c>
      <c r="I148" s="71">
        <v>0</v>
      </c>
      <c r="J148" s="71">
        <v>0</v>
      </c>
    </row>
    <row r="149" customFormat="1" ht="27.95" hidden="1" customHeight="1" spans="1:10">
      <c r="A149" s="64"/>
      <c r="B149" s="73" t="s">
        <v>288</v>
      </c>
      <c r="C149" s="66" t="s">
        <v>289</v>
      </c>
      <c r="D149" s="67">
        <v>0.2174</v>
      </c>
      <c r="E149" s="68"/>
      <c r="F149" s="69">
        <v>1</v>
      </c>
      <c r="G149" s="70"/>
      <c r="H149" s="71">
        <v>0.5</v>
      </c>
      <c r="I149" s="71">
        <v>0</v>
      </c>
      <c r="J149" s="71">
        <v>0</v>
      </c>
    </row>
    <row r="150" customFormat="1" ht="12.75" hidden="1" spans="1:10">
      <c r="A150" s="64"/>
      <c r="B150" s="73" t="s">
        <v>290</v>
      </c>
      <c r="C150" s="66" t="s">
        <v>291</v>
      </c>
      <c r="D150" s="67">
        <v>0.2174</v>
      </c>
      <c r="E150" s="68"/>
      <c r="F150" s="69">
        <v>1</v>
      </c>
      <c r="G150" s="70"/>
      <c r="H150" s="71">
        <v>0.5</v>
      </c>
      <c r="I150" s="71">
        <v>0</v>
      </c>
      <c r="J150" s="71">
        <v>0</v>
      </c>
    </row>
    <row r="151" customFormat="1" ht="12.75" hidden="1" spans="1:10">
      <c r="A151" s="64"/>
      <c r="B151" s="73" t="s">
        <v>292</v>
      </c>
      <c r="C151" s="66" t="s">
        <v>293</v>
      </c>
      <c r="D151" s="67">
        <v>0.2174</v>
      </c>
      <c r="E151" s="68"/>
      <c r="F151" s="69">
        <v>1</v>
      </c>
      <c r="G151" s="70"/>
      <c r="H151" s="71">
        <v>0.5</v>
      </c>
      <c r="I151" s="71">
        <v>0</v>
      </c>
      <c r="J151" s="71">
        <v>0</v>
      </c>
    </row>
    <row r="152" customFormat="1" ht="25.5" hidden="1" spans="1:10">
      <c r="A152" s="64"/>
      <c r="B152" s="73" t="s">
        <v>294</v>
      </c>
      <c r="C152" s="66" t="s">
        <v>295</v>
      </c>
      <c r="D152" s="67">
        <v>0.2174</v>
      </c>
      <c r="E152" s="68"/>
      <c r="F152" s="69">
        <v>1</v>
      </c>
      <c r="G152" s="70"/>
      <c r="H152" s="71">
        <v>0.5</v>
      </c>
      <c r="I152" s="71">
        <v>0</v>
      </c>
      <c r="J152" s="71">
        <v>0</v>
      </c>
    </row>
    <row r="153" customFormat="1" ht="12.75" hidden="1" spans="1:10">
      <c r="A153" s="64"/>
      <c r="B153" s="73" t="s">
        <v>296</v>
      </c>
      <c r="C153" s="66" t="s">
        <v>297</v>
      </c>
      <c r="D153" s="67">
        <v>0.2174</v>
      </c>
      <c r="E153" s="68"/>
      <c r="F153" s="69">
        <v>1</v>
      </c>
      <c r="G153" s="70"/>
      <c r="H153" s="71">
        <v>0.5</v>
      </c>
      <c r="I153" s="71">
        <v>0</v>
      </c>
      <c r="J153" s="71">
        <v>0</v>
      </c>
    </row>
    <row r="154" customFormat="1" ht="12.75" hidden="1" spans="1:10">
      <c r="A154" s="64"/>
      <c r="B154" s="73" t="s">
        <v>298</v>
      </c>
      <c r="C154" s="66" t="s">
        <v>299</v>
      </c>
      <c r="D154" s="67">
        <v>0.2174</v>
      </c>
      <c r="E154" s="68"/>
      <c r="F154" s="69">
        <v>1</v>
      </c>
      <c r="G154" s="70"/>
      <c r="H154" s="71">
        <v>0.5</v>
      </c>
      <c r="I154" s="71">
        <v>0</v>
      </c>
      <c r="J154" s="71">
        <v>0</v>
      </c>
    </row>
    <row r="155" customFormat="1" ht="12.75" hidden="1" spans="1:10">
      <c r="A155" s="64"/>
      <c r="B155" s="73" t="s">
        <v>300</v>
      </c>
      <c r="C155" s="66" t="s">
        <v>301</v>
      </c>
      <c r="D155" s="67">
        <v>0.2174</v>
      </c>
      <c r="E155" s="68"/>
      <c r="F155" s="69">
        <v>1</v>
      </c>
      <c r="G155" s="70"/>
      <c r="H155" s="71">
        <v>0.5</v>
      </c>
      <c r="I155" s="71">
        <v>0</v>
      </c>
      <c r="J155" s="71">
        <v>0</v>
      </c>
    </row>
    <row r="156" customFormat="1" ht="12.75" hidden="1" spans="1:10">
      <c r="A156" s="64"/>
      <c r="B156" s="73" t="s">
        <v>302</v>
      </c>
      <c r="C156" s="66" t="s">
        <v>303</v>
      </c>
      <c r="D156" s="67">
        <v>0.2174</v>
      </c>
      <c r="E156" s="68"/>
      <c r="F156" s="69">
        <v>1</v>
      </c>
      <c r="G156" s="70"/>
      <c r="H156" s="71">
        <v>0.5</v>
      </c>
      <c r="I156" s="71">
        <v>0</v>
      </c>
      <c r="J156" s="71">
        <v>0</v>
      </c>
    </row>
    <row r="157" customFormat="1" ht="12.75" hidden="1" spans="1:10">
      <c r="A157" s="64"/>
      <c r="B157" s="73" t="s">
        <v>304</v>
      </c>
      <c r="C157" s="66" t="s">
        <v>305</v>
      </c>
      <c r="D157" s="67">
        <v>0.2174</v>
      </c>
      <c r="E157" s="68"/>
      <c r="F157" s="69">
        <v>1</v>
      </c>
      <c r="G157" s="70"/>
      <c r="H157" s="71">
        <v>0.5</v>
      </c>
      <c r="I157" s="71">
        <v>0</v>
      </c>
      <c r="J157" s="71">
        <v>0</v>
      </c>
    </row>
    <row r="158" customFormat="1" ht="12.75" hidden="1" spans="1:10">
      <c r="A158" s="64"/>
      <c r="B158" s="73" t="s">
        <v>306</v>
      </c>
      <c r="C158" s="66" t="s">
        <v>307</v>
      </c>
      <c r="D158" s="67">
        <v>0.2174</v>
      </c>
      <c r="E158" s="68"/>
      <c r="F158" s="69">
        <v>1</v>
      </c>
      <c r="G158" s="70"/>
      <c r="H158" s="71">
        <v>0.5</v>
      </c>
      <c r="I158" s="71">
        <v>0</v>
      </c>
      <c r="J158" s="71">
        <v>0</v>
      </c>
    </row>
    <row r="159" customFormat="1" ht="12.75" hidden="1" spans="1:10">
      <c r="A159" s="64"/>
      <c r="B159" s="73" t="s">
        <v>308</v>
      </c>
      <c r="C159" s="66" t="s">
        <v>309</v>
      </c>
      <c r="D159" s="67">
        <v>0.2174</v>
      </c>
      <c r="E159" s="68"/>
      <c r="F159" s="69">
        <v>1</v>
      </c>
      <c r="G159" s="70"/>
      <c r="H159" s="71">
        <v>0.5</v>
      </c>
      <c r="I159" s="71">
        <v>0</v>
      </c>
      <c r="J159" s="71">
        <v>0</v>
      </c>
    </row>
    <row r="160" customFormat="1" ht="12.75" hidden="1" spans="1:10">
      <c r="A160" s="64"/>
      <c r="B160" s="73" t="s">
        <v>310</v>
      </c>
      <c r="C160" s="66" t="s">
        <v>311</v>
      </c>
      <c r="D160" s="67">
        <v>0.2174</v>
      </c>
      <c r="E160" s="68"/>
      <c r="F160" s="69">
        <v>1</v>
      </c>
      <c r="G160" s="70"/>
      <c r="H160" s="71">
        <v>0.5</v>
      </c>
      <c r="I160" s="71">
        <v>0</v>
      </c>
      <c r="J160" s="71">
        <v>0</v>
      </c>
    </row>
    <row r="161" customFormat="1" ht="12.75" hidden="1" spans="1:10">
      <c r="A161" s="64"/>
      <c r="B161" s="73" t="s">
        <v>312</v>
      </c>
      <c r="C161" s="66" t="s">
        <v>313</v>
      </c>
      <c r="D161" s="67">
        <v>0.2174</v>
      </c>
      <c r="E161" s="68"/>
      <c r="F161" s="69">
        <v>1</v>
      </c>
      <c r="G161" s="70"/>
      <c r="H161" s="71">
        <v>0.5</v>
      </c>
      <c r="I161" s="71">
        <v>0</v>
      </c>
      <c r="J161" s="71">
        <v>0</v>
      </c>
    </row>
    <row r="162" customFormat="1" ht="12.75" hidden="1" spans="1:10">
      <c r="A162" s="64"/>
      <c r="B162" s="73" t="s">
        <v>314</v>
      </c>
      <c r="C162" s="66" t="s">
        <v>315</v>
      </c>
      <c r="D162" s="67">
        <v>0.2174</v>
      </c>
      <c r="E162" s="68"/>
      <c r="F162" s="69">
        <v>1</v>
      </c>
      <c r="G162" s="70"/>
      <c r="H162" s="71">
        <v>0.5</v>
      </c>
      <c r="I162" s="71">
        <v>0</v>
      </c>
      <c r="J162" s="71">
        <v>0</v>
      </c>
    </row>
    <row r="163" customFormat="1" ht="12.75" hidden="1" spans="1:10">
      <c r="A163" s="64"/>
      <c r="B163" s="73" t="s">
        <v>316</v>
      </c>
      <c r="C163" s="66" t="s">
        <v>317</v>
      </c>
      <c r="D163" s="67">
        <v>0.2174</v>
      </c>
      <c r="E163" s="68"/>
      <c r="F163" s="69">
        <v>1</v>
      </c>
      <c r="G163" s="70"/>
      <c r="H163" s="71">
        <v>0.5</v>
      </c>
      <c r="I163" s="71">
        <v>0</v>
      </c>
      <c r="J163" s="71">
        <v>0</v>
      </c>
    </row>
    <row r="164" customFormat="1" ht="12.75" hidden="1" spans="1:10">
      <c r="A164" s="64"/>
      <c r="B164" s="73" t="s">
        <v>318</v>
      </c>
      <c r="C164" s="66" t="s">
        <v>319</v>
      </c>
      <c r="D164" s="67">
        <v>0.2174</v>
      </c>
      <c r="E164" s="68"/>
      <c r="F164" s="69">
        <v>1</v>
      </c>
      <c r="G164" s="70"/>
      <c r="H164" s="71">
        <v>0.5</v>
      </c>
      <c r="I164" s="71">
        <v>0</v>
      </c>
      <c r="J164" s="71">
        <v>0</v>
      </c>
    </row>
    <row r="165" customFormat="1" ht="12.75" hidden="1" spans="1:10">
      <c r="A165" s="64"/>
      <c r="B165" s="73" t="s">
        <v>320</v>
      </c>
      <c r="C165" s="66" t="s">
        <v>321</v>
      </c>
      <c r="D165" s="67">
        <v>0.2174</v>
      </c>
      <c r="E165" s="68"/>
      <c r="F165" s="69">
        <v>1</v>
      </c>
      <c r="G165" s="70"/>
      <c r="H165" s="71">
        <v>0.5</v>
      </c>
      <c r="I165" s="71">
        <v>0</v>
      </c>
      <c r="J165" s="71">
        <v>0</v>
      </c>
    </row>
    <row r="166" customFormat="1" ht="12.75" hidden="1" spans="1:10">
      <c r="A166" s="64"/>
      <c r="B166" s="73" t="s">
        <v>322</v>
      </c>
      <c r="C166" s="66" t="s">
        <v>323</v>
      </c>
      <c r="D166" s="67">
        <v>0.2174</v>
      </c>
      <c r="E166" s="68"/>
      <c r="F166" s="69">
        <v>1</v>
      </c>
      <c r="G166" s="70"/>
      <c r="H166" s="71">
        <v>0.5</v>
      </c>
      <c r="I166" s="71">
        <v>0</v>
      </c>
      <c r="J166" s="71">
        <v>0</v>
      </c>
    </row>
    <row r="167" customFormat="1" ht="12.75" hidden="1" spans="1:10">
      <c r="A167" s="64"/>
      <c r="B167" s="73" t="s">
        <v>324</v>
      </c>
      <c r="C167" s="66" t="s">
        <v>325</v>
      </c>
      <c r="D167" s="67">
        <v>0.2174</v>
      </c>
      <c r="E167" s="68"/>
      <c r="F167" s="69">
        <v>1</v>
      </c>
      <c r="G167" s="70"/>
      <c r="H167" s="71">
        <v>0.5</v>
      </c>
      <c r="I167" s="71">
        <v>0</v>
      </c>
      <c r="J167" s="71">
        <v>0</v>
      </c>
    </row>
    <row r="168" customFormat="1" ht="12.75" hidden="1" spans="1:10">
      <c r="A168" s="64"/>
      <c r="B168" s="73" t="s">
        <v>326</v>
      </c>
      <c r="C168" s="66" t="s">
        <v>327</v>
      </c>
      <c r="D168" s="67">
        <v>0.2174</v>
      </c>
      <c r="E168" s="68"/>
      <c r="F168" s="69">
        <v>1</v>
      </c>
      <c r="G168" s="70"/>
      <c r="H168" s="71">
        <v>0.5</v>
      </c>
      <c r="I168" s="71">
        <v>0</v>
      </c>
      <c r="J168" s="71">
        <v>0</v>
      </c>
    </row>
    <row r="169" customFormat="1" ht="12.75" hidden="1" spans="1:10">
      <c r="A169" s="64"/>
      <c r="B169" s="73" t="s">
        <v>328</v>
      </c>
      <c r="C169" s="66" t="s">
        <v>329</v>
      </c>
      <c r="D169" s="67">
        <v>0.2174</v>
      </c>
      <c r="E169" s="68"/>
      <c r="F169" s="69">
        <v>1</v>
      </c>
      <c r="G169" s="70"/>
      <c r="H169" s="71">
        <v>0.5</v>
      </c>
      <c r="I169" s="71">
        <v>0</v>
      </c>
      <c r="J169" s="71">
        <v>0</v>
      </c>
    </row>
    <row r="170" customFormat="1" ht="12.75" hidden="1" spans="1:10">
      <c r="A170" s="64"/>
      <c r="B170" s="73" t="s">
        <v>330</v>
      </c>
      <c r="C170" s="66" t="s">
        <v>331</v>
      </c>
      <c r="D170" s="67">
        <v>0.2174</v>
      </c>
      <c r="E170" s="68"/>
      <c r="F170" s="69">
        <v>1</v>
      </c>
      <c r="G170" s="70"/>
      <c r="H170" s="71">
        <v>0.5</v>
      </c>
      <c r="I170" s="71">
        <v>0</v>
      </c>
      <c r="J170" s="71">
        <v>0</v>
      </c>
    </row>
    <row r="171" customFormat="1" ht="12.75" hidden="1" spans="1:10">
      <c r="A171" s="64"/>
      <c r="B171" s="73" t="s">
        <v>332</v>
      </c>
      <c r="C171" s="66" t="s">
        <v>333</v>
      </c>
      <c r="D171" s="67">
        <v>0.2174</v>
      </c>
      <c r="E171" s="68"/>
      <c r="F171" s="69">
        <v>1</v>
      </c>
      <c r="G171" s="70"/>
      <c r="H171" s="71">
        <v>0.5</v>
      </c>
      <c r="I171" s="71">
        <v>0</v>
      </c>
      <c r="J171" s="71">
        <v>0</v>
      </c>
    </row>
    <row r="172" customFormat="1" ht="12.75" hidden="1" spans="1:10">
      <c r="A172" s="64"/>
      <c r="B172" s="73" t="s">
        <v>334</v>
      </c>
      <c r="C172" s="66" t="s">
        <v>335</v>
      </c>
      <c r="D172" s="67">
        <v>0.2174</v>
      </c>
      <c r="E172" s="68"/>
      <c r="F172" s="69">
        <v>1</v>
      </c>
      <c r="G172" s="70"/>
      <c r="H172" s="71">
        <v>0.5</v>
      </c>
      <c r="I172" s="71">
        <v>0</v>
      </c>
      <c r="J172" s="71">
        <v>0</v>
      </c>
    </row>
    <row r="173" customFormat="1" ht="12.75" hidden="1" spans="1:10">
      <c r="A173" s="64"/>
      <c r="B173" s="73" t="s">
        <v>336</v>
      </c>
      <c r="C173" s="66" t="s">
        <v>337</v>
      </c>
      <c r="D173" s="67">
        <v>0.2174</v>
      </c>
      <c r="E173" s="68"/>
      <c r="F173" s="69">
        <v>1</v>
      </c>
      <c r="G173" s="70"/>
      <c r="H173" s="71">
        <v>0.5</v>
      </c>
      <c r="I173" s="71">
        <v>0</v>
      </c>
      <c r="J173" s="71">
        <v>0</v>
      </c>
    </row>
    <row r="174" customFormat="1" ht="12.75" hidden="1" spans="1:10">
      <c r="A174" s="64"/>
      <c r="B174" s="73" t="s">
        <v>338</v>
      </c>
      <c r="C174" s="66" t="s">
        <v>339</v>
      </c>
      <c r="D174" s="67">
        <v>0.2174</v>
      </c>
      <c r="E174" s="68"/>
      <c r="F174" s="69">
        <v>1</v>
      </c>
      <c r="G174" s="70"/>
      <c r="H174" s="71">
        <v>0.5</v>
      </c>
      <c r="I174" s="71">
        <v>0</v>
      </c>
      <c r="J174" s="71">
        <v>0</v>
      </c>
    </row>
    <row r="175" customFormat="1" ht="12.75" hidden="1" spans="1:10">
      <c r="A175" s="64"/>
      <c r="B175" s="73" t="s">
        <v>340</v>
      </c>
      <c r="C175" s="66" t="s">
        <v>341</v>
      </c>
      <c r="D175" s="67">
        <v>0.2174</v>
      </c>
      <c r="E175" s="68"/>
      <c r="F175" s="69">
        <v>1</v>
      </c>
      <c r="G175" s="70"/>
      <c r="H175" s="71">
        <v>0.5</v>
      </c>
      <c r="I175" s="71">
        <v>0</v>
      </c>
      <c r="J175" s="71">
        <v>0</v>
      </c>
    </row>
    <row r="176" customFormat="1" ht="12.75" hidden="1" spans="1:10">
      <c r="A176" s="64"/>
      <c r="B176" s="73" t="s">
        <v>342</v>
      </c>
      <c r="C176" s="66" t="s">
        <v>343</v>
      </c>
      <c r="D176" s="67">
        <v>0.2174</v>
      </c>
      <c r="E176" s="68"/>
      <c r="F176" s="69">
        <v>1</v>
      </c>
      <c r="G176" s="70"/>
      <c r="H176" s="71">
        <v>0.5</v>
      </c>
      <c r="I176" s="71">
        <v>0</v>
      </c>
      <c r="J176" s="71">
        <v>0</v>
      </c>
    </row>
    <row r="177" customFormat="1" ht="12.75" hidden="1" spans="1:10">
      <c r="A177" s="74"/>
      <c r="B177" s="73" t="s">
        <v>344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  <c r="I177" s="71">
        <v>0</v>
      </c>
      <c r="J177" s="71">
        <v>0</v>
      </c>
    </row>
    <row r="178" customFormat="1" ht="12.75" hidden="1" spans="1:10">
      <c r="A178" s="75"/>
      <c r="B178" s="73" t="s">
        <v>346</v>
      </c>
      <c r="C178" s="66" t="s">
        <v>345</v>
      </c>
      <c r="D178" s="67">
        <v>0.2174</v>
      </c>
      <c r="E178" s="68"/>
      <c r="F178" s="69">
        <v>1</v>
      </c>
      <c r="G178" s="70"/>
      <c r="H178" s="71">
        <v>0.5</v>
      </c>
      <c r="I178" s="71">
        <v>0</v>
      </c>
      <c r="J178" s="71">
        <v>0</v>
      </c>
    </row>
    <row r="179" customFormat="1" ht="12.75" hidden="1" spans="1:10">
      <c r="A179" s="64"/>
      <c r="B179" s="73" t="s">
        <v>347</v>
      </c>
      <c r="C179" s="66" t="s">
        <v>348</v>
      </c>
      <c r="D179" s="67">
        <v>0.2174</v>
      </c>
      <c r="E179" s="68"/>
      <c r="F179" s="69">
        <v>1</v>
      </c>
      <c r="G179" s="70"/>
      <c r="H179" s="71">
        <v>0.5</v>
      </c>
      <c r="I179" s="71">
        <v>0</v>
      </c>
      <c r="J179" s="71">
        <v>0</v>
      </c>
    </row>
    <row r="180" customFormat="1" ht="12.75" hidden="1" spans="1:10">
      <c r="A180" s="64"/>
      <c r="B180" s="73" t="s">
        <v>349</v>
      </c>
      <c r="C180" s="66" t="s">
        <v>350</v>
      </c>
      <c r="D180" s="67">
        <v>0.2174</v>
      </c>
      <c r="E180" s="68"/>
      <c r="F180" s="69">
        <v>1</v>
      </c>
      <c r="G180" s="70"/>
      <c r="H180" s="71">
        <v>0.5</v>
      </c>
      <c r="I180" s="71">
        <v>0</v>
      </c>
      <c r="J180" s="71">
        <v>0</v>
      </c>
    </row>
    <row r="181" customFormat="1" ht="12.75" hidden="1" spans="1:10">
      <c r="A181" s="64"/>
      <c r="B181" s="73" t="s">
        <v>351</v>
      </c>
      <c r="C181" s="66" t="s">
        <v>352</v>
      </c>
      <c r="D181" s="67">
        <v>0.2174</v>
      </c>
      <c r="E181" s="68"/>
      <c r="F181" s="69">
        <v>1</v>
      </c>
      <c r="G181" s="70"/>
      <c r="H181" s="71">
        <v>0.5</v>
      </c>
      <c r="I181" s="71">
        <v>0</v>
      </c>
      <c r="J181" s="71">
        <v>0</v>
      </c>
    </row>
    <row r="182" customFormat="1" ht="12.75" hidden="1" spans="1:10">
      <c r="A182" s="64"/>
      <c r="B182" s="73" t="s">
        <v>353</v>
      </c>
      <c r="C182" s="66" t="s">
        <v>354</v>
      </c>
      <c r="D182" s="67">
        <v>0.2174</v>
      </c>
      <c r="E182" s="68"/>
      <c r="F182" s="69">
        <v>1</v>
      </c>
      <c r="G182" s="70"/>
      <c r="H182" s="71">
        <v>0.5</v>
      </c>
      <c r="I182" s="71">
        <v>0</v>
      </c>
      <c r="J182" s="71">
        <v>0</v>
      </c>
    </row>
    <row r="183" customFormat="1" ht="12.75" hidden="1" spans="1:10">
      <c r="A183" s="64"/>
      <c r="B183" s="73" t="s">
        <v>355</v>
      </c>
      <c r="C183" s="66" t="s">
        <v>356</v>
      </c>
      <c r="D183" s="67">
        <v>0.2174</v>
      </c>
      <c r="E183" s="68"/>
      <c r="F183" s="69">
        <v>1</v>
      </c>
      <c r="G183" s="70"/>
      <c r="H183" s="71">
        <v>0.5</v>
      </c>
      <c r="I183" s="71">
        <v>0</v>
      </c>
      <c r="J183" s="71">
        <v>0</v>
      </c>
    </row>
    <row r="184" customFormat="1" ht="12.75" hidden="1" spans="1:10">
      <c r="A184" s="64"/>
      <c r="B184" s="73" t="s">
        <v>357</v>
      </c>
      <c r="C184" s="66" t="s">
        <v>358</v>
      </c>
      <c r="D184" s="67">
        <v>0.2174</v>
      </c>
      <c r="E184" s="68"/>
      <c r="F184" s="69">
        <v>1</v>
      </c>
      <c r="G184" s="70"/>
      <c r="H184" s="71">
        <v>0.5</v>
      </c>
      <c r="I184" s="71">
        <v>0</v>
      </c>
      <c r="J184" s="71">
        <v>0</v>
      </c>
    </row>
    <row r="185" customFormat="1" ht="12.75" hidden="1" spans="1:10">
      <c r="A185" s="64"/>
      <c r="B185" s="73" t="s">
        <v>359</v>
      </c>
      <c r="C185" s="66" t="s">
        <v>360</v>
      </c>
      <c r="D185" s="67">
        <v>0.2174</v>
      </c>
      <c r="E185" s="68"/>
      <c r="F185" s="69">
        <v>1</v>
      </c>
      <c r="G185" s="70"/>
      <c r="H185" s="71">
        <v>0.5</v>
      </c>
      <c r="I185" s="71">
        <v>0</v>
      </c>
      <c r="J185" s="71">
        <v>0</v>
      </c>
    </row>
    <row r="186" customFormat="1" ht="25.5" hidden="1" spans="1:10">
      <c r="A186" s="64"/>
      <c r="B186" s="73" t="s">
        <v>361</v>
      </c>
      <c r="C186" s="66" t="s">
        <v>362</v>
      </c>
      <c r="D186" s="67">
        <v>0.2174</v>
      </c>
      <c r="E186" s="68"/>
      <c r="F186" s="69">
        <v>1</v>
      </c>
      <c r="G186" s="70"/>
      <c r="H186" s="71">
        <v>0.5</v>
      </c>
      <c r="I186" s="71">
        <v>0</v>
      </c>
      <c r="J186" s="71">
        <v>0</v>
      </c>
    </row>
    <row r="187" customFormat="1" ht="12.75" hidden="1" spans="1:10">
      <c r="A187" s="64"/>
      <c r="B187" s="73" t="s">
        <v>363</v>
      </c>
      <c r="C187" s="66" t="s">
        <v>364</v>
      </c>
      <c r="D187" s="67">
        <v>0.2174</v>
      </c>
      <c r="E187" s="68"/>
      <c r="F187" s="69">
        <v>1</v>
      </c>
      <c r="G187" s="70"/>
      <c r="H187" s="71">
        <v>0.5</v>
      </c>
      <c r="I187" s="71">
        <v>0</v>
      </c>
      <c r="J187" s="71">
        <v>0</v>
      </c>
    </row>
    <row r="188" customFormat="1" ht="12.75" hidden="1" spans="1:10">
      <c r="A188" s="64"/>
      <c r="B188" s="73" t="s">
        <v>365</v>
      </c>
      <c r="C188" s="66" t="s">
        <v>366</v>
      </c>
      <c r="D188" s="67">
        <v>0.2174</v>
      </c>
      <c r="E188" s="68"/>
      <c r="F188" s="69">
        <v>1</v>
      </c>
      <c r="G188" s="70"/>
      <c r="H188" s="71">
        <v>0.5</v>
      </c>
      <c r="I188" s="71">
        <v>0</v>
      </c>
      <c r="J188" s="71">
        <v>0</v>
      </c>
    </row>
    <row r="189" customFormat="1" ht="12.75" hidden="1" spans="1:10">
      <c r="A189" s="64"/>
      <c r="B189" s="73" t="s">
        <v>367</v>
      </c>
      <c r="C189" s="66" t="s">
        <v>368</v>
      </c>
      <c r="D189" s="67">
        <v>0.2174</v>
      </c>
      <c r="E189" s="68"/>
      <c r="F189" s="69">
        <v>1</v>
      </c>
      <c r="G189" s="70"/>
      <c r="H189" s="71">
        <v>0.5</v>
      </c>
      <c r="I189" s="71">
        <v>0</v>
      </c>
      <c r="J189" s="71">
        <v>0</v>
      </c>
    </row>
    <row r="190" customFormat="1" ht="12.75" hidden="1" spans="1:10">
      <c r="A190" s="64"/>
      <c r="B190" s="73" t="s">
        <v>369</v>
      </c>
      <c r="C190" s="66" t="s">
        <v>370</v>
      </c>
      <c r="D190" s="67">
        <v>0.2174</v>
      </c>
      <c r="E190" s="68"/>
      <c r="F190" s="69">
        <v>1</v>
      </c>
      <c r="G190" s="70"/>
      <c r="H190" s="71">
        <v>0.5</v>
      </c>
      <c r="I190" s="71">
        <v>0</v>
      </c>
      <c r="J190" s="71">
        <v>0</v>
      </c>
    </row>
    <row r="191" customFormat="1" ht="12.75" hidden="1" spans="1:10">
      <c r="A191" s="64"/>
      <c r="B191" s="73" t="s">
        <v>371</v>
      </c>
      <c r="C191" s="66" t="s">
        <v>372</v>
      </c>
      <c r="D191" s="67">
        <v>0.2174</v>
      </c>
      <c r="E191" s="68"/>
      <c r="F191" s="69">
        <v>1</v>
      </c>
      <c r="G191" s="70"/>
      <c r="H191" s="71">
        <v>0.5</v>
      </c>
      <c r="I191" s="71">
        <v>0</v>
      </c>
      <c r="J191" s="71">
        <v>0</v>
      </c>
    </row>
    <row r="192" customFormat="1" ht="12.75" hidden="1" spans="1:10">
      <c r="A192" s="64"/>
      <c r="B192" s="73" t="s">
        <v>373</v>
      </c>
      <c r="C192" s="66" t="s">
        <v>374</v>
      </c>
      <c r="D192" s="67">
        <v>0.2174</v>
      </c>
      <c r="E192" s="68"/>
      <c r="F192" s="69">
        <v>1</v>
      </c>
      <c r="G192" s="70"/>
      <c r="H192" s="71">
        <v>0.5</v>
      </c>
      <c r="I192" s="71">
        <v>0</v>
      </c>
      <c r="J192" s="71">
        <v>0</v>
      </c>
    </row>
    <row r="193" customFormat="1" ht="12.75" hidden="1" spans="1:10">
      <c r="A193" s="64"/>
      <c r="B193" s="73" t="s">
        <v>375</v>
      </c>
      <c r="C193" s="66" t="s">
        <v>376</v>
      </c>
      <c r="D193" s="67">
        <v>0.2174</v>
      </c>
      <c r="E193" s="68"/>
      <c r="F193" s="69">
        <v>1</v>
      </c>
      <c r="G193" s="70"/>
      <c r="H193" s="71">
        <v>0.5</v>
      </c>
      <c r="I193" s="71">
        <v>0</v>
      </c>
      <c r="J193" s="71">
        <v>0</v>
      </c>
    </row>
    <row r="194" customFormat="1" ht="12.75" hidden="1" spans="1:10">
      <c r="A194" s="64"/>
      <c r="B194" s="73" t="s">
        <v>377</v>
      </c>
      <c r="C194" s="66" t="s">
        <v>378</v>
      </c>
      <c r="D194" s="67">
        <v>0.2174</v>
      </c>
      <c r="E194" s="68"/>
      <c r="F194" s="69">
        <v>1</v>
      </c>
      <c r="G194" s="70"/>
      <c r="H194" s="71">
        <v>0.5</v>
      </c>
      <c r="I194" s="71">
        <v>0</v>
      </c>
      <c r="J194" s="71">
        <v>0</v>
      </c>
    </row>
    <row r="195" customFormat="1" ht="12.75" hidden="1" spans="1:10">
      <c r="A195" s="64"/>
      <c r="B195" s="73" t="s">
        <v>379</v>
      </c>
      <c r="C195" s="66" t="s">
        <v>380</v>
      </c>
      <c r="D195" s="67">
        <v>0.2174</v>
      </c>
      <c r="E195" s="68"/>
      <c r="F195" s="69">
        <v>1</v>
      </c>
      <c r="G195" s="70"/>
      <c r="H195" s="71">
        <v>0.5</v>
      </c>
      <c r="I195" s="71">
        <v>0</v>
      </c>
      <c r="J195" s="71">
        <v>0</v>
      </c>
    </row>
    <row r="196" customFormat="1" ht="12.75" hidden="1" spans="1:10">
      <c r="A196" s="64"/>
      <c r="B196" s="73" t="s">
        <v>381</v>
      </c>
      <c r="C196" s="66" t="s">
        <v>382</v>
      </c>
      <c r="D196" s="67">
        <v>0.2174</v>
      </c>
      <c r="E196" s="68"/>
      <c r="F196" s="69">
        <v>1</v>
      </c>
      <c r="G196" s="70"/>
      <c r="H196" s="71">
        <v>0.5</v>
      </c>
      <c r="I196" s="71">
        <v>0</v>
      </c>
      <c r="J196" s="71">
        <v>0</v>
      </c>
    </row>
    <row r="197" customFormat="1" ht="12.75" hidden="1" spans="1:10">
      <c r="A197" s="64"/>
      <c r="B197" s="73" t="s">
        <v>383</v>
      </c>
      <c r="C197" s="66" t="s">
        <v>384</v>
      </c>
      <c r="D197" s="67">
        <v>0.2174</v>
      </c>
      <c r="E197" s="68"/>
      <c r="F197" s="69">
        <v>1</v>
      </c>
      <c r="G197" s="70"/>
      <c r="H197" s="71">
        <v>0.5</v>
      </c>
      <c r="I197" s="71">
        <v>0</v>
      </c>
      <c r="J197" s="71">
        <v>0</v>
      </c>
    </row>
    <row r="198" customFormat="1" ht="12.75" hidden="1" spans="1:10">
      <c r="A198" s="64"/>
      <c r="B198" s="73" t="s">
        <v>385</v>
      </c>
      <c r="C198" s="66" t="s">
        <v>386</v>
      </c>
      <c r="D198" s="67">
        <v>0.2174</v>
      </c>
      <c r="E198" s="68"/>
      <c r="F198" s="69">
        <v>1</v>
      </c>
      <c r="G198" s="70"/>
      <c r="H198" s="71">
        <v>0.5</v>
      </c>
      <c r="I198" s="71">
        <v>0</v>
      </c>
      <c r="J198" s="71">
        <v>0</v>
      </c>
    </row>
    <row r="199" customFormat="1" ht="25.5" hidden="1" spans="1:10">
      <c r="A199" s="64"/>
      <c r="B199" s="73" t="s">
        <v>387</v>
      </c>
      <c r="C199" s="66" t="s">
        <v>388</v>
      </c>
      <c r="D199" s="67">
        <v>0.2174</v>
      </c>
      <c r="E199" s="68"/>
      <c r="F199" s="69">
        <v>1</v>
      </c>
      <c r="G199" s="70"/>
      <c r="H199" s="71">
        <v>0.5</v>
      </c>
      <c r="I199" s="71">
        <v>0</v>
      </c>
      <c r="J199" s="71">
        <v>0</v>
      </c>
    </row>
    <row r="200" customFormat="1" ht="25.5" hidden="1" spans="1:10">
      <c r="A200" s="64"/>
      <c r="B200" s="73" t="s">
        <v>389</v>
      </c>
      <c r="C200" s="66" t="s">
        <v>390</v>
      </c>
      <c r="D200" s="67">
        <v>0.2174</v>
      </c>
      <c r="E200" s="68"/>
      <c r="F200" s="69">
        <v>1</v>
      </c>
      <c r="G200" s="70"/>
      <c r="H200" s="71">
        <v>0.5</v>
      </c>
      <c r="I200" s="71">
        <v>0</v>
      </c>
      <c r="J200" s="71">
        <v>0</v>
      </c>
    </row>
    <row r="201" customFormat="1" ht="12.75" hidden="1" spans="1:10">
      <c r="A201" s="64"/>
      <c r="B201" s="73" t="s">
        <v>391</v>
      </c>
      <c r="C201" s="66" t="s">
        <v>392</v>
      </c>
      <c r="D201" s="67">
        <v>0.2174</v>
      </c>
      <c r="E201" s="68"/>
      <c r="F201" s="69">
        <v>1</v>
      </c>
      <c r="G201" s="70"/>
      <c r="H201" s="71">
        <v>0.5</v>
      </c>
      <c r="I201" s="71">
        <v>0</v>
      </c>
      <c r="J201" s="71">
        <v>0</v>
      </c>
    </row>
    <row r="202" customFormat="1" ht="12.75" hidden="1" spans="1:10">
      <c r="A202" s="64"/>
      <c r="B202" s="73" t="s">
        <v>393</v>
      </c>
      <c r="C202" s="66" t="s">
        <v>394</v>
      </c>
      <c r="D202" s="67">
        <v>0.2174</v>
      </c>
      <c r="E202" s="68"/>
      <c r="F202" s="69">
        <v>1</v>
      </c>
      <c r="G202" s="70"/>
      <c r="H202" s="71">
        <v>0.5</v>
      </c>
      <c r="I202" s="71">
        <v>0</v>
      </c>
      <c r="J202" s="71">
        <v>0</v>
      </c>
    </row>
    <row r="203" customFormat="1" ht="12.75" hidden="1" spans="1:10">
      <c r="A203" s="64"/>
      <c r="B203" s="73" t="s">
        <v>395</v>
      </c>
      <c r="C203" s="66" t="s">
        <v>396</v>
      </c>
      <c r="D203" s="67">
        <v>0.2174</v>
      </c>
      <c r="E203" s="68"/>
      <c r="F203" s="69">
        <v>1</v>
      </c>
      <c r="G203" s="70"/>
      <c r="H203" s="71">
        <v>0.5</v>
      </c>
      <c r="I203" s="71">
        <v>0</v>
      </c>
      <c r="J203" s="71">
        <v>0</v>
      </c>
    </row>
    <row r="204" customFormat="1" ht="12.75" hidden="1" spans="1:10">
      <c r="A204" s="64"/>
      <c r="B204" s="73" t="s">
        <v>397</v>
      </c>
      <c r="C204" s="66" t="s">
        <v>398</v>
      </c>
      <c r="D204" s="67">
        <v>0.2174</v>
      </c>
      <c r="E204" s="68"/>
      <c r="F204" s="69">
        <v>1</v>
      </c>
      <c r="G204" s="70"/>
      <c r="H204" s="71">
        <v>0.5</v>
      </c>
      <c r="I204" s="71">
        <v>0</v>
      </c>
      <c r="J204" s="71">
        <v>0</v>
      </c>
    </row>
    <row r="205" customFormat="1" ht="12.75" hidden="1" spans="1:10">
      <c r="A205" s="64"/>
      <c r="B205" s="73" t="s">
        <v>399</v>
      </c>
      <c r="C205" s="66" t="s">
        <v>400</v>
      </c>
      <c r="D205" s="67">
        <v>0.2174</v>
      </c>
      <c r="E205" s="68"/>
      <c r="F205" s="69">
        <v>1</v>
      </c>
      <c r="G205" s="70"/>
      <c r="H205" s="71">
        <v>0.5</v>
      </c>
      <c r="I205" s="71">
        <v>0</v>
      </c>
      <c r="J205" s="71">
        <v>0</v>
      </c>
    </row>
    <row r="206" customFormat="1" ht="12.75" hidden="1" spans="1:10">
      <c r="A206" s="64"/>
      <c r="B206" s="73" t="s">
        <v>401</v>
      </c>
      <c r="C206" s="66" t="s">
        <v>402</v>
      </c>
      <c r="D206" s="67">
        <v>0.2174</v>
      </c>
      <c r="E206" s="68"/>
      <c r="F206" s="69">
        <v>1</v>
      </c>
      <c r="G206" s="70"/>
      <c r="H206" s="71">
        <v>0.5</v>
      </c>
      <c r="I206" s="71">
        <v>0</v>
      </c>
      <c r="J206" s="71">
        <v>0</v>
      </c>
    </row>
    <row r="207" customFormat="1" ht="12.75" hidden="1" spans="1:10">
      <c r="A207" s="64"/>
      <c r="B207" s="73" t="s">
        <v>403</v>
      </c>
      <c r="C207" s="66" t="s">
        <v>404</v>
      </c>
      <c r="D207" s="67">
        <v>0.2174</v>
      </c>
      <c r="E207" s="68"/>
      <c r="F207" s="69">
        <v>1</v>
      </c>
      <c r="G207" s="70"/>
      <c r="H207" s="71">
        <v>0.5</v>
      </c>
      <c r="I207" s="71">
        <v>0</v>
      </c>
      <c r="J207" s="71">
        <v>0</v>
      </c>
    </row>
    <row r="208" customFormat="1" ht="12.75" hidden="1" spans="1:10">
      <c r="A208" s="64"/>
      <c r="B208" s="73" t="s">
        <v>405</v>
      </c>
      <c r="C208" s="66" t="s">
        <v>406</v>
      </c>
      <c r="D208" s="67">
        <v>0.2174</v>
      </c>
      <c r="E208" s="68"/>
      <c r="F208" s="69">
        <v>1</v>
      </c>
      <c r="G208" s="70"/>
      <c r="H208" s="71">
        <v>0.5</v>
      </c>
      <c r="I208" s="71">
        <v>0</v>
      </c>
      <c r="J208" s="71">
        <v>0</v>
      </c>
    </row>
    <row r="209" customFormat="1" ht="12.75" hidden="1" spans="1:10">
      <c r="A209" s="64"/>
      <c r="B209" s="73" t="s">
        <v>407</v>
      </c>
      <c r="C209" s="66" t="s">
        <v>408</v>
      </c>
      <c r="D209" s="67">
        <v>0.2174</v>
      </c>
      <c r="E209" s="68"/>
      <c r="F209" s="69">
        <v>1</v>
      </c>
      <c r="G209" s="70"/>
      <c r="H209" s="71">
        <v>0.5</v>
      </c>
      <c r="I209" s="71">
        <v>0</v>
      </c>
      <c r="J209" s="71">
        <v>0</v>
      </c>
    </row>
    <row r="210" customFormat="1" ht="12.75" hidden="1" spans="1:10">
      <c r="A210" s="64"/>
      <c r="B210" s="73" t="s">
        <v>409</v>
      </c>
      <c r="C210" s="66" t="s">
        <v>410</v>
      </c>
      <c r="D210" s="67">
        <v>0.2174</v>
      </c>
      <c r="E210" s="68"/>
      <c r="F210" s="69">
        <v>1</v>
      </c>
      <c r="G210" s="70"/>
      <c r="H210" s="71">
        <v>0.5</v>
      </c>
      <c r="I210" s="71">
        <v>0</v>
      </c>
      <c r="J210" s="71">
        <v>0</v>
      </c>
    </row>
    <row r="211" customFormat="1" ht="12.75" hidden="1" spans="1:10">
      <c r="A211" s="64"/>
      <c r="B211" s="73" t="s">
        <v>411</v>
      </c>
      <c r="C211" s="66" t="s">
        <v>412</v>
      </c>
      <c r="D211" s="67">
        <v>0.2174</v>
      </c>
      <c r="E211" s="68"/>
      <c r="F211" s="69">
        <v>1</v>
      </c>
      <c r="G211" s="70"/>
      <c r="H211" s="71">
        <v>0.5</v>
      </c>
      <c r="I211" s="71">
        <v>0</v>
      </c>
      <c r="J211" s="71">
        <v>0</v>
      </c>
    </row>
    <row r="212" customFormat="1" ht="12.75" hidden="1" spans="1:10">
      <c r="A212" s="64"/>
      <c r="B212" s="73" t="s">
        <v>413</v>
      </c>
      <c r="C212" s="66" t="s">
        <v>414</v>
      </c>
      <c r="D212" s="67">
        <v>0.2174</v>
      </c>
      <c r="E212" s="68"/>
      <c r="F212" s="69">
        <v>1</v>
      </c>
      <c r="G212" s="70"/>
      <c r="H212" s="71">
        <v>0.5</v>
      </c>
      <c r="I212" s="71">
        <v>0</v>
      </c>
      <c r="J212" s="71">
        <v>0</v>
      </c>
    </row>
    <row r="213" customFormat="1" ht="12.75" hidden="1" spans="1:10">
      <c r="A213" s="64"/>
      <c r="B213" s="73" t="s">
        <v>415</v>
      </c>
      <c r="C213" s="66" t="s">
        <v>416</v>
      </c>
      <c r="D213" s="67">
        <v>0.2174</v>
      </c>
      <c r="E213" s="68"/>
      <c r="F213" s="69">
        <v>1</v>
      </c>
      <c r="G213" s="70"/>
      <c r="H213" s="71">
        <v>0.5</v>
      </c>
      <c r="I213" s="71">
        <v>0</v>
      </c>
      <c r="J213" s="71">
        <v>0</v>
      </c>
    </row>
    <row r="214" customFormat="1" ht="12.75" hidden="1" spans="1:10">
      <c r="A214" s="64"/>
      <c r="B214" s="73" t="s">
        <v>417</v>
      </c>
      <c r="C214" s="66" t="s">
        <v>418</v>
      </c>
      <c r="D214" s="67">
        <v>0.2174</v>
      </c>
      <c r="E214" s="68"/>
      <c r="F214" s="69">
        <v>1</v>
      </c>
      <c r="G214" s="70"/>
      <c r="H214" s="71">
        <v>0.5</v>
      </c>
      <c r="I214" s="71">
        <v>0</v>
      </c>
      <c r="J214" s="71">
        <v>0</v>
      </c>
    </row>
    <row r="215" customFormat="1" ht="12.75" hidden="1" spans="1:10">
      <c r="A215" s="64"/>
      <c r="B215" s="73" t="s">
        <v>419</v>
      </c>
      <c r="C215" s="66" t="s">
        <v>420</v>
      </c>
      <c r="D215" s="67">
        <v>0.2174</v>
      </c>
      <c r="E215" s="68"/>
      <c r="F215" s="69">
        <v>1</v>
      </c>
      <c r="G215" s="70"/>
      <c r="H215" s="71">
        <v>0.5</v>
      </c>
      <c r="I215" s="71">
        <v>0</v>
      </c>
      <c r="J215" s="71">
        <v>0</v>
      </c>
    </row>
    <row r="216" customFormat="1" ht="12.75" hidden="1" spans="1:10">
      <c r="A216" s="64"/>
      <c r="B216" s="73" t="s">
        <v>421</v>
      </c>
      <c r="C216" s="66" t="s">
        <v>422</v>
      </c>
      <c r="D216" s="67">
        <v>0.2174</v>
      </c>
      <c r="E216" s="68"/>
      <c r="F216" s="69">
        <v>1</v>
      </c>
      <c r="G216" s="70"/>
      <c r="H216" s="71">
        <v>0.5</v>
      </c>
      <c r="I216" s="71">
        <v>0</v>
      </c>
      <c r="J216" s="71">
        <v>0</v>
      </c>
    </row>
    <row r="217" customFormat="1" ht="12.75" hidden="1" spans="1:10">
      <c r="A217" s="64"/>
      <c r="B217" s="73" t="s">
        <v>423</v>
      </c>
      <c r="C217" s="66" t="s">
        <v>424</v>
      </c>
      <c r="D217" s="67">
        <v>0.2174</v>
      </c>
      <c r="E217" s="68"/>
      <c r="F217" s="69">
        <v>1</v>
      </c>
      <c r="G217" s="70"/>
      <c r="H217" s="71">
        <v>0.5</v>
      </c>
      <c r="I217" s="71">
        <v>0</v>
      </c>
      <c r="J217" s="71">
        <v>0</v>
      </c>
    </row>
    <row r="218" customFormat="1" ht="12.75" hidden="1" spans="1:10">
      <c r="A218" s="74"/>
      <c r="B218" s="73" t="s">
        <v>425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  <c r="I218" s="71">
        <v>0</v>
      </c>
      <c r="J218" s="71">
        <v>0</v>
      </c>
    </row>
    <row r="219" customFormat="1" ht="12.75" hidden="1" spans="1:10">
      <c r="A219" s="75"/>
      <c r="B219" s="73" t="s">
        <v>427</v>
      </c>
      <c r="C219" s="66" t="s">
        <v>426</v>
      </c>
      <c r="D219" s="67">
        <v>0.2174</v>
      </c>
      <c r="E219" s="68"/>
      <c r="F219" s="69">
        <v>1</v>
      </c>
      <c r="G219" s="70"/>
      <c r="H219" s="71">
        <v>0.5</v>
      </c>
      <c r="I219" s="71">
        <v>0</v>
      </c>
      <c r="J219" s="71">
        <v>0</v>
      </c>
    </row>
    <row r="220" customFormat="1" ht="12.75" hidden="1" spans="1:10">
      <c r="A220" s="64"/>
      <c r="B220" s="73" t="s">
        <v>428</v>
      </c>
      <c r="C220" s="66" t="s">
        <v>429</v>
      </c>
      <c r="D220" s="67">
        <v>0.2174</v>
      </c>
      <c r="E220" s="68"/>
      <c r="F220" s="69">
        <v>1</v>
      </c>
      <c r="G220" s="70"/>
      <c r="H220" s="71">
        <v>0.5</v>
      </c>
      <c r="I220" s="71">
        <v>0</v>
      </c>
      <c r="J220" s="71">
        <v>0</v>
      </c>
    </row>
    <row r="221" customFormat="1" ht="12.75" hidden="1" spans="1:10">
      <c r="A221" s="64"/>
      <c r="B221" s="73" t="s">
        <v>430</v>
      </c>
      <c r="C221" s="66" t="s">
        <v>431</v>
      </c>
      <c r="D221" s="67">
        <v>0.4348</v>
      </c>
      <c r="E221" s="68"/>
      <c r="F221" s="69">
        <v>1.6</v>
      </c>
      <c r="G221" s="70"/>
      <c r="H221" s="71">
        <v>1</v>
      </c>
      <c r="I221" s="71">
        <v>0</v>
      </c>
      <c r="J221" s="71">
        <v>0</v>
      </c>
    </row>
    <row r="222" customFormat="1" ht="27.95" hidden="1" customHeight="1" spans="1:10">
      <c r="A222" s="64"/>
      <c r="B222" s="73" t="s">
        <v>432</v>
      </c>
      <c r="C222" s="66" t="s">
        <v>433</v>
      </c>
      <c r="D222" s="67">
        <v>3.7391</v>
      </c>
      <c r="E222" s="68"/>
      <c r="F222" s="79">
        <v>13.8</v>
      </c>
      <c r="G222" s="80"/>
      <c r="H222" s="71">
        <v>8.6</v>
      </c>
      <c r="I222" s="71">
        <v>0</v>
      </c>
      <c r="J222" s="71">
        <v>0</v>
      </c>
    </row>
    <row r="223" customFormat="1" ht="27.95" hidden="1" customHeight="1" spans="1:10">
      <c r="A223" s="64"/>
      <c r="B223" s="73" t="s">
        <v>434</v>
      </c>
      <c r="C223" s="66" t="s">
        <v>435</v>
      </c>
      <c r="D223" s="67">
        <v>2.6087</v>
      </c>
      <c r="E223" s="68"/>
      <c r="F223" s="69">
        <v>9</v>
      </c>
      <c r="G223" s="70"/>
      <c r="H223" s="71">
        <v>6</v>
      </c>
      <c r="I223" s="71">
        <v>0</v>
      </c>
      <c r="J223" s="71">
        <v>0</v>
      </c>
    </row>
    <row r="224" customFormat="1" ht="27.95" hidden="1" customHeight="1" spans="1:10">
      <c r="A224" s="64"/>
      <c r="B224" s="73" t="s">
        <v>436</v>
      </c>
      <c r="C224" s="66" t="s">
        <v>437</v>
      </c>
      <c r="D224" s="67">
        <v>0.1739</v>
      </c>
      <c r="E224" s="68"/>
      <c r="F224" s="69">
        <v>1</v>
      </c>
      <c r="G224" s="70"/>
      <c r="H224" s="71">
        <v>0.4</v>
      </c>
      <c r="I224" s="71">
        <v>0</v>
      </c>
      <c r="J224" s="71">
        <v>0</v>
      </c>
    </row>
    <row r="225" customFormat="1" ht="27.95" hidden="1" customHeight="1" spans="1:10">
      <c r="A225" s="64"/>
      <c r="B225" s="73" t="s">
        <v>438</v>
      </c>
      <c r="C225" s="66" t="s">
        <v>439</v>
      </c>
      <c r="D225" s="67">
        <v>5.5217</v>
      </c>
      <c r="E225" s="68"/>
      <c r="F225" s="79">
        <v>20.5</v>
      </c>
      <c r="G225" s="80"/>
      <c r="H225" s="71">
        <v>12.7</v>
      </c>
      <c r="I225" s="71">
        <v>0</v>
      </c>
      <c r="J225" s="71">
        <v>0</v>
      </c>
    </row>
    <row r="226" customFormat="1" ht="27.95" hidden="1" customHeight="1" spans="1:10">
      <c r="A226" s="64"/>
      <c r="B226" s="73" t="s">
        <v>440</v>
      </c>
      <c r="C226" s="66" t="s">
        <v>441</v>
      </c>
      <c r="D226" s="67">
        <v>5.5217</v>
      </c>
      <c r="E226" s="68"/>
      <c r="F226" s="79">
        <v>20.5</v>
      </c>
      <c r="G226" s="80"/>
      <c r="H226" s="71">
        <v>12.7</v>
      </c>
      <c r="I226" s="71">
        <v>0</v>
      </c>
      <c r="J226" s="71">
        <v>0</v>
      </c>
    </row>
    <row r="227" customFormat="1" ht="27.95" hidden="1" customHeight="1" spans="1:10">
      <c r="A227" s="64"/>
      <c r="B227" s="73" t="s">
        <v>442</v>
      </c>
      <c r="C227" s="66" t="s">
        <v>443</v>
      </c>
      <c r="D227" s="67">
        <v>0.7391</v>
      </c>
      <c r="E227" s="68"/>
      <c r="F227" s="69">
        <v>2.7</v>
      </c>
      <c r="G227" s="70"/>
      <c r="H227" s="71">
        <v>1.7</v>
      </c>
      <c r="I227" s="71">
        <v>0</v>
      </c>
      <c r="J227" s="71">
        <v>0</v>
      </c>
    </row>
    <row r="228" customFormat="1" ht="27.95" hidden="1" customHeight="1" spans="1:10">
      <c r="A228" s="64"/>
      <c r="B228" s="73" t="s">
        <v>444</v>
      </c>
      <c r="C228" s="66" t="s">
        <v>445</v>
      </c>
      <c r="D228" s="67">
        <v>0.913</v>
      </c>
      <c r="E228" s="68"/>
      <c r="F228" s="69">
        <v>3.3</v>
      </c>
      <c r="G228" s="70"/>
      <c r="H228" s="71">
        <v>2.1</v>
      </c>
      <c r="I228" s="71">
        <v>0</v>
      </c>
      <c r="J228" s="71">
        <v>0</v>
      </c>
    </row>
    <row r="229" customFormat="1" ht="27.95" hidden="1" customHeight="1" spans="1:10">
      <c r="A229" s="64"/>
      <c r="B229" s="73" t="s">
        <v>446</v>
      </c>
      <c r="C229" s="66" t="s">
        <v>447</v>
      </c>
      <c r="D229" s="67">
        <v>0.5217</v>
      </c>
      <c r="E229" s="68"/>
      <c r="F229" s="69">
        <v>1.9</v>
      </c>
      <c r="G229" s="70"/>
      <c r="H229" s="71">
        <v>1.2</v>
      </c>
      <c r="I229" s="71">
        <v>0</v>
      </c>
      <c r="J229" s="71">
        <v>0</v>
      </c>
    </row>
    <row r="230" customFormat="1" ht="27.95" hidden="1" customHeight="1" spans="1:10">
      <c r="A230" s="64"/>
      <c r="B230" s="73" t="s">
        <v>448</v>
      </c>
      <c r="C230" s="66" t="s">
        <v>449</v>
      </c>
      <c r="D230" s="67">
        <v>0.2174</v>
      </c>
      <c r="E230" s="68"/>
      <c r="F230" s="69">
        <v>1</v>
      </c>
      <c r="G230" s="70"/>
      <c r="H230" s="71">
        <v>0.5</v>
      </c>
      <c r="I230" s="71">
        <v>0</v>
      </c>
      <c r="J230" s="71">
        <v>0</v>
      </c>
    </row>
    <row r="231" customFormat="1" ht="27.95" hidden="1" customHeight="1" spans="1:10">
      <c r="A231" s="64"/>
      <c r="B231" s="73" t="s">
        <v>450</v>
      </c>
      <c r="C231" s="66" t="s">
        <v>451</v>
      </c>
      <c r="D231" s="67">
        <v>0.2174</v>
      </c>
      <c r="E231" s="68"/>
      <c r="F231" s="69">
        <v>1</v>
      </c>
      <c r="G231" s="70"/>
      <c r="H231" s="71">
        <v>0.5</v>
      </c>
      <c r="I231" s="71">
        <v>0</v>
      </c>
      <c r="J231" s="71">
        <v>0</v>
      </c>
    </row>
    <row r="232" customFormat="1" ht="27.95" hidden="1" customHeight="1" spans="1:10">
      <c r="A232" s="64"/>
      <c r="B232" s="73" t="s">
        <v>452</v>
      </c>
      <c r="C232" s="66" t="s">
        <v>453</v>
      </c>
      <c r="D232" s="67">
        <v>0.2174</v>
      </c>
      <c r="E232" s="68"/>
      <c r="F232" s="69">
        <v>1</v>
      </c>
      <c r="G232" s="70"/>
      <c r="H232" s="71">
        <v>0.5</v>
      </c>
      <c r="I232" s="71">
        <v>0</v>
      </c>
      <c r="J232" s="71">
        <v>0</v>
      </c>
    </row>
    <row r="233" customFormat="1" ht="27.95" hidden="1" customHeight="1" spans="1:10">
      <c r="A233" s="64"/>
      <c r="B233" s="73" t="s">
        <v>454</v>
      </c>
      <c r="C233" s="66" t="s">
        <v>455</v>
      </c>
      <c r="D233" s="67">
        <v>0.2174</v>
      </c>
      <c r="E233" s="68"/>
      <c r="F233" s="69">
        <v>1</v>
      </c>
      <c r="G233" s="70"/>
      <c r="H233" s="71">
        <v>0.5</v>
      </c>
      <c r="I233" s="71">
        <v>0</v>
      </c>
      <c r="J233" s="71">
        <v>0</v>
      </c>
    </row>
    <row r="234" customFormat="1" ht="27.95" hidden="1" customHeight="1" spans="1:10">
      <c r="A234" s="64"/>
      <c r="B234" s="73" t="s">
        <v>456</v>
      </c>
      <c r="C234" s="66" t="s">
        <v>457</v>
      </c>
      <c r="D234" s="67">
        <v>0.2174</v>
      </c>
      <c r="E234" s="68"/>
      <c r="F234" s="69">
        <v>1</v>
      </c>
      <c r="G234" s="70"/>
      <c r="H234" s="71">
        <v>0.5</v>
      </c>
      <c r="I234" s="71">
        <v>0</v>
      </c>
      <c r="J234" s="71">
        <v>0</v>
      </c>
    </row>
    <row r="235" customFormat="1" ht="27.95" hidden="1" customHeight="1" spans="1:10">
      <c r="A235" s="64"/>
      <c r="B235" s="73" t="s">
        <v>458</v>
      </c>
      <c r="C235" s="66" t="s">
        <v>459</v>
      </c>
      <c r="D235" s="67">
        <v>0.2174</v>
      </c>
      <c r="E235" s="68"/>
      <c r="F235" s="69">
        <v>1</v>
      </c>
      <c r="G235" s="70"/>
      <c r="H235" s="71">
        <v>0.5</v>
      </c>
      <c r="I235" s="71">
        <v>0</v>
      </c>
      <c r="J235" s="71">
        <v>0</v>
      </c>
    </row>
    <row r="236" customFormat="1" ht="27.95" hidden="1" customHeight="1" spans="1:10">
      <c r="A236" s="64"/>
      <c r="B236" s="73" t="s">
        <v>460</v>
      </c>
      <c r="C236" s="66" t="s">
        <v>461</v>
      </c>
      <c r="D236" s="67">
        <v>0.2174</v>
      </c>
      <c r="E236" s="68"/>
      <c r="F236" s="69">
        <v>1</v>
      </c>
      <c r="G236" s="70"/>
      <c r="H236" s="71">
        <v>0.5</v>
      </c>
      <c r="I236" s="71">
        <v>0</v>
      </c>
      <c r="J236" s="71">
        <v>0</v>
      </c>
    </row>
    <row r="237" customFormat="1" ht="27.95" hidden="1" customHeight="1" spans="1:10">
      <c r="A237" s="64"/>
      <c r="B237" s="73" t="s">
        <v>462</v>
      </c>
      <c r="C237" s="66" t="s">
        <v>463</v>
      </c>
      <c r="D237" s="67">
        <v>0.2174</v>
      </c>
      <c r="E237" s="68"/>
      <c r="F237" s="69">
        <v>1</v>
      </c>
      <c r="G237" s="70"/>
      <c r="H237" s="71">
        <v>0.5</v>
      </c>
      <c r="I237" s="71">
        <v>0</v>
      </c>
      <c r="J237" s="71">
        <v>0</v>
      </c>
    </row>
    <row r="238" customFormat="1" ht="27.95" hidden="1" customHeight="1" spans="1:10">
      <c r="A238" s="64"/>
      <c r="B238" s="73" t="s">
        <v>464</v>
      </c>
      <c r="C238" s="66" t="s">
        <v>465</v>
      </c>
      <c r="D238" s="67">
        <v>0.2174</v>
      </c>
      <c r="E238" s="68"/>
      <c r="F238" s="69">
        <v>1</v>
      </c>
      <c r="G238" s="70"/>
      <c r="H238" s="71">
        <v>0.5</v>
      </c>
      <c r="I238" s="71">
        <v>0</v>
      </c>
      <c r="J238" s="71">
        <v>0</v>
      </c>
    </row>
    <row r="239" customFormat="1" ht="27.95" hidden="1" customHeight="1" spans="1:10">
      <c r="A239" s="64"/>
      <c r="B239" s="73" t="s">
        <v>466</v>
      </c>
      <c r="C239" s="66" t="s">
        <v>467</v>
      </c>
      <c r="D239" s="67">
        <v>0.2174</v>
      </c>
      <c r="E239" s="68"/>
      <c r="F239" s="69">
        <v>1</v>
      </c>
      <c r="G239" s="70"/>
      <c r="H239" s="71">
        <v>0.5</v>
      </c>
      <c r="I239" s="71">
        <v>0</v>
      </c>
      <c r="J239" s="71">
        <v>0</v>
      </c>
    </row>
    <row r="240" customFormat="1" ht="27.95" hidden="1" customHeight="1" spans="1:10">
      <c r="A240" s="64"/>
      <c r="B240" s="73" t="s">
        <v>468</v>
      </c>
      <c r="C240" s="66" t="s">
        <v>469</v>
      </c>
      <c r="D240" s="67">
        <v>0.2174</v>
      </c>
      <c r="E240" s="68"/>
      <c r="F240" s="69">
        <v>1</v>
      </c>
      <c r="G240" s="70"/>
      <c r="H240" s="71">
        <v>0.5</v>
      </c>
      <c r="I240" s="71">
        <v>0</v>
      </c>
      <c r="J240" s="71">
        <v>0</v>
      </c>
    </row>
    <row r="241" customFormat="1" ht="27.95" hidden="1" customHeight="1" spans="1:10">
      <c r="A241" s="64"/>
      <c r="B241" s="73" t="s">
        <v>470</v>
      </c>
      <c r="C241" s="66" t="s">
        <v>471</v>
      </c>
      <c r="D241" s="67">
        <v>0.2174</v>
      </c>
      <c r="E241" s="68"/>
      <c r="F241" s="69">
        <v>1</v>
      </c>
      <c r="G241" s="70"/>
      <c r="H241" s="71">
        <v>0.5</v>
      </c>
      <c r="I241" s="71">
        <v>0</v>
      </c>
      <c r="J241" s="71">
        <v>0</v>
      </c>
    </row>
    <row r="242" customFormat="1" ht="27.95" hidden="1" customHeight="1" spans="1:10">
      <c r="A242" s="64"/>
      <c r="B242" s="73" t="s">
        <v>472</v>
      </c>
      <c r="C242" s="66" t="s">
        <v>473</v>
      </c>
      <c r="D242" s="67">
        <v>0.2174</v>
      </c>
      <c r="E242" s="68"/>
      <c r="F242" s="69">
        <v>1</v>
      </c>
      <c r="G242" s="70"/>
      <c r="H242" s="71">
        <v>0.5</v>
      </c>
      <c r="I242" s="71">
        <v>0</v>
      </c>
      <c r="J242" s="71">
        <v>0</v>
      </c>
    </row>
    <row r="243" customFormat="1" ht="27.95" hidden="1" customHeight="1" spans="1:10">
      <c r="A243" s="64"/>
      <c r="B243" s="73" t="s">
        <v>474</v>
      </c>
      <c r="C243" s="66" t="s">
        <v>475</v>
      </c>
      <c r="D243" s="67">
        <v>0.2174</v>
      </c>
      <c r="E243" s="68"/>
      <c r="F243" s="69">
        <v>1</v>
      </c>
      <c r="G243" s="70"/>
      <c r="H243" s="71">
        <v>0.5</v>
      </c>
      <c r="I243" s="71">
        <v>0</v>
      </c>
      <c r="J243" s="71">
        <v>0</v>
      </c>
    </row>
    <row r="244" customFormat="1" ht="27.95" hidden="1" customHeight="1" spans="1:10">
      <c r="A244" s="64"/>
      <c r="B244" s="73" t="s">
        <v>476</v>
      </c>
      <c r="C244" s="66" t="s">
        <v>477</v>
      </c>
      <c r="D244" s="67">
        <v>0.2174</v>
      </c>
      <c r="E244" s="68"/>
      <c r="F244" s="69">
        <v>1</v>
      </c>
      <c r="G244" s="70"/>
      <c r="H244" s="71">
        <v>0.5</v>
      </c>
      <c r="I244" s="71">
        <v>0</v>
      </c>
      <c r="J244" s="71">
        <v>0</v>
      </c>
    </row>
    <row r="245" customFormat="1" ht="27.95" hidden="1" customHeight="1" spans="1:10">
      <c r="A245" s="64"/>
      <c r="B245" s="73" t="s">
        <v>478</v>
      </c>
      <c r="C245" s="66" t="s">
        <v>479</v>
      </c>
      <c r="D245" s="67">
        <v>0.2174</v>
      </c>
      <c r="E245" s="68"/>
      <c r="F245" s="69">
        <v>1</v>
      </c>
      <c r="G245" s="70"/>
      <c r="H245" s="71">
        <v>0.5</v>
      </c>
      <c r="I245" s="71">
        <v>0</v>
      </c>
      <c r="J245" s="71">
        <v>0</v>
      </c>
    </row>
    <row r="246" customFormat="1" ht="27.95" hidden="1" customHeight="1" spans="1:10">
      <c r="A246" s="64"/>
      <c r="B246" s="73" t="s">
        <v>480</v>
      </c>
      <c r="C246" s="66" t="s">
        <v>481</v>
      </c>
      <c r="D246" s="67">
        <v>0.2174</v>
      </c>
      <c r="E246" s="68"/>
      <c r="F246" s="69">
        <v>1</v>
      </c>
      <c r="G246" s="70"/>
      <c r="H246" s="71">
        <v>0.5</v>
      </c>
      <c r="I246" s="71">
        <v>0</v>
      </c>
      <c r="J246" s="71">
        <v>0</v>
      </c>
    </row>
    <row r="247" customFormat="1" ht="27.95" hidden="1" customHeight="1" spans="1:10">
      <c r="A247" s="64"/>
      <c r="B247" s="73" t="s">
        <v>482</v>
      </c>
      <c r="C247" s="66" t="s">
        <v>483</v>
      </c>
      <c r="D247" s="67">
        <v>0.2174</v>
      </c>
      <c r="E247" s="68"/>
      <c r="F247" s="69">
        <v>1</v>
      </c>
      <c r="G247" s="70"/>
      <c r="H247" s="71">
        <v>0.5</v>
      </c>
      <c r="I247" s="71">
        <v>0</v>
      </c>
      <c r="J247" s="71">
        <v>0</v>
      </c>
    </row>
    <row r="248" customFormat="1" ht="27.95" hidden="1" customHeight="1" spans="1:10">
      <c r="A248" s="64"/>
      <c r="B248" s="73" t="s">
        <v>484</v>
      </c>
      <c r="C248" s="66" t="s">
        <v>485</v>
      </c>
      <c r="D248" s="67">
        <v>0.2174</v>
      </c>
      <c r="E248" s="68"/>
      <c r="F248" s="69">
        <v>1</v>
      </c>
      <c r="G248" s="70"/>
      <c r="H248" s="71">
        <v>0.5</v>
      </c>
      <c r="I248" s="71">
        <v>0</v>
      </c>
      <c r="J248" s="71">
        <v>0</v>
      </c>
    </row>
    <row r="249" customFormat="1" ht="27.95" hidden="1" customHeight="1" spans="1:10">
      <c r="A249" s="64"/>
      <c r="B249" s="73" t="s">
        <v>486</v>
      </c>
      <c r="C249" s="66" t="s">
        <v>487</v>
      </c>
      <c r="D249" s="67">
        <v>0.2174</v>
      </c>
      <c r="E249" s="68"/>
      <c r="F249" s="69">
        <v>1</v>
      </c>
      <c r="G249" s="70"/>
      <c r="H249" s="71">
        <v>0.5</v>
      </c>
      <c r="I249" s="71">
        <v>0</v>
      </c>
      <c r="J249" s="71">
        <v>0</v>
      </c>
    </row>
    <row r="250" customFormat="1" ht="27.95" hidden="1" customHeight="1" spans="1:10">
      <c r="A250" s="64"/>
      <c r="B250" s="73" t="s">
        <v>488</v>
      </c>
      <c r="C250" s="66" t="s">
        <v>489</v>
      </c>
      <c r="D250" s="67">
        <v>0.2174</v>
      </c>
      <c r="E250" s="68"/>
      <c r="F250" s="69">
        <v>1</v>
      </c>
      <c r="G250" s="70"/>
      <c r="H250" s="71">
        <v>0.5</v>
      </c>
      <c r="I250" s="71">
        <v>0</v>
      </c>
      <c r="J250" s="71">
        <v>0</v>
      </c>
    </row>
    <row r="251" customFormat="1" ht="27.95" hidden="1" customHeight="1" spans="1:10">
      <c r="A251" s="64"/>
      <c r="B251" s="73" t="s">
        <v>490</v>
      </c>
      <c r="C251" s="66" t="s">
        <v>491</v>
      </c>
      <c r="D251" s="67">
        <v>0.2174</v>
      </c>
      <c r="E251" s="68"/>
      <c r="F251" s="69">
        <v>1</v>
      </c>
      <c r="G251" s="70"/>
      <c r="H251" s="71">
        <v>0.5</v>
      </c>
      <c r="I251" s="71">
        <v>0</v>
      </c>
      <c r="J251" s="71">
        <v>0</v>
      </c>
    </row>
    <row r="252" customFormat="1" ht="27.95" hidden="1" customHeight="1" spans="1:10">
      <c r="A252" s="64"/>
      <c r="B252" s="73" t="s">
        <v>492</v>
      </c>
      <c r="C252" s="66" t="s">
        <v>493</v>
      </c>
      <c r="D252" s="67">
        <v>0.2174</v>
      </c>
      <c r="E252" s="68"/>
      <c r="F252" s="69">
        <v>1</v>
      </c>
      <c r="G252" s="70"/>
      <c r="H252" s="71">
        <v>0.5</v>
      </c>
      <c r="I252" s="71">
        <v>0</v>
      </c>
      <c r="J252" s="71">
        <v>0</v>
      </c>
    </row>
    <row r="253" customFormat="1" ht="27.95" hidden="1" customHeight="1" spans="1:10">
      <c r="A253" s="64"/>
      <c r="B253" s="73" t="s">
        <v>494</v>
      </c>
      <c r="C253" s="66" t="s">
        <v>495</v>
      </c>
      <c r="D253" s="67">
        <v>0.2174</v>
      </c>
      <c r="E253" s="68"/>
      <c r="F253" s="69">
        <v>1</v>
      </c>
      <c r="G253" s="70"/>
      <c r="H253" s="71">
        <v>0.5</v>
      </c>
      <c r="I253" s="71">
        <v>0</v>
      </c>
      <c r="J253" s="71">
        <v>0</v>
      </c>
    </row>
    <row r="254" customFormat="1" ht="27.95" hidden="1" customHeight="1" spans="1:10">
      <c r="A254" s="64"/>
      <c r="B254" s="73" t="s">
        <v>496</v>
      </c>
      <c r="C254" s="66" t="s">
        <v>497</v>
      </c>
      <c r="D254" s="67">
        <v>0.2174</v>
      </c>
      <c r="E254" s="68"/>
      <c r="F254" s="69">
        <v>1</v>
      </c>
      <c r="G254" s="70"/>
      <c r="H254" s="71">
        <v>0.5</v>
      </c>
      <c r="I254" s="71">
        <v>0</v>
      </c>
      <c r="J254" s="71">
        <v>0</v>
      </c>
    </row>
    <row r="255" customFormat="1" ht="27.95" hidden="1" customHeight="1" spans="1:10">
      <c r="A255" s="64"/>
      <c r="B255" s="73" t="s">
        <v>498</v>
      </c>
      <c r="C255" s="66" t="s">
        <v>499</v>
      </c>
      <c r="D255" s="67">
        <v>0.2174</v>
      </c>
      <c r="E255" s="68"/>
      <c r="F255" s="69">
        <v>1</v>
      </c>
      <c r="G255" s="70"/>
      <c r="H255" s="71">
        <v>0.5</v>
      </c>
      <c r="I255" s="71">
        <v>0</v>
      </c>
      <c r="J255" s="71">
        <v>0</v>
      </c>
    </row>
    <row r="256" customFormat="1" ht="27.95" hidden="1" customHeight="1" spans="1:10">
      <c r="A256" s="64"/>
      <c r="B256" s="73" t="s">
        <v>500</v>
      </c>
      <c r="C256" s="66" t="s">
        <v>501</v>
      </c>
      <c r="D256" s="67">
        <v>0.2174</v>
      </c>
      <c r="E256" s="68"/>
      <c r="F256" s="69">
        <v>1</v>
      </c>
      <c r="G256" s="70"/>
      <c r="H256" s="71">
        <v>0.5</v>
      </c>
      <c r="I256" s="71">
        <v>0</v>
      </c>
      <c r="J256" s="71">
        <v>0</v>
      </c>
    </row>
    <row r="257" customFormat="1" ht="27.95" hidden="1" customHeight="1" spans="1:10">
      <c r="A257" s="64"/>
      <c r="B257" s="73" t="s">
        <v>502</v>
      </c>
      <c r="C257" s="66" t="s">
        <v>503</v>
      </c>
      <c r="D257" s="67">
        <v>0.3043</v>
      </c>
      <c r="E257" s="68"/>
      <c r="F257" s="69">
        <v>1</v>
      </c>
      <c r="G257" s="70"/>
      <c r="H257" s="71">
        <v>0.7</v>
      </c>
      <c r="I257" s="71">
        <v>0</v>
      </c>
      <c r="J257" s="71">
        <v>0</v>
      </c>
    </row>
    <row r="258" customFormat="1" ht="27.95" hidden="1" customHeight="1" spans="1:10">
      <c r="A258" s="64"/>
      <c r="B258" s="73" t="s">
        <v>504</v>
      </c>
      <c r="C258" s="81" t="s">
        <v>505</v>
      </c>
      <c r="D258" s="67">
        <v>0.5217</v>
      </c>
      <c r="E258" s="68"/>
      <c r="F258" s="69">
        <v>2</v>
      </c>
      <c r="G258" s="70"/>
      <c r="H258" s="71">
        <v>1.2</v>
      </c>
      <c r="I258" s="71">
        <v>0</v>
      </c>
      <c r="J258" s="71">
        <v>0</v>
      </c>
    </row>
    <row r="259" customFormat="1" ht="27.95" hidden="1" customHeight="1" spans="1:10">
      <c r="A259" s="64"/>
      <c r="B259" s="73" t="s">
        <v>506</v>
      </c>
      <c r="C259" s="66" t="s">
        <v>507</v>
      </c>
      <c r="D259" s="67">
        <v>2.5217</v>
      </c>
      <c r="E259" s="68"/>
      <c r="F259" s="69">
        <v>9</v>
      </c>
      <c r="G259" s="70"/>
      <c r="H259" s="71">
        <v>5.8</v>
      </c>
      <c r="I259" s="71">
        <v>0</v>
      </c>
      <c r="J259" s="71">
        <v>0</v>
      </c>
    </row>
    <row r="260" customFormat="1" ht="27.95" hidden="1" customHeight="1" spans="1:10">
      <c r="A260" s="64"/>
      <c r="B260" s="73" t="s">
        <v>508</v>
      </c>
      <c r="C260" s="66" t="s">
        <v>509</v>
      </c>
      <c r="D260" s="67">
        <v>0.6522</v>
      </c>
      <c r="E260" s="68"/>
      <c r="F260" s="69">
        <v>2.5</v>
      </c>
      <c r="G260" s="70"/>
      <c r="H260" s="71">
        <v>1.5</v>
      </c>
      <c r="I260" s="71">
        <v>0</v>
      </c>
      <c r="J260" s="71">
        <v>0</v>
      </c>
    </row>
    <row r="261" customFormat="1" ht="27.95" hidden="1" customHeight="1" spans="1:10">
      <c r="A261" s="64"/>
      <c r="B261" s="73" t="s">
        <v>510</v>
      </c>
      <c r="C261" s="66" t="s">
        <v>511</v>
      </c>
      <c r="D261" s="82">
        <v>33.913</v>
      </c>
      <c r="E261" s="83"/>
      <c r="F261" s="79">
        <v>125</v>
      </c>
      <c r="G261" s="80"/>
      <c r="H261" s="71">
        <v>78</v>
      </c>
      <c r="I261" s="71">
        <v>0</v>
      </c>
      <c r="J261" s="71">
        <v>0</v>
      </c>
    </row>
    <row r="262" customFormat="1" ht="27.95" hidden="1" customHeight="1" spans="1:10">
      <c r="A262" s="64"/>
      <c r="B262" s="73" t="s">
        <v>512</v>
      </c>
      <c r="C262" s="66" t="s">
        <v>513</v>
      </c>
      <c r="D262" s="67">
        <v>0.5652</v>
      </c>
      <c r="E262" s="68"/>
      <c r="F262" s="69">
        <v>3</v>
      </c>
      <c r="G262" s="70"/>
      <c r="H262" s="71">
        <v>1.3</v>
      </c>
      <c r="I262" s="71">
        <v>0</v>
      </c>
      <c r="J262" s="71">
        <v>0</v>
      </c>
    </row>
    <row r="263" customFormat="1" ht="27.95" hidden="1" customHeight="1" spans="1:10">
      <c r="A263" s="64"/>
      <c r="B263" s="73" t="s">
        <v>514</v>
      </c>
      <c r="C263" s="66" t="s">
        <v>515</v>
      </c>
      <c r="D263" s="67">
        <v>0.2174</v>
      </c>
      <c r="E263" s="68"/>
      <c r="F263" s="69">
        <v>1</v>
      </c>
      <c r="G263" s="70"/>
      <c r="H263" s="71">
        <v>0.5</v>
      </c>
      <c r="I263" s="71">
        <v>0</v>
      </c>
      <c r="J263" s="71">
        <v>0</v>
      </c>
    </row>
    <row r="264" customFormat="1" ht="27.95" hidden="1" customHeight="1" spans="1:10">
      <c r="A264" s="64"/>
      <c r="B264" s="73" t="s">
        <v>516</v>
      </c>
      <c r="C264" s="66" t="s">
        <v>517</v>
      </c>
      <c r="D264" s="67">
        <v>0.2174</v>
      </c>
      <c r="E264" s="68"/>
      <c r="F264" s="69">
        <v>1</v>
      </c>
      <c r="G264" s="70"/>
      <c r="H264" s="71">
        <v>0.5</v>
      </c>
      <c r="I264" s="71">
        <v>0</v>
      </c>
      <c r="J264" s="71">
        <v>0</v>
      </c>
    </row>
    <row r="265" customFormat="1" ht="27.95" hidden="1" customHeight="1" spans="1:10">
      <c r="A265" s="64"/>
      <c r="B265" s="73" t="s">
        <v>518</v>
      </c>
      <c r="C265" s="66" t="s">
        <v>519</v>
      </c>
      <c r="D265" s="67">
        <v>0.2174</v>
      </c>
      <c r="E265" s="68"/>
      <c r="F265" s="69">
        <v>1</v>
      </c>
      <c r="G265" s="70"/>
      <c r="H265" s="71">
        <v>0.5</v>
      </c>
      <c r="I265" s="71">
        <v>0</v>
      </c>
      <c r="J265" s="71">
        <v>0</v>
      </c>
    </row>
    <row r="266" customFormat="1" ht="27.95" hidden="1" customHeight="1" spans="1:10">
      <c r="A266" s="64"/>
      <c r="B266" s="73" t="s">
        <v>520</v>
      </c>
      <c r="C266" s="66" t="s">
        <v>521</v>
      </c>
      <c r="D266" s="67">
        <v>0.2174</v>
      </c>
      <c r="E266" s="68"/>
      <c r="F266" s="69">
        <v>1</v>
      </c>
      <c r="G266" s="70"/>
      <c r="H266" s="71">
        <v>0.5</v>
      </c>
      <c r="I266" s="71">
        <v>0</v>
      </c>
      <c r="J266" s="71">
        <v>0</v>
      </c>
    </row>
    <row r="267" customFormat="1" ht="27.95" hidden="1" customHeight="1" spans="1:10">
      <c r="A267" s="64"/>
      <c r="B267" s="73" t="s">
        <v>522</v>
      </c>
      <c r="C267" s="66" t="s">
        <v>523</v>
      </c>
      <c r="D267" s="67">
        <v>0.2174</v>
      </c>
      <c r="E267" s="68"/>
      <c r="F267" s="69">
        <v>1</v>
      </c>
      <c r="G267" s="70"/>
      <c r="H267" s="71">
        <v>0.5</v>
      </c>
      <c r="I267" s="71">
        <v>0</v>
      </c>
      <c r="J267" s="71">
        <v>0</v>
      </c>
    </row>
    <row r="268" customFormat="1" ht="27.95" hidden="1" customHeight="1" spans="1:10">
      <c r="A268" s="64"/>
      <c r="B268" s="73" t="s">
        <v>524</v>
      </c>
      <c r="C268" s="66" t="s">
        <v>525</v>
      </c>
      <c r="D268" s="67">
        <v>0.2174</v>
      </c>
      <c r="E268" s="68"/>
      <c r="F268" s="69">
        <v>1</v>
      </c>
      <c r="G268" s="70"/>
      <c r="H268" s="71">
        <v>0.5</v>
      </c>
      <c r="I268" s="71">
        <v>0</v>
      </c>
      <c r="J268" s="71">
        <v>0</v>
      </c>
    </row>
    <row r="269" customFormat="1" ht="27.95" hidden="1" customHeight="1" spans="1:10">
      <c r="A269" s="64"/>
      <c r="B269" s="73" t="s">
        <v>526</v>
      </c>
      <c r="C269" s="66" t="s">
        <v>527</v>
      </c>
      <c r="D269" s="67">
        <v>0.2174</v>
      </c>
      <c r="E269" s="68"/>
      <c r="F269" s="69">
        <v>1</v>
      </c>
      <c r="G269" s="70"/>
      <c r="H269" s="71">
        <v>0.5</v>
      </c>
      <c r="I269" s="71">
        <v>0</v>
      </c>
      <c r="J269" s="71">
        <v>0</v>
      </c>
    </row>
    <row r="270" customFormat="1" ht="27.95" hidden="1" customHeight="1" spans="1:10">
      <c r="A270" s="64"/>
      <c r="B270" s="73" t="s">
        <v>528</v>
      </c>
      <c r="C270" s="66" t="s">
        <v>529</v>
      </c>
      <c r="D270" s="67">
        <v>0.2174</v>
      </c>
      <c r="E270" s="68"/>
      <c r="F270" s="69">
        <v>1</v>
      </c>
      <c r="G270" s="70"/>
      <c r="H270" s="71">
        <v>0.5</v>
      </c>
      <c r="I270" s="71">
        <v>0</v>
      </c>
      <c r="J270" s="71">
        <v>0</v>
      </c>
    </row>
    <row r="271" customFormat="1" ht="27.95" hidden="1" customHeight="1" spans="1:10">
      <c r="A271" s="64"/>
      <c r="B271" s="73" t="s">
        <v>530</v>
      </c>
      <c r="C271" s="66" t="s">
        <v>531</v>
      </c>
      <c r="D271" s="67">
        <v>0.2174</v>
      </c>
      <c r="E271" s="68"/>
      <c r="F271" s="69">
        <v>1</v>
      </c>
      <c r="G271" s="70"/>
      <c r="H271" s="71">
        <v>0.5</v>
      </c>
      <c r="I271" s="71">
        <v>0</v>
      </c>
      <c r="J271" s="71">
        <v>0</v>
      </c>
    </row>
    <row r="272" customFormat="1" ht="27.95" hidden="1" customHeight="1" spans="1:10">
      <c r="A272" s="64"/>
      <c r="B272" s="73" t="s">
        <v>532</v>
      </c>
      <c r="C272" s="66" t="s">
        <v>533</v>
      </c>
      <c r="D272" s="67">
        <v>0.2174</v>
      </c>
      <c r="E272" s="68"/>
      <c r="F272" s="69">
        <v>1</v>
      </c>
      <c r="G272" s="70"/>
      <c r="H272" s="71">
        <v>0.5</v>
      </c>
      <c r="I272" s="71">
        <v>0</v>
      </c>
      <c r="J272" s="71">
        <v>0</v>
      </c>
    </row>
    <row r="273" customFormat="1" ht="27.95" hidden="1" customHeight="1" spans="1:10">
      <c r="A273" s="64"/>
      <c r="B273" s="73" t="s">
        <v>534</v>
      </c>
      <c r="C273" s="66" t="s">
        <v>535</v>
      </c>
      <c r="D273" s="67">
        <v>0.2174</v>
      </c>
      <c r="E273" s="68"/>
      <c r="F273" s="69">
        <v>1</v>
      </c>
      <c r="G273" s="70"/>
      <c r="H273" s="71">
        <v>0.5</v>
      </c>
      <c r="I273" s="71">
        <v>0</v>
      </c>
      <c r="J273" s="71">
        <v>0</v>
      </c>
    </row>
    <row r="274" customFormat="1" ht="27.95" hidden="1" customHeight="1" spans="1:10">
      <c r="A274" s="64"/>
      <c r="B274" s="73" t="s">
        <v>536</v>
      </c>
      <c r="C274" s="66" t="s">
        <v>537</v>
      </c>
      <c r="D274" s="67">
        <v>0.2174</v>
      </c>
      <c r="E274" s="68"/>
      <c r="F274" s="69">
        <v>1</v>
      </c>
      <c r="G274" s="70"/>
      <c r="H274" s="71">
        <v>0.5</v>
      </c>
      <c r="I274" s="71">
        <v>0</v>
      </c>
      <c r="J274" s="71">
        <v>0</v>
      </c>
    </row>
    <row r="275" customFormat="1" ht="27.95" hidden="1" customHeight="1" spans="1:10">
      <c r="A275" s="64"/>
      <c r="B275" s="73" t="s">
        <v>538</v>
      </c>
      <c r="C275" s="66" t="s">
        <v>539</v>
      </c>
      <c r="D275" s="67">
        <v>0.2174</v>
      </c>
      <c r="E275" s="68"/>
      <c r="F275" s="69">
        <v>1</v>
      </c>
      <c r="G275" s="70"/>
      <c r="H275" s="71">
        <v>0.5</v>
      </c>
      <c r="I275" s="71">
        <v>0</v>
      </c>
      <c r="J275" s="71">
        <v>0</v>
      </c>
    </row>
    <row r="276" customFormat="1" ht="27.95" hidden="1" customHeight="1" spans="1:10">
      <c r="A276" s="64"/>
      <c r="B276" s="73" t="s">
        <v>540</v>
      </c>
      <c r="C276" s="66" t="s">
        <v>541</v>
      </c>
      <c r="D276" s="67">
        <v>0.2174</v>
      </c>
      <c r="E276" s="68"/>
      <c r="F276" s="69">
        <v>1</v>
      </c>
      <c r="G276" s="70"/>
      <c r="H276" s="71">
        <v>0.5</v>
      </c>
      <c r="I276" s="71">
        <v>0</v>
      </c>
      <c r="J276" s="71">
        <v>0</v>
      </c>
    </row>
    <row r="277" customFormat="1" ht="27.95" hidden="1" customHeight="1" spans="1:10">
      <c r="A277" s="64"/>
      <c r="B277" s="73" t="s">
        <v>542</v>
      </c>
      <c r="C277" s="66" t="s">
        <v>543</v>
      </c>
      <c r="D277" s="67">
        <v>0.2174</v>
      </c>
      <c r="E277" s="68"/>
      <c r="F277" s="69">
        <v>1</v>
      </c>
      <c r="G277" s="70"/>
      <c r="H277" s="71">
        <v>0.5</v>
      </c>
      <c r="I277" s="71">
        <v>0</v>
      </c>
      <c r="J277" s="71">
        <v>0</v>
      </c>
    </row>
    <row r="278" customFormat="1" ht="27.95" hidden="1" customHeight="1" spans="1:10">
      <c r="A278" s="64"/>
      <c r="B278" s="73" t="s">
        <v>544</v>
      </c>
      <c r="C278" s="66" t="s">
        <v>545</v>
      </c>
      <c r="D278" s="67">
        <v>0.2174</v>
      </c>
      <c r="E278" s="68"/>
      <c r="F278" s="69">
        <v>1</v>
      </c>
      <c r="G278" s="70"/>
      <c r="H278" s="71">
        <v>0.5</v>
      </c>
      <c r="I278" s="71">
        <v>0</v>
      </c>
      <c r="J278" s="71">
        <v>0</v>
      </c>
    </row>
    <row r="279" customFormat="1" ht="27.95" hidden="1" customHeight="1" spans="1:10">
      <c r="A279" s="64"/>
      <c r="B279" s="73" t="s">
        <v>546</v>
      </c>
      <c r="C279" s="66" t="s">
        <v>547</v>
      </c>
      <c r="D279" s="67">
        <v>0.2174</v>
      </c>
      <c r="E279" s="68"/>
      <c r="F279" s="69">
        <v>1</v>
      </c>
      <c r="G279" s="70"/>
      <c r="H279" s="71">
        <v>0.5</v>
      </c>
      <c r="I279" s="71">
        <v>0</v>
      </c>
      <c r="J279" s="71">
        <v>0</v>
      </c>
    </row>
    <row r="280" customFormat="1" ht="27.95" hidden="1" customHeight="1" spans="1:10">
      <c r="A280" s="64"/>
      <c r="B280" s="73" t="s">
        <v>548</v>
      </c>
      <c r="C280" s="66" t="s">
        <v>549</v>
      </c>
      <c r="D280" s="67">
        <v>0.2174</v>
      </c>
      <c r="E280" s="68"/>
      <c r="F280" s="69">
        <v>1</v>
      </c>
      <c r="G280" s="70"/>
      <c r="H280" s="71">
        <v>0.5</v>
      </c>
      <c r="I280" s="71">
        <v>0</v>
      </c>
      <c r="J280" s="71">
        <v>0</v>
      </c>
    </row>
    <row r="281" customFormat="1" ht="27.95" hidden="1" customHeight="1" spans="1:10">
      <c r="A281" s="64"/>
      <c r="B281" s="73" t="s">
        <v>550</v>
      </c>
      <c r="C281" s="66" t="s">
        <v>551</v>
      </c>
      <c r="D281" s="67">
        <v>0.2174</v>
      </c>
      <c r="E281" s="68"/>
      <c r="F281" s="69">
        <v>1</v>
      </c>
      <c r="G281" s="70"/>
      <c r="H281" s="71">
        <v>0.5</v>
      </c>
      <c r="I281" s="71">
        <v>0</v>
      </c>
      <c r="J281" s="71">
        <v>0</v>
      </c>
    </row>
    <row r="282" customFormat="1" ht="27.95" hidden="1" customHeight="1" spans="1:10">
      <c r="A282" s="64"/>
      <c r="B282" s="73" t="s">
        <v>552</v>
      </c>
      <c r="C282" s="66" t="s">
        <v>553</v>
      </c>
      <c r="D282" s="67">
        <v>0.2174</v>
      </c>
      <c r="E282" s="68"/>
      <c r="F282" s="69">
        <v>1</v>
      </c>
      <c r="G282" s="70"/>
      <c r="H282" s="71">
        <v>0.5</v>
      </c>
      <c r="I282" s="71">
        <v>0</v>
      </c>
      <c r="J282" s="71">
        <v>0</v>
      </c>
    </row>
    <row r="283" customFormat="1" ht="27.95" hidden="1" customHeight="1" spans="1:10">
      <c r="A283" s="64"/>
      <c r="B283" s="73" t="s">
        <v>554</v>
      </c>
      <c r="C283" s="66" t="s">
        <v>555</v>
      </c>
      <c r="D283" s="67">
        <v>0.2174</v>
      </c>
      <c r="E283" s="68"/>
      <c r="F283" s="69">
        <v>1</v>
      </c>
      <c r="G283" s="70"/>
      <c r="H283" s="71">
        <v>0.5</v>
      </c>
      <c r="I283" s="71">
        <v>0</v>
      </c>
      <c r="J283" s="71">
        <v>0</v>
      </c>
    </row>
    <row r="284" customFormat="1" ht="27.95" hidden="1" customHeight="1" spans="1:10">
      <c r="A284" s="64"/>
      <c r="B284" s="73" t="s">
        <v>556</v>
      </c>
      <c r="C284" s="66" t="s">
        <v>557</v>
      </c>
      <c r="D284" s="67">
        <v>0.2174</v>
      </c>
      <c r="E284" s="68"/>
      <c r="F284" s="69">
        <v>1</v>
      </c>
      <c r="G284" s="70"/>
      <c r="H284" s="71">
        <v>0.5</v>
      </c>
      <c r="I284" s="71">
        <v>0</v>
      </c>
      <c r="J284" s="71">
        <v>0</v>
      </c>
    </row>
    <row r="285" customFormat="1" ht="27.95" hidden="1" customHeight="1" spans="1:10">
      <c r="A285" s="64"/>
      <c r="B285" s="73" t="s">
        <v>558</v>
      </c>
      <c r="C285" s="66" t="s">
        <v>559</v>
      </c>
      <c r="D285" s="67">
        <v>0.2174</v>
      </c>
      <c r="E285" s="68"/>
      <c r="F285" s="69">
        <v>1</v>
      </c>
      <c r="G285" s="70"/>
      <c r="H285" s="71">
        <v>0.5</v>
      </c>
      <c r="I285" s="71">
        <v>0</v>
      </c>
      <c r="J285" s="71">
        <v>0</v>
      </c>
    </row>
    <row r="286" customFormat="1" ht="27.95" hidden="1" customHeight="1" spans="1:10">
      <c r="A286" s="64"/>
      <c r="B286" s="73" t="s">
        <v>560</v>
      </c>
      <c r="C286" s="66" t="s">
        <v>561</v>
      </c>
      <c r="D286" s="67">
        <v>0.2174</v>
      </c>
      <c r="E286" s="68"/>
      <c r="F286" s="69">
        <v>1</v>
      </c>
      <c r="G286" s="70"/>
      <c r="H286" s="71">
        <v>0.5</v>
      </c>
      <c r="I286" s="71">
        <v>0</v>
      </c>
      <c r="J286" s="71">
        <v>0</v>
      </c>
    </row>
    <row r="287" customFormat="1" ht="27.95" hidden="1" customHeight="1" spans="1:10">
      <c r="A287" s="64"/>
      <c r="B287" s="73" t="s">
        <v>562</v>
      </c>
      <c r="C287" s="66" t="s">
        <v>563</v>
      </c>
      <c r="D287" s="67">
        <v>0.2174</v>
      </c>
      <c r="E287" s="68"/>
      <c r="F287" s="69">
        <v>1</v>
      </c>
      <c r="G287" s="70"/>
      <c r="H287" s="71">
        <v>0.5</v>
      </c>
      <c r="I287" s="71">
        <v>0</v>
      </c>
      <c r="J287" s="71">
        <v>0</v>
      </c>
    </row>
    <row r="288" customFormat="1" ht="27.95" hidden="1" customHeight="1" spans="1:10">
      <c r="A288" s="64"/>
      <c r="B288" s="73" t="s">
        <v>564</v>
      </c>
      <c r="C288" s="66" t="s">
        <v>565</v>
      </c>
      <c r="D288" s="67">
        <v>0.2174</v>
      </c>
      <c r="E288" s="68"/>
      <c r="F288" s="69">
        <v>1</v>
      </c>
      <c r="G288" s="70"/>
      <c r="H288" s="71">
        <v>0.5</v>
      </c>
      <c r="I288" s="71">
        <v>0</v>
      </c>
      <c r="J288" s="71">
        <v>0</v>
      </c>
    </row>
    <row r="289" customFormat="1" ht="27.95" hidden="1" customHeight="1" spans="1:10">
      <c r="A289" s="64"/>
      <c r="B289" s="73" t="s">
        <v>566</v>
      </c>
      <c r="C289" s="66" t="s">
        <v>567</v>
      </c>
      <c r="D289" s="67">
        <v>0.2174</v>
      </c>
      <c r="E289" s="68"/>
      <c r="F289" s="69">
        <v>1</v>
      </c>
      <c r="G289" s="70"/>
      <c r="H289" s="71">
        <v>0.5</v>
      </c>
      <c r="I289" s="71">
        <v>0</v>
      </c>
      <c r="J289" s="71">
        <v>0</v>
      </c>
    </row>
    <row r="290" customFormat="1" ht="27.95" hidden="1" customHeight="1" spans="1:10">
      <c r="A290" s="64"/>
      <c r="B290" s="73" t="s">
        <v>568</v>
      </c>
      <c r="C290" s="66" t="s">
        <v>569</v>
      </c>
      <c r="D290" s="67">
        <v>0.2174</v>
      </c>
      <c r="E290" s="68"/>
      <c r="F290" s="69">
        <v>1</v>
      </c>
      <c r="G290" s="70"/>
      <c r="H290" s="71">
        <v>0.5</v>
      </c>
      <c r="I290" s="71">
        <v>0</v>
      </c>
      <c r="J290" s="71">
        <v>0</v>
      </c>
    </row>
    <row r="291" customFormat="1" ht="27.95" hidden="1" customHeight="1" spans="1:10">
      <c r="A291" s="64"/>
      <c r="B291" s="73" t="s">
        <v>570</v>
      </c>
      <c r="C291" s="66" t="s">
        <v>571</v>
      </c>
      <c r="D291" s="67">
        <v>0.2174</v>
      </c>
      <c r="E291" s="68"/>
      <c r="F291" s="69">
        <v>1</v>
      </c>
      <c r="G291" s="70"/>
      <c r="H291" s="71">
        <v>0.5</v>
      </c>
      <c r="I291" s="71">
        <v>0</v>
      </c>
      <c r="J291" s="71">
        <v>0</v>
      </c>
    </row>
    <row r="292" customFormat="1" ht="27.95" hidden="1" customHeight="1" spans="1:10">
      <c r="A292" s="64"/>
      <c r="B292" s="73" t="s">
        <v>572</v>
      </c>
      <c r="C292" s="66" t="s">
        <v>573</v>
      </c>
      <c r="D292" s="67">
        <v>0.2174</v>
      </c>
      <c r="E292" s="68"/>
      <c r="F292" s="69">
        <v>1</v>
      </c>
      <c r="G292" s="70"/>
      <c r="H292" s="71">
        <v>0.5</v>
      </c>
      <c r="I292" s="71">
        <v>0</v>
      </c>
      <c r="J292" s="71">
        <v>0</v>
      </c>
    </row>
    <row r="293" customFormat="1" ht="27.95" hidden="1" customHeight="1" spans="1:10">
      <c r="A293" s="64"/>
      <c r="B293" s="73" t="s">
        <v>574</v>
      </c>
      <c r="C293" s="66" t="s">
        <v>575</v>
      </c>
      <c r="D293" s="67">
        <v>0.2174</v>
      </c>
      <c r="E293" s="68"/>
      <c r="F293" s="69">
        <v>1</v>
      </c>
      <c r="G293" s="70"/>
      <c r="H293" s="71">
        <v>0.5</v>
      </c>
      <c r="I293" s="71">
        <v>0</v>
      </c>
      <c r="J293" s="71">
        <v>0</v>
      </c>
    </row>
    <row r="294" customFormat="1" ht="27.95" hidden="1" customHeight="1" spans="1:10">
      <c r="A294" s="64"/>
      <c r="B294" s="73" t="s">
        <v>576</v>
      </c>
      <c r="C294" s="66" t="s">
        <v>577</v>
      </c>
      <c r="D294" s="67">
        <v>0.2174</v>
      </c>
      <c r="E294" s="68"/>
      <c r="F294" s="69">
        <v>1</v>
      </c>
      <c r="G294" s="70"/>
      <c r="H294" s="71">
        <v>0.5</v>
      </c>
      <c r="I294" s="71">
        <v>0</v>
      </c>
      <c r="J294" s="71">
        <v>0</v>
      </c>
    </row>
    <row r="295" customFormat="1" ht="27.95" hidden="1" customHeight="1" spans="1:10">
      <c r="A295" s="64"/>
      <c r="B295" s="73" t="s">
        <v>578</v>
      </c>
      <c r="C295" s="66" t="s">
        <v>579</v>
      </c>
      <c r="D295" s="67">
        <v>0.2174</v>
      </c>
      <c r="E295" s="68"/>
      <c r="F295" s="69">
        <v>1</v>
      </c>
      <c r="G295" s="70"/>
      <c r="H295" s="71">
        <v>0.5</v>
      </c>
      <c r="I295" s="71">
        <v>0</v>
      </c>
      <c r="J295" s="71">
        <v>0</v>
      </c>
    </row>
    <row r="296" customFormat="1" ht="27.95" hidden="1" customHeight="1" spans="1:10">
      <c r="A296" s="64"/>
      <c r="B296" s="73" t="s">
        <v>580</v>
      </c>
      <c r="C296" s="66" t="s">
        <v>581</v>
      </c>
      <c r="D296" s="67">
        <v>0.2174</v>
      </c>
      <c r="E296" s="68"/>
      <c r="F296" s="69">
        <v>1</v>
      </c>
      <c r="G296" s="70"/>
      <c r="H296" s="71">
        <v>0.5</v>
      </c>
      <c r="I296" s="71">
        <v>0</v>
      </c>
      <c r="J296" s="71">
        <v>0</v>
      </c>
    </row>
    <row r="297" customFormat="1" ht="27.95" hidden="1" customHeight="1" spans="1:10">
      <c r="A297" s="64"/>
      <c r="B297" s="73" t="s">
        <v>582</v>
      </c>
      <c r="C297" s="66" t="s">
        <v>583</v>
      </c>
      <c r="D297" s="67">
        <v>0.2174</v>
      </c>
      <c r="E297" s="68"/>
      <c r="F297" s="69">
        <v>1</v>
      </c>
      <c r="G297" s="70"/>
      <c r="H297" s="71">
        <v>0.5</v>
      </c>
      <c r="I297" s="71">
        <v>0</v>
      </c>
      <c r="J297" s="71">
        <v>0</v>
      </c>
    </row>
    <row r="298" customFormat="1" ht="27.95" hidden="1" customHeight="1" spans="1:10">
      <c r="A298" s="64"/>
      <c r="B298" s="73" t="s">
        <v>584</v>
      </c>
      <c r="C298" s="66" t="s">
        <v>585</v>
      </c>
      <c r="D298" s="67">
        <v>0.2174</v>
      </c>
      <c r="E298" s="68"/>
      <c r="F298" s="69">
        <v>1</v>
      </c>
      <c r="G298" s="70"/>
      <c r="H298" s="71">
        <v>0.5</v>
      </c>
      <c r="I298" s="71">
        <v>0</v>
      </c>
      <c r="J298" s="71">
        <v>0</v>
      </c>
    </row>
    <row r="299" customFormat="1" ht="27.95" hidden="1" customHeight="1" spans="1:10">
      <c r="A299" s="64"/>
      <c r="B299" s="73" t="s">
        <v>586</v>
      </c>
      <c r="C299" s="66" t="s">
        <v>587</v>
      </c>
      <c r="D299" s="67">
        <v>0.2174</v>
      </c>
      <c r="E299" s="68"/>
      <c r="F299" s="69">
        <v>1</v>
      </c>
      <c r="G299" s="70"/>
      <c r="H299" s="71">
        <v>0.5</v>
      </c>
      <c r="I299" s="71">
        <v>0</v>
      </c>
      <c r="J299" s="71">
        <v>0</v>
      </c>
    </row>
    <row r="300" customFormat="1" ht="27.95" hidden="1" customHeight="1" spans="1:10">
      <c r="A300" s="64"/>
      <c r="B300" s="73" t="s">
        <v>588</v>
      </c>
      <c r="C300" s="66" t="s">
        <v>589</v>
      </c>
      <c r="D300" s="67">
        <v>0.2174</v>
      </c>
      <c r="E300" s="68"/>
      <c r="F300" s="69">
        <v>1</v>
      </c>
      <c r="G300" s="70"/>
      <c r="H300" s="71">
        <v>0.5</v>
      </c>
      <c r="I300" s="71">
        <v>0</v>
      </c>
      <c r="J300" s="71">
        <v>0</v>
      </c>
    </row>
    <row r="301" customFormat="1" ht="27.95" hidden="1" customHeight="1" spans="1:10">
      <c r="A301" s="64"/>
      <c r="B301" s="73" t="s">
        <v>590</v>
      </c>
      <c r="C301" s="66" t="s">
        <v>591</v>
      </c>
      <c r="D301" s="67">
        <v>0.2174</v>
      </c>
      <c r="E301" s="68"/>
      <c r="F301" s="69">
        <v>1</v>
      </c>
      <c r="G301" s="70"/>
      <c r="H301" s="71">
        <v>0.5</v>
      </c>
      <c r="I301" s="71">
        <v>0</v>
      </c>
      <c r="J301" s="71">
        <v>0</v>
      </c>
    </row>
    <row r="302" customFormat="1" ht="27.95" hidden="1" customHeight="1" spans="1:10">
      <c r="A302" s="64"/>
      <c r="B302" s="73" t="s">
        <v>592</v>
      </c>
      <c r="C302" s="66" t="s">
        <v>593</v>
      </c>
      <c r="D302" s="67">
        <v>0.2174</v>
      </c>
      <c r="E302" s="68"/>
      <c r="F302" s="69">
        <v>1</v>
      </c>
      <c r="G302" s="70"/>
      <c r="H302" s="71">
        <v>0.5</v>
      </c>
      <c r="I302" s="71">
        <v>0</v>
      </c>
      <c r="J302" s="71">
        <v>0</v>
      </c>
    </row>
    <row r="303" customFormat="1" ht="27.95" hidden="1" customHeight="1" spans="1:10">
      <c r="A303" s="64"/>
      <c r="B303" s="73" t="s">
        <v>594</v>
      </c>
      <c r="C303" s="66" t="s">
        <v>595</v>
      </c>
      <c r="D303" s="67">
        <v>0.2174</v>
      </c>
      <c r="E303" s="68"/>
      <c r="F303" s="69">
        <v>1</v>
      </c>
      <c r="G303" s="70"/>
      <c r="H303" s="71">
        <v>0.5</v>
      </c>
      <c r="I303" s="71">
        <v>0</v>
      </c>
      <c r="J303" s="71">
        <v>0</v>
      </c>
    </row>
    <row r="304" customFormat="1" ht="27.95" hidden="1" customHeight="1" spans="1:10">
      <c r="A304" s="64"/>
      <c r="B304" s="73" t="s">
        <v>596</v>
      </c>
      <c r="C304" s="66" t="s">
        <v>597</v>
      </c>
      <c r="D304" s="67">
        <v>0.2174</v>
      </c>
      <c r="E304" s="68"/>
      <c r="F304" s="69">
        <v>1</v>
      </c>
      <c r="G304" s="70"/>
      <c r="H304" s="71">
        <v>0.5</v>
      </c>
      <c r="I304" s="71">
        <v>0</v>
      </c>
      <c r="J304" s="71">
        <v>0</v>
      </c>
    </row>
    <row r="305" customFormat="1" ht="27.95" hidden="1" customHeight="1" spans="1:10">
      <c r="A305" s="64"/>
      <c r="B305" s="73" t="s">
        <v>598</v>
      </c>
      <c r="C305" s="66" t="s">
        <v>599</v>
      </c>
      <c r="D305" s="67">
        <v>0.2174</v>
      </c>
      <c r="E305" s="68"/>
      <c r="F305" s="69">
        <v>1</v>
      </c>
      <c r="G305" s="70"/>
      <c r="H305" s="71">
        <v>0.5</v>
      </c>
      <c r="I305" s="71">
        <v>0</v>
      </c>
      <c r="J305" s="71">
        <v>0</v>
      </c>
    </row>
    <row r="306" customFormat="1" ht="27.95" hidden="1" customHeight="1" spans="1:10">
      <c r="A306" s="64"/>
      <c r="B306" s="73" t="s">
        <v>600</v>
      </c>
      <c r="C306" s="66" t="s">
        <v>601</v>
      </c>
      <c r="D306" s="67">
        <v>0.2174</v>
      </c>
      <c r="E306" s="68"/>
      <c r="F306" s="69">
        <v>1</v>
      </c>
      <c r="G306" s="70"/>
      <c r="H306" s="71">
        <v>0.5</v>
      </c>
      <c r="I306" s="71">
        <v>0</v>
      </c>
      <c r="J306" s="71">
        <v>0</v>
      </c>
    </row>
    <row r="307" customFormat="1" ht="27.95" hidden="1" customHeight="1" spans="1:10">
      <c r="A307" s="64"/>
      <c r="B307" s="73" t="s">
        <v>602</v>
      </c>
      <c r="C307" s="66" t="s">
        <v>603</v>
      </c>
      <c r="D307" s="67">
        <v>0.2174</v>
      </c>
      <c r="E307" s="68"/>
      <c r="F307" s="69">
        <v>1</v>
      </c>
      <c r="G307" s="70"/>
      <c r="H307" s="71">
        <v>0.5</v>
      </c>
      <c r="I307" s="71">
        <v>0</v>
      </c>
      <c r="J307" s="71">
        <v>0</v>
      </c>
    </row>
    <row r="308" customFormat="1" ht="27.95" hidden="1" customHeight="1" spans="1:10">
      <c r="A308" s="64"/>
      <c r="B308" s="73" t="s">
        <v>604</v>
      </c>
      <c r="C308" s="66" t="s">
        <v>605</v>
      </c>
      <c r="D308" s="67">
        <v>0.2174</v>
      </c>
      <c r="E308" s="68"/>
      <c r="F308" s="69">
        <v>1</v>
      </c>
      <c r="G308" s="70"/>
      <c r="H308" s="71">
        <v>0.5</v>
      </c>
      <c r="I308" s="71">
        <v>0</v>
      </c>
      <c r="J308" s="71">
        <v>0</v>
      </c>
    </row>
    <row r="309" customFormat="1" ht="27.95" hidden="1" customHeight="1" spans="1:10">
      <c r="A309" s="64"/>
      <c r="B309" s="73" t="s">
        <v>606</v>
      </c>
      <c r="C309" s="66" t="s">
        <v>607</v>
      </c>
      <c r="D309" s="67">
        <v>0.2174</v>
      </c>
      <c r="E309" s="68"/>
      <c r="F309" s="69">
        <v>1</v>
      </c>
      <c r="G309" s="70"/>
      <c r="H309" s="71">
        <v>0.5</v>
      </c>
      <c r="I309" s="71">
        <v>0</v>
      </c>
      <c r="J309" s="71">
        <v>0</v>
      </c>
    </row>
    <row r="310" customFormat="1" ht="27.95" hidden="1" customHeight="1" spans="1:10">
      <c r="A310" s="64"/>
      <c r="B310" s="73" t="s">
        <v>608</v>
      </c>
      <c r="C310" s="66" t="s">
        <v>609</v>
      </c>
      <c r="D310" s="67">
        <v>0.2174</v>
      </c>
      <c r="E310" s="68"/>
      <c r="F310" s="69">
        <v>1</v>
      </c>
      <c r="G310" s="70"/>
      <c r="H310" s="71">
        <v>0.5</v>
      </c>
      <c r="I310" s="71">
        <v>0</v>
      </c>
      <c r="J310" s="71">
        <v>0</v>
      </c>
    </row>
    <row r="311" customFormat="1" ht="27.95" hidden="1" customHeight="1" spans="1:10">
      <c r="A311" s="64"/>
      <c r="B311" s="73" t="s">
        <v>610</v>
      </c>
      <c r="C311" s="66" t="s">
        <v>611</v>
      </c>
      <c r="D311" s="67">
        <v>0.2174</v>
      </c>
      <c r="E311" s="68"/>
      <c r="F311" s="69">
        <v>1</v>
      </c>
      <c r="G311" s="70"/>
      <c r="H311" s="71">
        <v>0.5</v>
      </c>
      <c r="I311" s="71">
        <v>0</v>
      </c>
      <c r="J311" s="71">
        <v>0</v>
      </c>
    </row>
    <row r="312" customFormat="1" ht="27.95" hidden="1" customHeight="1" spans="1:10">
      <c r="A312" s="64"/>
      <c r="B312" s="73" t="s">
        <v>612</v>
      </c>
      <c r="C312" s="66" t="s">
        <v>613</v>
      </c>
      <c r="D312" s="67">
        <v>0.2174</v>
      </c>
      <c r="E312" s="68"/>
      <c r="F312" s="69">
        <v>1</v>
      </c>
      <c r="G312" s="70"/>
      <c r="H312" s="71">
        <v>0.5</v>
      </c>
      <c r="I312" s="71">
        <v>0</v>
      </c>
      <c r="J312" s="71">
        <v>0</v>
      </c>
    </row>
    <row r="313" customFormat="1" ht="27.95" hidden="1" customHeight="1" spans="1:10">
      <c r="A313" s="64"/>
      <c r="B313" s="73" t="s">
        <v>614</v>
      </c>
      <c r="C313" s="66" t="s">
        <v>615</v>
      </c>
      <c r="D313" s="67">
        <v>0.2174</v>
      </c>
      <c r="E313" s="68"/>
      <c r="F313" s="69">
        <v>1</v>
      </c>
      <c r="G313" s="70"/>
      <c r="H313" s="71">
        <v>0.5</v>
      </c>
      <c r="I313" s="71">
        <v>0</v>
      </c>
      <c r="J313" s="71">
        <v>0</v>
      </c>
    </row>
    <row r="314" customFormat="1" ht="27.95" hidden="1" customHeight="1" spans="1:10">
      <c r="A314" s="64"/>
      <c r="B314" s="73" t="s">
        <v>616</v>
      </c>
      <c r="C314" s="66" t="s">
        <v>617</v>
      </c>
      <c r="D314" s="67">
        <v>0.2174</v>
      </c>
      <c r="E314" s="68"/>
      <c r="F314" s="69">
        <v>1</v>
      </c>
      <c r="G314" s="70"/>
      <c r="H314" s="71">
        <v>0.5</v>
      </c>
      <c r="I314" s="71">
        <v>0</v>
      </c>
      <c r="J314" s="71">
        <v>0</v>
      </c>
    </row>
    <row r="315" customFormat="1" ht="27.95" hidden="1" customHeight="1" spans="1:10">
      <c r="A315" s="64"/>
      <c r="B315" s="73" t="s">
        <v>618</v>
      </c>
      <c r="C315" s="66" t="s">
        <v>619</v>
      </c>
      <c r="D315" s="67">
        <v>0.2174</v>
      </c>
      <c r="E315" s="68"/>
      <c r="F315" s="69">
        <v>1</v>
      </c>
      <c r="G315" s="70"/>
      <c r="H315" s="71">
        <v>0.5</v>
      </c>
      <c r="I315" s="71">
        <v>0</v>
      </c>
      <c r="J315" s="71">
        <v>0</v>
      </c>
    </row>
    <row r="316" customFormat="1" ht="27.95" hidden="1" customHeight="1" spans="1:10">
      <c r="A316" s="64"/>
      <c r="B316" s="73" t="s">
        <v>620</v>
      </c>
      <c r="C316" s="66" t="s">
        <v>621</v>
      </c>
      <c r="D316" s="67">
        <v>0.2174</v>
      </c>
      <c r="E316" s="68"/>
      <c r="F316" s="69">
        <v>1</v>
      </c>
      <c r="G316" s="70"/>
      <c r="H316" s="71">
        <v>0.5</v>
      </c>
      <c r="I316" s="71">
        <v>0</v>
      </c>
      <c r="J316" s="71">
        <v>0</v>
      </c>
    </row>
    <row r="317" customFormat="1" ht="27.95" hidden="1" customHeight="1" spans="1:10">
      <c r="A317" s="64"/>
      <c r="B317" s="73" t="s">
        <v>622</v>
      </c>
      <c r="C317" s="66" t="s">
        <v>623</v>
      </c>
      <c r="D317" s="67">
        <v>0.2174</v>
      </c>
      <c r="E317" s="68"/>
      <c r="F317" s="69">
        <v>1</v>
      </c>
      <c r="G317" s="70"/>
      <c r="H317" s="71">
        <v>0.5</v>
      </c>
      <c r="I317" s="71">
        <v>0</v>
      </c>
      <c r="J317" s="71">
        <v>0</v>
      </c>
    </row>
    <row r="318" customFormat="1" ht="27.95" hidden="1" customHeight="1" spans="1:10">
      <c r="A318" s="64"/>
      <c r="B318" s="73" t="s">
        <v>624</v>
      </c>
      <c r="C318" s="66" t="s">
        <v>625</v>
      </c>
      <c r="D318" s="67">
        <v>0.2174</v>
      </c>
      <c r="E318" s="68"/>
      <c r="F318" s="69">
        <v>1</v>
      </c>
      <c r="G318" s="70"/>
      <c r="H318" s="71">
        <v>0.5</v>
      </c>
      <c r="I318" s="71">
        <v>0</v>
      </c>
      <c r="J318" s="71">
        <v>0</v>
      </c>
    </row>
    <row r="319" customFormat="1" ht="27.95" hidden="1" customHeight="1" spans="1:10">
      <c r="A319" s="64"/>
      <c r="B319" s="73" t="s">
        <v>626</v>
      </c>
      <c r="C319" s="66" t="s">
        <v>627</v>
      </c>
      <c r="D319" s="67">
        <v>0.2174</v>
      </c>
      <c r="E319" s="68"/>
      <c r="F319" s="69">
        <v>1</v>
      </c>
      <c r="G319" s="70"/>
      <c r="H319" s="71">
        <v>0.5</v>
      </c>
      <c r="I319" s="71">
        <v>0</v>
      </c>
      <c r="J319" s="71">
        <v>0</v>
      </c>
    </row>
    <row r="320" customFormat="1" ht="27.95" hidden="1" customHeight="1" spans="1:10">
      <c r="A320" s="64"/>
      <c r="B320" s="73" t="s">
        <v>628</v>
      </c>
      <c r="C320" s="66" t="s">
        <v>629</v>
      </c>
      <c r="D320" s="67">
        <v>0.2174</v>
      </c>
      <c r="E320" s="68"/>
      <c r="F320" s="69">
        <v>1</v>
      </c>
      <c r="G320" s="70"/>
      <c r="H320" s="71">
        <v>0.5</v>
      </c>
      <c r="I320" s="71">
        <v>0</v>
      </c>
      <c r="J320" s="71">
        <v>0</v>
      </c>
    </row>
    <row r="321" customFormat="1" ht="27.95" hidden="1" customHeight="1" spans="1:10">
      <c r="A321" s="64"/>
      <c r="B321" s="73" t="s">
        <v>630</v>
      </c>
      <c r="C321" s="66" t="s">
        <v>631</v>
      </c>
      <c r="D321" s="67">
        <v>0.2174</v>
      </c>
      <c r="E321" s="68"/>
      <c r="F321" s="69">
        <v>1</v>
      </c>
      <c r="G321" s="70"/>
      <c r="H321" s="71">
        <v>0.5</v>
      </c>
      <c r="I321" s="71">
        <v>0</v>
      </c>
      <c r="J321" s="71">
        <v>0</v>
      </c>
    </row>
    <row r="322" customFormat="1" ht="27.95" hidden="1" customHeight="1" spans="1:10">
      <c r="A322" s="64"/>
      <c r="B322" s="73" t="s">
        <v>632</v>
      </c>
      <c r="C322" s="66" t="s">
        <v>633</v>
      </c>
      <c r="D322" s="67">
        <v>0.2174</v>
      </c>
      <c r="E322" s="68"/>
      <c r="F322" s="69">
        <v>1</v>
      </c>
      <c r="G322" s="70"/>
      <c r="H322" s="71">
        <v>0.5</v>
      </c>
      <c r="I322" s="71">
        <v>0</v>
      </c>
      <c r="J322" s="71">
        <v>0</v>
      </c>
    </row>
    <row r="323" customFormat="1" ht="27.95" hidden="1" customHeight="1" spans="1:10">
      <c r="A323" s="64"/>
      <c r="B323" s="73" t="s">
        <v>634</v>
      </c>
      <c r="C323" s="66" t="s">
        <v>635</v>
      </c>
      <c r="D323" s="67">
        <v>0.2174</v>
      </c>
      <c r="E323" s="68"/>
      <c r="F323" s="69">
        <v>1</v>
      </c>
      <c r="G323" s="70"/>
      <c r="H323" s="71">
        <v>0.5</v>
      </c>
      <c r="I323" s="71">
        <v>0</v>
      </c>
      <c r="J323" s="71">
        <v>0</v>
      </c>
    </row>
    <row r="324" customFormat="1" ht="27.95" hidden="1" customHeight="1" spans="1:10">
      <c r="A324" s="64"/>
      <c r="B324" s="73" t="s">
        <v>636</v>
      </c>
      <c r="C324" s="66" t="s">
        <v>637</v>
      </c>
      <c r="D324" s="67">
        <v>0.2174</v>
      </c>
      <c r="E324" s="68"/>
      <c r="F324" s="69">
        <v>1</v>
      </c>
      <c r="G324" s="70"/>
      <c r="H324" s="71">
        <v>0.5</v>
      </c>
      <c r="I324" s="71">
        <v>0</v>
      </c>
      <c r="J324" s="71">
        <v>0</v>
      </c>
    </row>
    <row r="325" customFormat="1" ht="27.95" hidden="1" customHeight="1" spans="1:10">
      <c r="A325" s="64"/>
      <c r="B325" s="73" t="s">
        <v>638</v>
      </c>
      <c r="C325" s="66" t="s">
        <v>639</v>
      </c>
      <c r="D325" s="67">
        <v>0.2174</v>
      </c>
      <c r="E325" s="68"/>
      <c r="F325" s="69">
        <v>1</v>
      </c>
      <c r="G325" s="70"/>
      <c r="H325" s="71">
        <v>0.5</v>
      </c>
      <c r="I325" s="71">
        <v>0</v>
      </c>
      <c r="J325" s="71">
        <v>0</v>
      </c>
    </row>
    <row r="326" customFormat="1" ht="27.95" hidden="1" customHeight="1" spans="1:10">
      <c r="A326" s="64"/>
      <c r="B326" s="73" t="s">
        <v>640</v>
      </c>
      <c r="C326" s="66" t="s">
        <v>641</v>
      </c>
      <c r="D326" s="67">
        <v>0.2174</v>
      </c>
      <c r="E326" s="68"/>
      <c r="F326" s="69">
        <v>1</v>
      </c>
      <c r="G326" s="70"/>
      <c r="H326" s="71">
        <v>0.5</v>
      </c>
      <c r="I326" s="71">
        <v>0</v>
      </c>
      <c r="J326" s="71">
        <v>0</v>
      </c>
    </row>
    <row r="327" customFormat="1" ht="27.95" hidden="1" customHeight="1" spans="1:10">
      <c r="A327" s="64"/>
      <c r="B327" s="73" t="s">
        <v>642</v>
      </c>
      <c r="C327" s="66" t="s">
        <v>643</v>
      </c>
      <c r="D327" s="67">
        <v>0.7826</v>
      </c>
      <c r="E327" s="68"/>
      <c r="F327" s="69">
        <v>3</v>
      </c>
      <c r="G327" s="70"/>
      <c r="H327" s="71">
        <v>1.8</v>
      </c>
      <c r="I327" s="71">
        <v>0</v>
      </c>
      <c r="J327" s="71">
        <v>0</v>
      </c>
    </row>
    <row r="328" customFormat="1" ht="27.95" hidden="1" customHeight="1" spans="1:10">
      <c r="A328" s="64"/>
      <c r="B328" s="73" t="s">
        <v>644</v>
      </c>
      <c r="C328" s="66" t="s">
        <v>645</v>
      </c>
      <c r="D328" s="67">
        <v>0.4348</v>
      </c>
      <c r="E328" s="68"/>
      <c r="F328" s="69">
        <v>0</v>
      </c>
      <c r="G328" s="70"/>
      <c r="H328" s="71">
        <v>0</v>
      </c>
      <c r="I328" s="71">
        <v>1</v>
      </c>
      <c r="J328" s="71">
        <v>0.5</v>
      </c>
    </row>
    <row r="329" customFormat="1" ht="27.95" hidden="1" customHeight="1" spans="1:10">
      <c r="A329" s="64"/>
      <c r="B329" s="65">
        <v>2459</v>
      </c>
      <c r="C329" s="66" t="s">
        <v>646</v>
      </c>
      <c r="D329" s="67">
        <v>0.4348</v>
      </c>
      <c r="E329" s="68"/>
      <c r="F329" s="69">
        <v>0</v>
      </c>
      <c r="G329" s="70"/>
      <c r="H329" s="71">
        <v>0</v>
      </c>
      <c r="I329" s="71">
        <v>1</v>
      </c>
      <c r="J329" s="71">
        <v>0.5</v>
      </c>
    </row>
    <row r="330" customFormat="1" ht="27.95" hidden="1" customHeight="1" spans="1:10">
      <c r="A330" s="64"/>
      <c r="B330" s="73" t="s">
        <v>647</v>
      </c>
      <c r="C330" s="66" t="s">
        <v>648</v>
      </c>
      <c r="D330" s="67">
        <v>0.087</v>
      </c>
      <c r="E330" s="68"/>
      <c r="F330" s="69">
        <v>0.3</v>
      </c>
      <c r="G330" s="70"/>
      <c r="H330" s="71">
        <v>0.2</v>
      </c>
      <c r="I330" s="71">
        <v>0</v>
      </c>
      <c r="J330" s="71">
        <v>0</v>
      </c>
    </row>
    <row r="331" customFormat="1" ht="27.95" hidden="1" customHeight="1" spans="1:10">
      <c r="A331" s="64"/>
      <c r="B331" s="73" t="s">
        <v>649</v>
      </c>
      <c r="C331" s="66" t="s">
        <v>650</v>
      </c>
      <c r="D331" s="67">
        <v>0.0435</v>
      </c>
      <c r="E331" s="68"/>
      <c r="F331" s="69">
        <v>0.2</v>
      </c>
      <c r="G331" s="70"/>
      <c r="H331" s="71">
        <v>0.1</v>
      </c>
      <c r="I331" s="71">
        <v>0</v>
      </c>
      <c r="J331" s="71">
        <v>0</v>
      </c>
    </row>
    <row r="332" customFormat="1" ht="27.95" hidden="1" customHeight="1" spans="1:10">
      <c r="A332" s="64"/>
      <c r="B332" s="73" t="s">
        <v>651</v>
      </c>
      <c r="C332" s="66" t="s">
        <v>652</v>
      </c>
      <c r="D332" s="67">
        <v>0.0435</v>
      </c>
      <c r="E332" s="68"/>
      <c r="F332" s="69">
        <v>0.2</v>
      </c>
      <c r="G332" s="70"/>
      <c r="H332" s="71">
        <v>0.1</v>
      </c>
      <c r="I332" s="71">
        <v>0</v>
      </c>
      <c r="J332" s="71">
        <v>0</v>
      </c>
    </row>
    <row r="333" customFormat="1" ht="27.95" hidden="1" customHeight="1" spans="1:10">
      <c r="A333" s="64"/>
      <c r="B333" s="73" t="s">
        <v>653</v>
      </c>
      <c r="C333" s="66" t="s">
        <v>654</v>
      </c>
      <c r="D333" s="67">
        <v>4.5217</v>
      </c>
      <c r="E333" s="68"/>
      <c r="F333" s="79">
        <v>15</v>
      </c>
      <c r="G333" s="80"/>
      <c r="H333" s="71">
        <v>10.4</v>
      </c>
      <c r="I333" s="71">
        <v>0</v>
      </c>
      <c r="J333" s="71">
        <v>0</v>
      </c>
    </row>
    <row r="334" customFormat="1" ht="27.95" hidden="1" customHeight="1" spans="1:10">
      <c r="A334" s="64"/>
      <c r="B334" s="65">
        <v>6931347136913</v>
      </c>
      <c r="C334" s="66" t="s">
        <v>655</v>
      </c>
      <c r="D334" s="67">
        <v>0.3478</v>
      </c>
      <c r="E334" s="68"/>
      <c r="F334" s="69">
        <v>0</v>
      </c>
      <c r="G334" s="70"/>
      <c r="H334" s="71">
        <v>0</v>
      </c>
      <c r="I334" s="71">
        <v>0.8</v>
      </c>
      <c r="J334" s="71">
        <v>0.4</v>
      </c>
    </row>
    <row r="335" customFormat="1" ht="27.95" hidden="1" customHeight="1" spans="1:10">
      <c r="A335" s="64"/>
      <c r="B335" s="65">
        <v>6970932052009</v>
      </c>
      <c r="C335" s="66" t="s">
        <v>656</v>
      </c>
      <c r="D335" s="67">
        <v>0.8696</v>
      </c>
      <c r="E335" s="68"/>
      <c r="F335" s="69">
        <v>0</v>
      </c>
      <c r="G335" s="70"/>
      <c r="H335" s="71">
        <v>0</v>
      </c>
      <c r="I335" s="71">
        <v>2</v>
      </c>
      <c r="J335" s="71">
        <v>1.5</v>
      </c>
    </row>
    <row r="336" customFormat="1" ht="27.95" hidden="1" customHeight="1" spans="1:10">
      <c r="A336" s="64"/>
      <c r="B336" s="65">
        <v>6970932052405</v>
      </c>
      <c r="C336" s="66" t="s">
        <v>657</v>
      </c>
      <c r="D336" s="67">
        <v>0.8696</v>
      </c>
      <c r="E336" s="68"/>
      <c r="F336" s="69">
        <v>0</v>
      </c>
      <c r="G336" s="70"/>
      <c r="H336" s="71">
        <v>0</v>
      </c>
      <c r="I336" s="71">
        <v>2</v>
      </c>
      <c r="J336" s="71">
        <v>1.5</v>
      </c>
    </row>
    <row r="337" customFormat="1" ht="27.95" hidden="1" customHeight="1" spans="1:10">
      <c r="A337" s="74"/>
      <c r="B337" s="65">
        <v>6970932051996</v>
      </c>
      <c r="C337" s="66" t="s">
        <v>658</v>
      </c>
      <c r="D337" s="67">
        <v>0.8696</v>
      </c>
      <c r="E337" s="68"/>
      <c r="F337" s="69">
        <v>0</v>
      </c>
      <c r="G337" s="70"/>
      <c r="H337" s="71">
        <v>0</v>
      </c>
      <c r="I337" s="71">
        <v>2</v>
      </c>
      <c r="J337" s="71">
        <v>1.5</v>
      </c>
    </row>
    <row r="338" customFormat="1" ht="27.95" hidden="1" customHeight="1" spans="1:10">
      <c r="A338" s="75"/>
      <c r="B338" s="65">
        <v>6970932052375</v>
      </c>
      <c r="C338" s="66" t="s">
        <v>658</v>
      </c>
      <c r="D338" s="67">
        <v>0.8696</v>
      </c>
      <c r="E338" s="68"/>
      <c r="F338" s="69">
        <v>0</v>
      </c>
      <c r="G338" s="70"/>
      <c r="H338" s="71">
        <v>0</v>
      </c>
      <c r="I338" s="71">
        <v>2</v>
      </c>
      <c r="J338" s="71">
        <v>1.5</v>
      </c>
    </row>
    <row r="339" customFormat="1" ht="27.95" hidden="1" customHeight="1" spans="1:10">
      <c r="A339" s="64"/>
      <c r="B339" s="65">
        <v>6970932052351</v>
      </c>
      <c r="C339" s="66" t="s">
        <v>659</v>
      </c>
      <c r="D339" s="67">
        <v>0.8696</v>
      </c>
      <c r="E339" s="68"/>
      <c r="F339" s="69">
        <v>0</v>
      </c>
      <c r="G339" s="70"/>
      <c r="H339" s="71">
        <v>0</v>
      </c>
      <c r="I339" s="71">
        <v>2</v>
      </c>
      <c r="J339" s="71">
        <v>1.5</v>
      </c>
    </row>
    <row r="340" customFormat="1" ht="27.95" hidden="1" customHeight="1" spans="1:10">
      <c r="A340" s="64"/>
      <c r="B340" s="65">
        <v>6970932052504</v>
      </c>
      <c r="C340" s="66" t="s">
        <v>660</v>
      </c>
      <c r="D340" s="67">
        <v>0.8696</v>
      </c>
      <c r="E340" s="68"/>
      <c r="F340" s="69">
        <v>0</v>
      </c>
      <c r="G340" s="70"/>
      <c r="H340" s="71">
        <v>0</v>
      </c>
      <c r="I340" s="71">
        <v>2</v>
      </c>
      <c r="J340" s="71">
        <v>1.5</v>
      </c>
    </row>
    <row r="341" customFormat="1" ht="27.95" hidden="1" customHeight="1" spans="1:10">
      <c r="A341" s="64"/>
      <c r="B341" s="73" t="s">
        <v>661</v>
      </c>
      <c r="C341" s="66" t="s">
        <v>662</v>
      </c>
      <c r="D341" s="67">
        <v>1.5217</v>
      </c>
      <c r="E341" s="68"/>
      <c r="F341" s="69">
        <v>0</v>
      </c>
      <c r="G341" s="70"/>
      <c r="H341" s="71">
        <v>0</v>
      </c>
      <c r="I341" s="71">
        <v>3.5</v>
      </c>
      <c r="J341" s="71">
        <v>2.5</v>
      </c>
    </row>
    <row r="342" customFormat="1" ht="27.95" hidden="1" customHeight="1" spans="1:10">
      <c r="A342" s="64"/>
      <c r="B342" s="73" t="s">
        <v>663</v>
      </c>
      <c r="C342" s="66" t="s">
        <v>662</v>
      </c>
      <c r="D342" s="67">
        <v>1.7391</v>
      </c>
      <c r="E342" s="68"/>
      <c r="F342" s="69">
        <v>0</v>
      </c>
      <c r="G342" s="70"/>
      <c r="H342" s="71">
        <v>0</v>
      </c>
      <c r="I342" s="71">
        <v>4</v>
      </c>
      <c r="J342" s="71">
        <v>2.5</v>
      </c>
    </row>
    <row r="343" customFormat="1" ht="27.95" hidden="1" customHeight="1" spans="1:10">
      <c r="A343" s="64"/>
      <c r="B343" s="73" t="s">
        <v>664</v>
      </c>
      <c r="C343" s="66" t="s">
        <v>665</v>
      </c>
      <c r="D343" s="67">
        <v>1.3043</v>
      </c>
      <c r="E343" s="68"/>
      <c r="F343" s="69">
        <v>0</v>
      </c>
      <c r="G343" s="70"/>
      <c r="H343" s="71">
        <v>0</v>
      </c>
      <c r="I343" s="71">
        <v>3</v>
      </c>
      <c r="J343" s="71">
        <v>2.5</v>
      </c>
    </row>
    <row r="344" customFormat="1" ht="27.95" hidden="1" customHeight="1" spans="1:10">
      <c r="A344" s="64"/>
      <c r="B344" s="73" t="s">
        <v>666</v>
      </c>
      <c r="C344" s="66" t="s">
        <v>667</v>
      </c>
      <c r="D344" s="67">
        <v>1.087</v>
      </c>
      <c r="E344" s="68"/>
      <c r="F344" s="69">
        <v>0</v>
      </c>
      <c r="G344" s="70"/>
      <c r="H344" s="71">
        <v>0</v>
      </c>
      <c r="I344" s="71">
        <v>2.5</v>
      </c>
      <c r="J344" s="71">
        <v>1.5</v>
      </c>
    </row>
    <row r="345" customFormat="1" ht="27.95" hidden="1" customHeight="1" spans="1:10">
      <c r="A345" s="74"/>
      <c r="B345" s="73" t="s">
        <v>668</v>
      </c>
      <c r="C345" s="66" t="s">
        <v>669</v>
      </c>
      <c r="D345" s="67">
        <v>0.087</v>
      </c>
      <c r="E345" s="68"/>
      <c r="F345" s="69">
        <v>0</v>
      </c>
      <c r="G345" s="70"/>
      <c r="H345" s="71">
        <v>0</v>
      </c>
      <c r="I345" s="71">
        <v>0.2</v>
      </c>
      <c r="J345" s="71">
        <v>0.1</v>
      </c>
    </row>
    <row r="346" customFormat="1" ht="27.95" hidden="1" customHeight="1" spans="1:10">
      <c r="A346" s="75"/>
      <c r="B346" s="73" t="s">
        <v>670</v>
      </c>
      <c r="C346" s="66" t="s">
        <v>669</v>
      </c>
      <c r="D346" s="67">
        <v>0.6087</v>
      </c>
      <c r="E346" s="68"/>
      <c r="F346" s="69">
        <v>2</v>
      </c>
      <c r="G346" s="70"/>
      <c r="H346" s="71">
        <v>1.4</v>
      </c>
      <c r="I346" s="71">
        <v>0</v>
      </c>
      <c r="J346" s="71">
        <v>0</v>
      </c>
    </row>
    <row r="347" customFormat="1" ht="27.95" hidden="1" customHeight="1" spans="1:10">
      <c r="A347" s="64"/>
      <c r="B347" s="65">
        <v>6970932052016</v>
      </c>
      <c r="C347" s="66" t="s">
        <v>671</v>
      </c>
      <c r="D347" s="67">
        <v>0.8696</v>
      </c>
      <c r="E347" s="68"/>
      <c r="F347" s="69">
        <v>0</v>
      </c>
      <c r="G347" s="70"/>
      <c r="H347" s="71">
        <v>0</v>
      </c>
      <c r="I347" s="71">
        <v>2</v>
      </c>
      <c r="J347" s="71">
        <v>1.5</v>
      </c>
    </row>
    <row r="348" customFormat="1" ht="27.95" hidden="1" customHeight="1" spans="1:10">
      <c r="A348" s="64"/>
      <c r="B348" s="65">
        <v>6970932052382</v>
      </c>
      <c r="C348" s="66" t="s">
        <v>672</v>
      </c>
      <c r="D348" s="67">
        <v>0.8696</v>
      </c>
      <c r="E348" s="68"/>
      <c r="F348" s="69">
        <v>0</v>
      </c>
      <c r="G348" s="70"/>
      <c r="H348" s="71">
        <v>0</v>
      </c>
      <c r="I348" s="71">
        <v>2</v>
      </c>
      <c r="J348" s="71">
        <v>1.5</v>
      </c>
    </row>
    <row r="349" customFormat="1" ht="27.95" hidden="1" customHeight="1" spans="1:10">
      <c r="A349" s="64"/>
      <c r="B349" s="73" t="s">
        <v>673</v>
      </c>
      <c r="C349" s="66" t="s">
        <v>674</v>
      </c>
      <c r="D349" s="67">
        <v>0.6957</v>
      </c>
      <c r="E349" s="68"/>
      <c r="F349" s="69">
        <v>2.5</v>
      </c>
      <c r="G349" s="70"/>
      <c r="H349" s="71">
        <v>1.6</v>
      </c>
      <c r="I349" s="71">
        <v>0</v>
      </c>
      <c r="J349" s="71">
        <v>0</v>
      </c>
    </row>
    <row r="350" customFormat="1" ht="27.95" hidden="1" customHeight="1" spans="1:10">
      <c r="A350" s="64"/>
      <c r="B350" s="73" t="s">
        <v>675</v>
      </c>
      <c r="C350" s="66" t="s">
        <v>676</v>
      </c>
      <c r="D350" s="67">
        <v>1.3478</v>
      </c>
      <c r="E350" s="68"/>
      <c r="F350" s="69">
        <v>5</v>
      </c>
      <c r="G350" s="70"/>
      <c r="H350" s="71">
        <v>3.1</v>
      </c>
      <c r="I350" s="71">
        <v>0</v>
      </c>
      <c r="J350" s="71">
        <v>0</v>
      </c>
    </row>
    <row r="351" customFormat="1" ht="27.95" hidden="1" customHeight="1" spans="1:10">
      <c r="A351" s="64"/>
      <c r="B351" s="73" t="s">
        <v>677</v>
      </c>
      <c r="C351" s="66" t="s">
        <v>678</v>
      </c>
      <c r="D351" s="67">
        <v>0.2609</v>
      </c>
      <c r="E351" s="68"/>
      <c r="F351" s="69">
        <v>1</v>
      </c>
      <c r="G351" s="70"/>
      <c r="H351" s="71">
        <v>0.6</v>
      </c>
      <c r="I351" s="71">
        <v>0</v>
      </c>
      <c r="J351" s="71">
        <v>0</v>
      </c>
    </row>
    <row r="352" customFormat="1" ht="27.95" hidden="1" customHeight="1" spans="1:10">
      <c r="A352" s="64"/>
      <c r="B352" s="73" t="s">
        <v>679</v>
      </c>
      <c r="C352" s="66" t="s">
        <v>680</v>
      </c>
      <c r="D352" s="67">
        <v>0.6522</v>
      </c>
      <c r="E352" s="68"/>
      <c r="F352" s="69">
        <v>2</v>
      </c>
      <c r="G352" s="70"/>
      <c r="H352" s="71">
        <v>1.5</v>
      </c>
      <c r="I352" s="71">
        <v>0</v>
      </c>
      <c r="J352" s="71">
        <v>0</v>
      </c>
    </row>
    <row r="353" customFormat="1" ht="27.95" hidden="1" customHeight="1" spans="1:10">
      <c r="A353" s="64"/>
      <c r="B353" s="73" t="s">
        <v>681</v>
      </c>
      <c r="C353" s="66" t="s">
        <v>682</v>
      </c>
      <c r="D353" s="67">
        <v>0.5217</v>
      </c>
      <c r="E353" s="68"/>
      <c r="F353" s="69">
        <v>2</v>
      </c>
      <c r="G353" s="70"/>
      <c r="H353" s="71">
        <v>1.2</v>
      </c>
      <c r="I353" s="71">
        <v>0</v>
      </c>
      <c r="J353" s="71">
        <v>0</v>
      </c>
    </row>
    <row r="354" customFormat="1" ht="27.95" hidden="1" customHeight="1" spans="1:10">
      <c r="A354" s="64"/>
      <c r="B354" s="73" t="s">
        <v>683</v>
      </c>
      <c r="C354" s="66" t="s">
        <v>684</v>
      </c>
      <c r="D354" s="67">
        <v>0.6087</v>
      </c>
      <c r="E354" s="68"/>
      <c r="F354" s="69">
        <v>2.5</v>
      </c>
      <c r="G354" s="70"/>
      <c r="H354" s="71">
        <v>1.4</v>
      </c>
      <c r="I354" s="71">
        <v>0</v>
      </c>
      <c r="J354" s="71">
        <v>0</v>
      </c>
    </row>
    <row r="355" customFormat="1" ht="27.95" hidden="1" customHeight="1" spans="1:10">
      <c r="A355" s="64"/>
      <c r="B355" s="73" t="s">
        <v>685</v>
      </c>
      <c r="C355" s="66" t="s">
        <v>686</v>
      </c>
      <c r="D355" s="67">
        <v>0.2174</v>
      </c>
      <c r="E355" s="68"/>
      <c r="F355" s="69">
        <v>1</v>
      </c>
      <c r="G355" s="70"/>
      <c r="H355" s="71">
        <v>0.5</v>
      </c>
      <c r="I355" s="71">
        <v>0</v>
      </c>
      <c r="J355" s="71">
        <v>0</v>
      </c>
    </row>
    <row r="356" customFormat="1" ht="27.95" hidden="1" customHeight="1" spans="1:10">
      <c r="A356" s="64"/>
      <c r="B356" s="73" t="s">
        <v>687</v>
      </c>
      <c r="C356" s="66" t="s">
        <v>688</v>
      </c>
      <c r="D356" s="67">
        <v>0.4783</v>
      </c>
      <c r="E356" s="68"/>
      <c r="F356" s="69">
        <v>2</v>
      </c>
      <c r="G356" s="70"/>
      <c r="H356" s="71">
        <v>1.1</v>
      </c>
      <c r="I356" s="71">
        <v>0</v>
      </c>
      <c r="J356" s="71">
        <v>0</v>
      </c>
    </row>
    <row r="357" customFormat="1" ht="27.95" hidden="1" customHeight="1" spans="1:10">
      <c r="A357" s="64"/>
      <c r="B357" s="73" t="s">
        <v>689</v>
      </c>
      <c r="C357" s="66" t="s">
        <v>690</v>
      </c>
      <c r="D357" s="67">
        <v>0.7391</v>
      </c>
      <c r="E357" s="68"/>
      <c r="F357" s="69">
        <v>3</v>
      </c>
      <c r="G357" s="70"/>
      <c r="H357" s="71">
        <v>1.7</v>
      </c>
      <c r="I357" s="71">
        <v>0</v>
      </c>
      <c r="J357" s="71">
        <v>0</v>
      </c>
    </row>
    <row r="358" customFormat="1" ht="27.95" hidden="1" customHeight="1" spans="1:10">
      <c r="A358" s="64"/>
      <c r="B358" s="73" t="s">
        <v>691</v>
      </c>
      <c r="C358" s="66" t="s">
        <v>692</v>
      </c>
      <c r="D358" s="67">
        <v>0.4348</v>
      </c>
      <c r="E358" s="68"/>
      <c r="F358" s="69">
        <v>1.5</v>
      </c>
      <c r="G358" s="70"/>
      <c r="H358" s="71">
        <v>1</v>
      </c>
      <c r="I358" s="71">
        <v>0</v>
      </c>
      <c r="J358" s="71">
        <v>0</v>
      </c>
    </row>
    <row r="359" customFormat="1" ht="27.95" hidden="1" customHeight="1" spans="1:10">
      <c r="A359" s="64"/>
      <c r="B359" s="73" t="s">
        <v>693</v>
      </c>
      <c r="C359" s="66" t="s">
        <v>694</v>
      </c>
      <c r="D359" s="67">
        <v>0.0391</v>
      </c>
      <c r="E359" s="68"/>
      <c r="F359" s="69">
        <v>1.5</v>
      </c>
      <c r="G359" s="70"/>
      <c r="H359" s="71">
        <v>0.09</v>
      </c>
      <c r="I359" s="71">
        <v>0</v>
      </c>
      <c r="J359" s="71">
        <v>0</v>
      </c>
    </row>
    <row r="360" customFormat="1" ht="27.95" hidden="1" customHeight="1" spans="1:10">
      <c r="A360" s="64"/>
      <c r="B360" s="73" t="s">
        <v>695</v>
      </c>
      <c r="C360" s="66" t="s">
        <v>696</v>
      </c>
      <c r="D360" s="67">
        <v>0.6522</v>
      </c>
      <c r="E360" s="68"/>
      <c r="F360" s="69">
        <v>2.5</v>
      </c>
      <c r="G360" s="70"/>
      <c r="H360" s="71">
        <v>1.5</v>
      </c>
      <c r="I360" s="71">
        <v>0</v>
      </c>
      <c r="J360" s="71">
        <v>0</v>
      </c>
    </row>
    <row r="361" customFormat="1" ht="27.95" hidden="1" customHeight="1" spans="1:10">
      <c r="A361" s="64"/>
      <c r="B361" s="73" t="s">
        <v>697</v>
      </c>
      <c r="C361" s="66" t="s">
        <v>698</v>
      </c>
      <c r="D361" s="67">
        <v>0.087</v>
      </c>
      <c r="E361" s="68"/>
      <c r="F361" s="69">
        <v>0.5</v>
      </c>
      <c r="G361" s="70"/>
      <c r="H361" s="71">
        <v>0.2</v>
      </c>
      <c r="I361" s="71">
        <v>0</v>
      </c>
      <c r="J361" s="71">
        <v>0</v>
      </c>
    </row>
    <row r="362" customFormat="1" ht="27.95" hidden="1" customHeight="1" spans="1:10">
      <c r="A362" s="64"/>
      <c r="B362" s="73" t="s">
        <v>699</v>
      </c>
      <c r="C362" s="66" t="s">
        <v>700</v>
      </c>
      <c r="D362" s="67">
        <v>0.6957</v>
      </c>
      <c r="E362" s="68"/>
      <c r="F362" s="69">
        <v>2.6</v>
      </c>
      <c r="G362" s="70"/>
      <c r="H362" s="71">
        <v>1.6</v>
      </c>
      <c r="I362" s="71">
        <v>0</v>
      </c>
      <c r="J362" s="71">
        <v>0</v>
      </c>
    </row>
    <row r="363" customFormat="1" ht="27.95" hidden="1" customHeight="1" spans="1:10">
      <c r="A363" s="64"/>
      <c r="B363" s="73" t="s">
        <v>701</v>
      </c>
      <c r="C363" s="66" t="s">
        <v>702</v>
      </c>
      <c r="D363" s="67">
        <v>0.7391</v>
      </c>
      <c r="E363" s="68"/>
      <c r="F363" s="69">
        <v>2.7</v>
      </c>
      <c r="G363" s="70"/>
      <c r="H363" s="71">
        <v>1.7</v>
      </c>
      <c r="I363" s="71">
        <v>0</v>
      </c>
      <c r="J363" s="71">
        <v>0</v>
      </c>
    </row>
    <row r="364" customFormat="1" ht="27.95" hidden="1" customHeight="1" spans="1:10">
      <c r="A364" s="64"/>
      <c r="B364" s="73" t="s">
        <v>703</v>
      </c>
      <c r="C364" s="66" t="s">
        <v>704</v>
      </c>
      <c r="D364" s="67">
        <v>0.3043</v>
      </c>
      <c r="E364" s="68"/>
      <c r="F364" s="69">
        <v>1</v>
      </c>
      <c r="G364" s="70"/>
      <c r="H364" s="71">
        <v>0.7</v>
      </c>
      <c r="I364" s="71">
        <v>0</v>
      </c>
      <c r="J364" s="71">
        <v>0</v>
      </c>
    </row>
    <row r="365" customFormat="1" ht="27.95" hidden="1" customHeight="1" spans="1:10">
      <c r="A365" s="64"/>
      <c r="B365" s="73" t="s">
        <v>705</v>
      </c>
      <c r="C365" s="66" t="s">
        <v>706</v>
      </c>
      <c r="D365" s="67">
        <v>0.3478</v>
      </c>
      <c r="E365" s="68"/>
      <c r="F365" s="69">
        <v>1.2</v>
      </c>
      <c r="G365" s="70"/>
      <c r="H365" s="71">
        <v>0.8</v>
      </c>
      <c r="I365" s="71">
        <v>0</v>
      </c>
      <c r="J365" s="71">
        <v>0</v>
      </c>
    </row>
    <row r="366" customFormat="1" ht="27.95" hidden="1" customHeight="1" spans="1:10">
      <c r="A366" s="64"/>
      <c r="B366" s="73" t="s">
        <v>707</v>
      </c>
      <c r="C366" s="66" t="s">
        <v>708</v>
      </c>
      <c r="D366" s="67">
        <v>0.3478</v>
      </c>
      <c r="E366" s="68"/>
      <c r="F366" s="69">
        <v>1.3</v>
      </c>
      <c r="G366" s="70"/>
      <c r="H366" s="71">
        <v>0.8</v>
      </c>
      <c r="I366" s="71">
        <v>0</v>
      </c>
      <c r="J366" s="71">
        <v>0</v>
      </c>
    </row>
    <row r="367" customFormat="1" ht="27.95" hidden="1" customHeight="1" spans="1:10">
      <c r="A367" s="64"/>
      <c r="B367" s="73" t="s">
        <v>709</v>
      </c>
      <c r="C367" s="66" t="s">
        <v>710</v>
      </c>
      <c r="D367" s="67">
        <v>0.3478</v>
      </c>
      <c r="E367" s="68"/>
      <c r="F367" s="69">
        <v>1</v>
      </c>
      <c r="G367" s="70"/>
      <c r="H367" s="71">
        <v>0.8</v>
      </c>
      <c r="I367" s="71">
        <v>0</v>
      </c>
      <c r="J367" s="71">
        <v>0</v>
      </c>
    </row>
    <row r="368" customFormat="1" ht="27.95" hidden="1" customHeight="1" spans="1:10">
      <c r="A368" s="64"/>
      <c r="B368" s="73" t="s">
        <v>711</v>
      </c>
      <c r="C368" s="66" t="s">
        <v>712</v>
      </c>
      <c r="D368" s="67">
        <v>0.4348</v>
      </c>
      <c r="E368" s="68"/>
      <c r="F368" s="69">
        <v>1.5</v>
      </c>
      <c r="G368" s="70"/>
      <c r="H368" s="71">
        <v>1</v>
      </c>
      <c r="I368" s="71">
        <v>0</v>
      </c>
      <c r="J368" s="71">
        <v>0</v>
      </c>
    </row>
    <row r="369" customFormat="1" ht="27.95" hidden="1" customHeight="1" spans="1:10">
      <c r="A369" s="64"/>
      <c r="B369" s="73" t="s">
        <v>713</v>
      </c>
      <c r="C369" s="66" t="s">
        <v>714</v>
      </c>
      <c r="D369" s="67">
        <v>0.5217</v>
      </c>
      <c r="E369" s="68"/>
      <c r="F369" s="69">
        <v>2.5</v>
      </c>
      <c r="G369" s="70"/>
      <c r="H369" s="71">
        <v>1.2</v>
      </c>
      <c r="I369" s="71">
        <v>0</v>
      </c>
      <c r="J369" s="71">
        <v>0</v>
      </c>
    </row>
    <row r="370" customFormat="1" ht="27.95" hidden="1" customHeight="1" spans="1:10">
      <c r="A370" s="64"/>
      <c r="B370" s="73" t="s">
        <v>715</v>
      </c>
      <c r="C370" s="66" t="s">
        <v>716</v>
      </c>
      <c r="D370" s="67">
        <v>0.5217</v>
      </c>
      <c r="E370" s="68"/>
      <c r="F370" s="69">
        <v>2.5</v>
      </c>
      <c r="G370" s="70"/>
      <c r="H370" s="71">
        <v>1.2</v>
      </c>
      <c r="I370" s="71">
        <v>0</v>
      </c>
      <c r="J370" s="71">
        <v>0</v>
      </c>
    </row>
    <row r="371" customFormat="1" ht="27.95" hidden="1" customHeight="1" spans="1:10">
      <c r="A371" s="64"/>
      <c r="B371" s="73" t="s">
        <v>717</v>
      </c>
      <c r="C371" s="66" t="s">
        <v>718</v>
      </c>
      <c r="D371" s="67">
        <v>0.5217</v>
      </c>
      <c r="E371" s="68"/>
      <c r="F371" s="69">
        <v>2.5</v>
      </c>
      <c r="G371" s="70"/>
      <c r="H371" s="71">
        <v>1.2</v>
      </c>
      <c r="I371" s="71">
        <v>0</v>
      </c>
      <c r="J371" s="71">
        <v>0</v>
      </c>
    </row>
    <row r="372" customFormat="1" ht="27.95" hidden="1" customHeight="1" spans="1:10">
      <c r="A372" s="64"/>
      <c r="B372" s="73" t="s">
        <v>719</v>
      </c>
      <c r="C372" s="66" t="s">
        <v>720</v>
      </c>
      <c r="D372" s="67">
        <v>0.5217</v>
      </c>
      <c r="E372" s="68"/>
      <c r="F372" s="69">
        <v>2.5</v>
      </c>
      <c r="G372" s="70"/>
      <c r="H372" s="71">
        <v>1.2</v>
      </c>
      <c r="I372" s="71">
        <v>0</v>
      </c>
      <c r="J372" s="71">
        <v>0</v>
      </c>
    </row>
    <row r="373" customFormat="1" ht="27.95" hidden="1" customHeight="1" spans="1:10">
      <c r="A373" s="64"/>
      <c r="B373" s="73" t="s">
        <v>721</v>
      </c>
      <c r="C373" s="66" t="s">
        <v>722</v>
      </c>
      <c r="D373" s="67">
        <v>0.5217</v>
      </c>
      <c r="E373" s="68"/>
      <c r="F373" s="69">
        <v>2</v>
      </c>
      <c r="G373" s="70"/>
      <c r="H373" s="71">
        <v>1.2</v>
      </c>
      <c r="I373" s="71">
        <v>0</v>
      </c>
      <c r="J373" s="71">
        <v>0</v>
      </c>
    </row>
    <row r="374" customFormat="1" ht="27.95" hidden="1" customHeight="1" spans="1:10">
      <c r="A374" s="64"/>
      <c r="B374" s="73" t="s">
        <v>723</v>
      </c>
      <c r="C374" s="66" t="s">
        <v>724</v>
      </c>
      <c r="D374" s="67">
        <v>0.0435</v>
      </c>
      <c r="E374" s="68"/>
      <c r="F374" s="69">
        <v>0</v>
      </c>
      <c r="G374" s="70"/>
      <c r="H374" s="71">
        <v>0</v>
      </c>
      <c r="I374" s="71">
        <v>0.1</v>
      </c>
      <c r="J374" s="71">
        <v>0.05</v>
      </c>
    </row>
    <row r="375" customFormat="1" ht="27.95" hidden="1" customHeight="1" spans="1:10">
      <c r="A375" s="64"/>
      <c r="B375" s="73" t="s">
        <v>725</v>
      </c>
      <c r="C375" s="66" t="s">
        <v>726</v>
      </c>
      <c r="D375" s="67">
        <v>0.1087</v>
      </c>
      <c r="E375" s="68"/>
      <c r="F375" s="69">
        <v>0</v>
      </c>
      <c r="G375" s="70"/>
      <c r="H375" s="71">
        <v>0</v>
      </c>
      <c r="I375" s="71">
        <v>0.25</v>
      </c>
      <c r="J375" s="71">
        <v>0.21</v>
      </c>
    </row>
    <row r="376" customFormat="1" ht="27.95" hidden="1" customHeight="1" spans="1:10">
      <c r="A376" s="64"/>
      <c r="B376" s="73" t="s">
        <v>727</v>
      </c>
      <c r="C376" s="66" t="s">
        <v>728</v>
      </c>
      <c r="D376" s="67">
        <v>0.1739</v>
      </c>
      <c r="E376" s="68"/>
      <c r="F376" s="69">
        <v>0.6</v>
      </c>
      <c r="G376" s="70"/>
      <c r="H376" s="71">
        <v>0.4</v>
      </c>
      <c r="I376" s="71">
        <v>0</v>
      </c>
      <c r="J376" s="71">
        <v>0</v>
      </c>
    </row>
    <row r="377" customFormat="1" ht="27.95" hidden="1" customHeight="1" spans="1:10">
      <c r="A377" s="64"/>
      <c r="B377" s="73" t="s">
        <v>729</v>
      </c>
      <c r="C377" s="66" t="s">
        <v>730</v>
      </c>
      <c r="D377" s="67">
        <v>0.1304</v>
      </c>
      <c r="E377" s="68"/>
      <c r="F377" s="69">
        <v>0.5</v>
      </c>
      <c r="G377" s="70"/>
      <c r="H377" s="71">
        <v>0.3</v>
      </c>
      <c r="I377" s="71">
        <v>0</v>
      </c>
      <c r="J377" s="71">
        <v>0</v>
      </c>
    </row>
    <row r="378" customFormat="1" ht="27.95" hidden="1" customHeight="1" spans="1:10">
      <c r="A378" s="64"/>
      <c r="B378" s="73" t="s">
        <v>731</v>
      </c>
      <c r="C378" s="66" t="s">
        <v>732</v>
      </c>
      <c r="D378" s="67">
        <v>8.1304</v>
      </c>
      <c r="E378" s="68"/>
      <c r="F378" s="79">
        <v>21</v>
      </c>
      <c r="G378" s="80"/>
      <c r="H378" s="71">
        <v>18.7</v>
      </c>
      <c r="I378" s="71">
        <v>0</v>
      </c>
      <c r="J378" s="71">
        <v>0</v>
      </c>
    </row>
    <row r="379" customFormat="1" ht="27.95" hidden="1" customHeight="1" spans="1:10">
      <c r="A379" s="64"/>
      <c r="B379" s="73" t="s">
        <v>733</v>
      </c>
      <c r="C379" s="66" t="s">
        <v>734</v>
      </c>
      <c r="D379" s="67">
        <v>1</v>
      </c>
      <c r="E379" s="68"/>
      <c r="F379" s="69">
        <v>5</v>
      </c>
      <c r="G379" s="70"/>
      <c r="H379" s="71">
        <v>2.3</v>
      </c>
      <c r="I379" s="71">
        <v>0</v>
      </c>
      <c r="J379" s="71">
        <v>0</v>
      </c>
    </row>
    <row r="380" customFormat="1" ht="27.95" hidden="1" customHeight="1" spans="1:10">
      <c r="A380" s="64"/>
      <c r="B380" s="73" t="s">
        <v>735</v>
      </c>
      <c r="C380" s="66" t="s">
        <v>736</v>
      </c>
      <c r="D380" s="67">
        <v>1</v>
      </c>
      <c r="E380" s="68"/>
      <c r="F380" s="69">
        <v>5</v>
      </c>
      <c r="G380" s="70"/>
      <c r="H380" s="71">
        <v>2.3</v>
      </c>
      <c r="I380" s="71">
        <v>0</v>
      </c>
      <c r="J380" s="71">
        <v>0</v>
      </c>
    </row>
    <row r="381" customFormat="1" ht="27.95" hidden="1" customHeight="1" spans="1:10">
      <c r="A381" s="64"/>
      <c r="B381" s="73" t="s">
        <v>737</v>
      </c>
      <c r="C381" s="66" t="s">
        <v>738</v>
      </c>
      <c r="D381" s="67">
        <v>1</v>
      </c>
      <c r="E381" s="68"/>
      <c r="F381" s="69">
        <v>5</v>
      </c>
      <c r="G381" s="70"/>
      <c r="H381" s="71">
        <v>2.3</v>
      </c>
      <c r="I381" s="71">
        <v>0</v>
      </c>
      <c r="J381" s="71">
        <v>0</v>
      </c>
    </row>
    <row r="382" customFormat="1" ht="27.95" hidden="1" customHeight="1" spans="1:10">
      <c r="A382" s="64"/>
      <c r="B382" s="73" t="s">
        <v>739</v>
      </c>
      <c r="C382" s="66" t="s">
        <v>740</v>
      </c>
      <c r="D382" s="67">
        <v>0.7826</v>
      </c>
      <c r="E382" s="68"/>
      <c r="F382" s="69">
        <v>5</v>
      </c>
      <c r="G382" s="70"/>
      <c r="H382" s="71">
        <v>1.8</v>
      </c>
      <c r="I382" s="71">
        <v>0</v>
      </c>
      <c r="J382" s="71">
        <v>0</v>
      </c>
    </row>
    <row r="383" customFormat="1" ht="27.95" hidden="1" customHeight="1" spans="1:10">
      <c r="A383" s="64"/>
      <c r="B383" s="73" t="s">
        <v>741</v>
      </c>
      <c r="C383" s="66" t="s">
        <v>742</v>
      </c>
      <c r="D383" s="67">
        <v>0.913</v>
      </c>
      <c r="E383" s="68"/>
      <c r="F383" s="69">
        <v>3.3</v>
      </c>
      <c r="G383" s="70"/>
      <c r="H383" s="71">
        <v>2.1</v>
      </c>
      <c r="I383" s="71">
        <v>0</v>
      </c>
      <c r="J383" s="71">
        <v>0</v>
      </c>
    </row>
    <row r="384" customFormat="1" ht="27.95" hidden="1" customHeight="1" spans="1:10">
      <c r="A384" s="64"/>
      <c r="B384" s="73" t="s">
        <v>743</v>
      </c>
      <c r="C384" s="66" t="s">
        <v>744</v>
      </c>
      <c r="D384" s="67">
        <v>0.6957</v>
      </c>
      <c r="E384" s="68"/>
      <c r="F384" s="69">
        <v>2.6</v>
      </c>
      <c r="G384" s="70"/>
      <c r="H384" s="71">
        <v>1.6</v>
      </c>
      <c r="I384" s="71">
        <v>0</v>
      </c>
      <c r="J384" s="71">
        <v>0</v>
      </c>
    </row>
    <row r="385" ht="27.95" hidden="1" customHeight="1" spans="1:21">
      <c r="A385" s="64"/>
      <c r="B385" s="73" t="s">
        <v>745</v>
      </c>
      <c r="C385" s="66" t="s">
        <v>746</v>
      </c>
      <c r="D385" s="67">
        <v>0.3478</v>
      </c>
      <c r="E385" s="68"/>
      <c r="F385" s="69">
        <v>1</v>
      </c>
      <c r="G385" s="70"/>
      <c r="H385" s="71">
        <v>0.8</v>
      </c>
      <c r="I385" s="71">
        <v>0</v>
      </c>
      <c r="J385" s="71">
        <v>0</v>
      </c>
      <c r="M385"/>
      <c r="N385"/>
      <c r="O385"/>
      <c r="P385"/>
      <c r="Q385"/>
      <c r="R385"/>
      <c r="S385"/>
      <c r="T385"/>
      <c r="U385"/>
    </row>
    <row r="386" ht="27.95" hidden="1" customHeight="1" spans="1:21">
      <c r="A386" s="64"/>
      <c r="B386" s="73" t="s">
        <v>747</v>
      </c>
      <c r="C386" s="66" t="s">
        <v>748</v>
      </c>
      <c r="D386" s="67">
        <v>0.5652</v>
      </c>
      <c r="E386" s="68"/>
      <c r="F386" s="69">
        <v>2</v>
      </c>
      <c r="G386" s="70"/>
      <c r="H386" s="71">
        <v>1.3</v>
      </c>
      <c r="I386" s="71">
        <v>0</v>
      </c>
      <c r="J386" s="71">
        <v>0</v>
      </c>
      <c r="M386"/>
      <c r="N386"/>
      <c r="O386"/>
      <c r="P386"/>
      <c r="Q386"/>
      <c r="R386"/>
      <c r="S386"/>
      <c r="T386"/>
      <c r="U386"/>
    </row>
    <row r="387" ht="27.95" hidden="1" customHeight="1" spans="1:21">
      <c r="A387" s="64"/>
      <c r="B387" s="73" t="s">
        <v>749</v>
      </c>
      <c r="C387" s="66" t="s">
        <v>750</v>
      </c>
      <c r="D387" s="67">
        <v>0.6087</v>
      </c>
      <c r="E387" s="68"/>
      <c r="F387" s="69">
        <v>2</v>
      </c>
      <c r="G387" s="70"/>
      <c r="H387" s="71">
        <v>1.4</v>
      </c>
      <c r="I387" s="71">
        <v>0</v>
      </c>
      <c r="J387" s="71">
        <v>0</v>
      </c>
      <c r="M387"/>
      <c r="N387"/>
      <c r="O387"/>
      <c r="P387"/>
      <c r="Q387"/>
      <c r="R387"/>
      <c r="S387"/>
      <c r="T387"/>
      <c r="U387"/>
    </row>
    <row r="388" ht="27.95" hidden="1" customHeight="1" spans="1:21">
      <c r="A388" s="64"/>
      <c r="B388" s="73" t="s">
        <v>751</v>
      </c>
      <c r="C388" s="66" t="s">
        <v>752</v>
      </c>
      <c r="D388" s="67">
        <v>0.2609</v>
      </c>
      <c r="E388" s="68"/>
      <c r="F388" s="69">
        <v>1</v>
      </c>
      <c r="G388" s="70"/>
      <c r="H388" s="71">
        <v>0.6</v>
      </c>
      <c r="I388" s="71">
        <v>0</v>
      </c>
      <c r="J388" s="71">
        <v>0</v>
      </c>
      <c r="M388"/>
      <c r="N388"/>
      <c r="O388"/>
      <c r="P388"/>
      <c r="Q388"/>
      <c r="R388"/>
      <c r="S388"/>
      <c r="T388"/>
      <c r="U388"/>
    </row>
    <row r="389" ht="27.95" hidden="1" customHeight="1" spans="1:21">
      <c r="A389" s="64"/>
      <c r="B389" s="73" t="s">
        <v>753</v>
      </c>
      <c r="C389" s="66" t="s">
        <v>754</v>
      </c>
      <c r="D389" s="67">
        <v>0.3913</v>
      </c>
      <c r="E389" s="68"/>
      <c r="F389" s="69">
        <v>1.4</v>
      </c>
      <c r="G389" s="70"/>
      <c r="H389" s="71">
        <v>0.9</v>
      </c>
      <c r="I389" s="71">
        <v>0</v>
      </c>
      <c r="J389" s="71">
        <v>0</v>
      </c>
      <c r="M389"/>
      <c r="N389"/>
      <c r="O389"/>
      <c r="P389"/>
      <c r="Q389"/>
      <c r="R389"/>
      <c r="S389"/>
      <c r="T389"/>
      <c r="U389"/>
    </row>
    <row r="390" ht="27.95" hidden="1" customHeight="1" spans="1:21">
      <c r="A390" s="64"/>
      <c r="B390" s="73" t="s">
        <v>755</v>
      </c>
      <c r="C390" s="66" t="s">
        <v>756</v>
      </c>
      <c r="D390" s="67">
        <v>0.8696</v>
      </c>
      <c r="E390" s="68"/>
      <c r="F390" s="69">
        <v>2.6</v>
      </c>
      <c r="G390" s="70"/>
      <c r="H390" s="71">
        <v>2</v>
      </c>
      <c r="I390" s="71">
        <v>0</v>
      </c>
      <c r="J390" s="71">
        <v>0</v>
      </c>
      <c r="M390"/>
      <c r="N390"/>
      <c r="O390"/>
      <c r="P390"/>
      <c r="Q390"/>
      <c r="R390"/>
      <c r="S390"/>
      <c r="T390"/>
      <c r="U390"/>
    </row>
    <row r="391" ht="27.95" hidden="1" customHeight="1" spans="1:21">
      <c r="A391" s="64"/>
      <c r="B391" s="73" t="s">
        <v>757</v>
      </c>
      <c r="C391" s="66" t="s">
        <v>758</v>
      </c>
      <c r="D391" s="67">
        <v>0.6522</v>
      </c>
      <c r="E391" s="68"/>
      <c r="F391" s="69">
        <v>2</v>
      </c>
      <c r="G391" s="70"/>
      <c r="H391" s="71">
        <v>1.5</v>
      </c>
      <c r="I391" s="71">
        <v>0</v>
      </c>
      <c r="J391" s="71">
        <v>0</v>
      </c>
      <c r="M391"/>
      <c r="N391"/>
      <c r="O391"/>
      <c r="P391"/>
      <c r="Q391"/>
      <c r="R391"/>
      <c r="S391"/>
      <c r="T391"/>
      <c r="U391"/>
    </row>
    <row r="392" ht="27.95" hidden="1" customHeight="1" spans="1:21">
      <c r="A392" s="64"/>
      <c r="B392" s="73" t="s">
        <v>759</v>
      </c>
      <c r="C392" s="66" t="s">
        <v>760</v>
      </c>
      <c r="D392" s="67">
        <v>0.4348</v>
      </c>
      <c r="E392" s="68"/>
      <c r="F392" s="69">
        <v>1.6</v>
      </c>
      <c r="G392" s="70"/>
      <c r="H392" s="71">
        <v>1</v>
      </c>
      <c r="I392" s="71">
        <v>0</v>
      </c>
      <c r="J392" s="71">
        <v>0</v>
      </c>
      <c r="M392"/>
      <c r="N392"/>
      <c r="O392"/>
      <c r="P392"/>
      <c r="Q392"/>
      <c r="R392"/>
      <c r="S392"/>
      <c r="T392"/>
      <c r="U392"/>
    </row>
    <row r="393" ht="27.95" hidden="1" customHeight="1" spans="1:21">
      <c r="A393" s="64"/>
      <c r="B393" s="73" t="s">
        <v>761</v>
      </c>
      <c r="C393" s="66" t="s">
        <v>762</v>
      </c>
      <c r="D393" s="67">
        <v>0.3043</v>
      </c>
      <c r="E393" s="68"/>
      <c r="F393" s="69">
        <v>1</v>
      </c>
      <c r="G393" s="70"/>
      <c r="H393" s="71">
        <v>0.7</v>
      </c>
      <c r="I393" s="71">
        <v>0</v>
      </c>
      <c r="J393" s="71">
        <v>0</v>
      </c>
      <c r="M393"/>
      <c r="N393"/>
      <c r="O393"/>
      <c r="P393"/>
      <c r="Q393"/>
      <c r="R393"/>
      <c r="S393"/>
      <c r="T393"/>
      <c r="U393"/>
    </row>
    <row r="394" ht="27.95" hidden="1" customHeight="1" spans="1:21">
      <c r="A394" s="64"/>
      <c r="B394" s="73" t="s">
        <v>763</v>
      </c>
      <c r="C394" s="66" t="s">
        <v>764</v>
      </c>
      <c r="D394" s="67">
        <v>0.5217</v>
      </c>
      <c r="E394" s="68"/>
      <c r="F394" s="69">
        <v>2</v>
      </c>
      <c r="G394" s="70"/>
      <c r="H394" s="71">
        <v>1.2</v>
      </c>
      <c r="I394" s="71">
        <v>0</v>
      </c>
      <c r="J394" s="71">
        <v>0</v>
      </c>
      <c r="M394"/>
      <c r="N394"/>
      <c r="O394"/>
      <c r="P394"/>
      <c r="Q394"/>
      <c r="R394"/>
      <c r="S394"/>
      <c r="T394"/>
      <c r="U394"/>
    </row>
    <row r="395" ht="27.95" hidden="1" customHeight="1" spans="1:21">
      <c r="A395" s="64"/>
      <c r="B395" s="73" t="s">
        <v>765</v>
      </c>
      <c r="C395" s="66" t="s">
        <v>766</v>
      </c>
      <c r="D395" s="67">
        <v>0.6522</v>
      </c>
      <c r="E395" s="68"/>
      <c r="F395" s="69">
        <v>2</v>
      </c>
      <c r="G395" s="70"/>
      <c r="H395" s="71">
        <v>1.5</v>
      </c>
      <c r="I395" s="71">
        <v>0</v>
      </c>
      <c r="J395" s="71">
        <v>0</v>
      </c>
      <c r="M395"/>
      <c r="N395"/>
      <c r="O395"/>
      <c r="P395"/>
      <c r="Q395"/>
      <c r="R395"/>
      <c r="S395"/>
      <c r="T395"/>
      <c r="U395"/>
    </row>
    <row r="396" ht="27.95" customHeight="1" spans="1:20">
      <c r="A396" s="72" t="s">
        <v>3773</v>
      </c>
      <c r="B396" s="73" t="s">
        <v>767</v>
      </c>
      <c r="C396" s="66" t="s">
        <v>768</v>
      </c>
      <c r="D396" s="67">
        <v>0.3478</v>
      </c>
      <c r="E396" s="68"/>
      <c r="F396" s="69">
        <v>1</v>
      </c>
      <c r="G396" s="70"/>
      <c r="H396" s="71">
        <v>0.8</v>
      </c>
      <c r="I396" s="71"/>
      <c r="J396" s="71"/>
      <c r="M396" s="32">
        <v>6</v>
      </c>
      <c r="N396" s="77">
        <f>+F396</f>
        <v>1</v>
      </c>
      <c r="O396" s="77">
        <f>+M396*N396</f>
        <v>6</v>
      </c>
      <c r="R396" s="3">
        <f>+M396</f>
        <v>6</v>
      </c>
      <c r="S396" s="49">
        <f>+H396</f>
        <v>0.8</v>
      </c>
      <c r="T396" s="49">
        <f>+R396*S396</f>
        <v>4.8</v>
      </c>
    </row>
    <row r="397" ht="27.95" hidden="1" customHeight="1" spans="1:21">
      <c r="A397" s="64"/>
      <c r="B397" s="73" t="s">
        <v>769</v>
      </c>
      <c r="C397" s="66" t="s">
        <v>770</v>
      </c>
      <c r="D397" s="67">
        <v>1.3043</v>
      </c>
      <c r="E397" s="68"/>
      <c r="F397" s="69">
        <v>0</v>
      </c>
      <c r="G397" s="70"/>
      <c r="H397" s="71">
        <v>0</v>
      </c>
      <c r="I397" s="71">
        <v>3</v>
      </c>
      <c r="J397" s="71">
        <v>1.55</v>
      </c>
      <c r="M397"/>
      <c r="N397"/>
      <c r="O397"/>
      <c r="P397"/>
      <c r="Q397"/>
      <c r="R397"/>
      <c r="S397"/>
      <c r="T397"/>
      <c r="U397"/>
    </row>
    <row r="398" ht="27.95" hidden="1" customHeight="1" spans="1:21">
      <c r="A398" s="64"/>
      <c r="B398" s="73" t="s">
        <v>771</v>
      </c>
      <c r="C398" s="66" t="s">
        <v>772</v>
      </c>
      <c r="D398" s="67">
        <v>1.1739</v>
      </c>
      <c r="E398" s="68"/>
      <c r="F398" s="69">
        <v>0</v>
      </c>
      <c r="G398" s="70"/>
      <c r="H398" s="71">
        <v>0</v>
      </c>
      <c r="I398" s="71">
        <v>2.7</v>
      </c>
      <c r="J398" s="71">
        <v>2.25</v>
      </c>
      <c r="M398"/>
      <c r="N398"/>
      <c r="O398"/>
      <c r="P398"/>
      <c r="Q398"/>
      <c r="R398"/>
      <c r="S398"/>
      <c r="T398"/>
      <c r="U398"/>
    </row>
    <row r="399" ht="27.95" hidden="1" customHeight="1" spans="1:21">
      <c r="A399" s="64"/>
      <c r="B399" s="73" t="s">
        <v>773</v>
      </c>
      <c r="C399" s="66" t="s">
        <v>774</v>
      </c>
      <c r="D399" s="67">
        <v>1.7391</v>
      </c>
      <c r="E399" s="68"/>
      <c r="F399" s="69">
        <v>0</v>
      </c>
      <c r="G399" s="70"/>
      <c r="H399" s="71">
        <v>0</v>
      </c>
      <c r="I399" s="71">
        <v>4</v>
      </c>
      <c r="J399" s="71">
        <v>2.07</v>
      </c>
      <c r="M399"/>
      <c r="N399"/>
      <c r="O399"/>
      <c r="P399"/>
      <c r="Q399"/>
      <c r="R399"/>
      <c r="S399"/>
      <c r="T399"/>
      <c r="U399"/>
    </row>
    <row r="400" ht="27.95" hidden="1" customHeight="1" spans="1:21">
      <c r="A400" s="64"/>
      <c r="B400" s="73" t="s">
        <v>775</v>
      </c>
      <c r="C400" s="66" t="s">
        <v>776</v>
      </c>
      <c r="D400" s="67">
        <v>0.1739</v>
      </c>
      <c r="E400" s="68"/>
      <c r="F400" s="69">
        <v>0.6</v>
      </c>
      <c r="G400" s="70"/>
      <c r="H400" s="71">
        <v>0.4</v>
      </c>
      <c r="I400" s="71">
        <v>0</v>
      </c>
      <c r="J400" s="71">
        <v>0</v>
      </c>
      <c r="M400"/>
      <c r="N400"/>
      <c r="O400"/>
      <c r="P400"/>
      <c r="Q400"/>
      <c r="R400"/>
      <c r="S400"/>
      <c r="T400"/>
      <c r="U400"/>
    </row>
    <row r="401" customFormat="1" ht="27.95" hidden="1" customHeight="1" spans="1:10">
      <c r="A401" s="64"/>
      <c r="B401" s="73" t="s">
        <v>777</v>
      </c>
      <c r="C401" s="66" t="s">
        <v>778</v>
      </c>
      <c r="D401" s="67">
        <v>0.2174</v>
      </c>
      <c r="E401" s="68"/>
      <c r="F401" s="69">
        <v>0.6</v>
      </c>
      <c r="G401" s="70"/>
      <c r="H401" s="71">
        <v>0.5</v>
      </c>
      <c r="I401" s="71">
        <v>0</v>
      </c>
      <c r="J401" s="71">
        <v>0</v>
      </c>
    </row>
    <row r="402" customFormat="1" ht="27.95" hidden="1" customHeight="1" spans="1:10">
      <c r="A402" s="64"/>
      <c r="B402" s="73" t="s">
        <v>779</v>
      </c>
      <c r="C402" s="66" t="s">
        <v>780</v>
      </c>
      <c r="D402" s="67">
        <v>2.6522</v>
      </c>
      <c r="E402" s="68"/>
      <c r="F402" s="69">
        <v>9</v>
      </c>
      <c r="G402" s="70"/>
      <c r="H402" s="71">
        <v>6.1</v>
      </c>
      <c r="I402" s="71">
        <v>0</v>
      </c>
      <c r="J402" s="71">
        <v>0</v>
      </c>
    </row>
    <row r="403" customFormat="1" ht="27.95" hidden="1" customHeight="1" spans="1:10">
      <c r="A403" s="64"/>
      <c r="B403" s="73" t="s">
        <v>781</v>
      </c>
      <c r="C403" s="66" t="s">
        <v>782</v>
      </c>
      <c r="D403" s="67">
        <v>2.4348</v>
      </c>
      <c r="E403" s="68"/>
      <c r="F403" s="69">
        <v>9</v>
      </c>
      <c r="G403" s="70"/>
      <c r="H403" s="71">
        <v>5.6</v>
      </c>
      <c r="I403" s="71">
        <v>0</v>
      </c>
      <c r="J403" s="71">
        <v>0</v>
      </c>
    </row>
    <row r="404" customFormat="1" ht="27.95" hidden="1" customHeight="1" spans="1:10">
      <c r="A404" s="64"/>
      <c r="B404" s="73" t="s">
        <v>783</v>
      </c>
      <c r="C404" s="66" t="s">
        <v>784</v>
      </c>
      <c r="D404" s="67">
        <v>2.7391</v>
      </c>
      <c r="E404" s="68"/>
      <c r="F404" s="69">
        <v>9</v>
      </c>
      <c r="G404" s="70"/>
      <c r="H404" s="71">
        <v>6.3</v>
      </c>
      <c r="I404" s="71">
        <v>0</v>
      </c>
      <c r="J404" s="71">
        <v>0</v>
      </c>
    </row>
    <row r="405" customFormat="1" ht="27.95" hidden="1" customHeight="1" spans="1:10">
      <c r="A405" s="64"/>
      <c r="B405" s="73" t="s">
        <v>785</v>
      </c>
      <c r="C405" s="66" t="s">
        <v>786</v>
      </c>
      <c r="D405" s="67">
        <v>2.7826</v>
      </c>
      <c r="E405" s="68"/>
      <c r="F405" s="69">
        <v>9</v>
      </c>
      <c r="G405" s="70"/>
      <c r="H405" s="71">
        <v>6.4</v>
      </c>
      <c r="I405" s="71">
        <v>0</v>
      </c>
      <c r="J405" s="71">
        <v>0</v>
      </c>
    </row>
    <row r="406" customFormat="1" ht="27.95" hidden="1" customHeight="1" spans="1:10">
      <c r="A406" s="64"/>
      <c r="B406" s="73" t="s">
        <v>787</v>
      </c>
      <c r="C406" s="66" t="s">
        <v>788</v>
      </c>
      <c r="D406" s="67">
        <v>2.4348</v>
      </c>
      <c r="E406" s="68"/>
      <c r="F406" s="69">
        <v>9</v>
      </c>
      <c r="G406" s="70"/>
      <c r="H406" s="71">
        <v>5.6</v>
      </c>
      <c r="I406" s="71">
        <v>0</v>
      </c>
      <c r="J406" s="71">
        <v>0</v>
      </c>
    </row>
    <row r="407" customFormat="1" ht="27.95" hidden="1" customHeight="1" spans="1:10">
      <c r="A407" s="64"/>
      <c r="B407" s="73" t="s">
        <v>789</v>
      </c>
      <c r="C407" s="66" t="s">
        <v>790</v>
      </c>
      <c r="D407" s="67">
        <v>2.8696</v>
      </c>
      <c r="E407" s="68"/>
      <c r="F407" s="69">
        <v>9</v>
      </c>
      <c r="G407" s="70"/>
      <c r="H407" s="71">
        <v>6.6</v>
      </c>
      <c r="I407" s="71">
        <v>0</v>
      </c>
      <c r="J407" s="71">
        <v>0</v>
      </c>
    </row>
    <row r="408" customFormat="1" ht="27.95" hidden="1" customHeight="1" spans="1:10">
      <c r="A408" s="64"/>
      <c r="B408" s="73" t="s">
        <v>791</v>
      </c>
      <c r="C408" s="66" t="s">
        <v>792</v>
      </c>
      <c r="D408" s="67">
        <v>2.3478</v>
      </c>
      <c r="E408" s="68"/>
      <c r="F408" s="69">
        <v>9</v>
      </c>
      <c r="G408" s="70"/>
      <c r="H408" s="71">
        <v>5.4</v>
      </c>
      <c r="I408" s="71">
        <v>0</v>
      </c>
      <c r="J408" s="71">
        <v>0</v>
      </c>
    </row>
    <row r="409" customFormat="1" ht="27.95" hidden="1" customHeight="1" spans="1:10">
      <c r="A409" s="64"/>
      <c r="B409" s="73" t="s">
        <v>793</v>
      </c>
      <c r="C409" s="66" t="s">
        <v>794</v>
      </c>
      <c r="D409" s="67">
        <v>2.5652</v>
      </c>
      <c r="E409" s="68"/>
      <c r="F409" s="69">
        <v>8</v>
      </c>
      <c r="G409" s="70"/>
      <c r="H409" s="71">
        <v>5.9</v>
      </c>
      <c r="I409" s="71">
        <v>0</v>
      </c>
      <c r="J409" s="71">
        <v>0</v>
      </c>
    </row>
    <row r="410" customFormat="1" ht="27.95" hidden="1" customHeight="1" spans="1:10">
      <c r="A410" s="64"/>
      <c r="B410" s="65">
        <v>6988855668863</v>
      </c>
      <c r="C410" s="66" t="s">
        <v>795</v>
      </c>
      <c r="D410" s="67">
        <v>0.6522</v>
      </c>
      <c r="E410" s="68"/>
      <c r="F410" s="69">
        <v>0</v>
      </c>
      <c r="G410" s="70"/>
      <c r="H410" s="71">
        <v>0</v>
      </c>
      <c r="I410" s="71">
        <v>3</v>
      </c>
      <c r="J410" s="71">
        <v>2.5</v>
      </c>
    </row>
    <row r="411" customFormat="1" ht="27.95" hidden="1" customHeight="1" spans="1:10">
      <c r="A411" s="74"/>
      <c r="B411" s="65">
        <v>6931348410630</v>
      </c>
      <c r="C411" s="66" t="s">
        <v>796</v>
      </c>
      <c r="D411" s="67">
        <v>0.1739</v>
      </c>
      <c r="E411" s="68"/>
      <c r="F411" s="69">
        <v>1</v>
      </c>
      <c r="G411" s="70"/>
      <c r="H411" s="71">
        <v>0.4</v>
      </c>
      <c r="I411" s="71">
        <v>0</v>
      </c>
      <c r="J411" s="71">
        <v>0</v>
      </c>
    </row>
    <row r="412" customFormat="1" ht="27.95" hidden="1" customHeight="1" spans="1:10">
      <c r="A412" s="75"/>
      <c r="B412" s="73" t="s">
        <v>797</v>
      </c>
      <c r="C412" s="66" t="s">
        <v>796</v>
      </c>
      <c r="D412" s="67">
        <v>0.1739</v>
      </c>
      <c r="E412" s="68"/>
      <c r="F412" s="69">
        <v>0.6</v>
      </c>
      <c r="G412" s="70"/>
      <c r="H412" s="71">
        <v>0.4</v>
      </c>
      <c r="I412" s="71">
        <v>0</v>
      </c>
      <c r="J412" s="71">
        <v>0</v>
      </c>
    </row>
    <row r="413" customFormat="1" ht="27.95" hidden="1" customHeight="1" spans="1:10">
      <c r="A413" s="64"/>
      <c r="B413" s="65">
        <v>4624321544133</v>
      </c>
      <c r="C413" s="66" t="s">
        <v>798</v>
      </c>
      <c r="D413" s="67">
        <v>0.2174</v>
      </c>
      <c r="E413" s="68"/>
      <c r="F413" s="69">
        <v>1.25</v>
      </c>
      <c r="G413" s="70"/>
      <c r="H413" s="71">
        <v>0.5</v>
      </c>
      <c r="I413" s="71">
        <v>0</v>
      </c>
      <c r="J413" s="71">
        <v>0</v>
      </c>
    </row>
    <row r="414" customFormat="1" ht="27.95" hidden="1" customHeight="1" spans="1:10">
      <c r="A414" s="64"/>
      <c r="B414" s="73" t="s">
        <v>799</v>
      </c>
      <c r="C414" s="66" t="s">
        <v>800</v>
      </c>
      <c r="D414" s="67">
        <v>1.087</v>
      </c>
      <c r="E414" s="68"/>
      <c r="F414" s="69">
        <v>4</v>
      </c>
      <c r="G414" s="70"/>
      <c r="H414" s="71">
        <v>2.5</v>
      </c>
      <c r="I414" s="71">
        <v>0</v>
      </c>
      <c r="J414" s="71">
        <v>0</v>
      </c>
    </row>
    <row r="415" customFormat="1" ht="27.95" hidden="1" customHeight="1" spans="1:10">
      <c r="A415" s="64"/>
      <c r="B415" s="73" t="s">
        <v>801</v>
      </c>
      <c r="C415" s="66" t="s">
        <v>802</v>
      </c>
      <c r="D415" s="67">
        <v>0.2174</v>
      </c>
      <c r="E415" s="68"/>
      <c r="F415" s="69">
        <v>1</v>
      </c>
      <c r="G415" s="70"/>
      <c r="H415" s="71">
        <v>0.5</v>
      </c>
      <c r="I415" s="71">
        <v>0</v>
      </c>
      <c r="J415" s="71">
        <v>0</v>
      </c>
    </row>
    <row r="416" customFormat="1" ht="27.95" hidden="1" customHeight="1" spans="1:10">
      <c r="A416" s="64"/>
      <c r="B416" s="73" t="s">
        <v>803</v>
      </c>
      <c r="C416" s="66" t="s">
        <v>804</v>
      </c>
      <c r="D416" s="67">
        <v>0.5217</v>
      </c>
      <c r="E416" s="68"/>
      <c r="F416" s="69">
        <v>2.5</v>
      </c>
      <c r="G416" s="70"/>
      <c r="H416" s="71">
        <v>1.2</v>
      </c>
      <c r="I416" s="71">
        <v>0</v>
      </c>
      <c r="J416" s="71">
        <v>0</v>
      </c>
    </row>
    <row r="417" customFormat="1" ht="27.95" hidden="1" customHeight="1" spans="1:10">
      <c r="A417" s="64"/>
      <c r="B417" s="73" t="s">
        <v>805</v>
      </c>
      <c r="C417" s="66" t="s">
        <v>806</v>
      </c>
      <c r="D417" s="67">
        <v>0.2609</v>
      </c>
      <c r="E417" s="68"/>
      <c r="F417" s="69">
        <v>1</v>
      </c>
      <c r="G417" s="70"/>
      <c r="H417" s="71">
        <v>0.6</v>
      </c>
      <c r="I417" s="71">
        <v>0</v>
      </c>
      <c r="J417" s="71">
        <v>0</v>
      </c>
    </row>
    <row r="418" customFormat="1" ht="27.95" hidden="1" customHeight="1" spans="1:10">
      <c r="A418" s="74"/>
      <c r="B418" s="73" t="s">
        <v>807</v>
      </c>
      <c r="C418" s="66" t="s">
        <v>808</v>
      </c>
      <c r="D418" s="67">
        <v>0.2174</v>
      </c>
      <c r="E418" s="68"/>
      <c r="F418" s="69">
        <v>1.5</v>
      </c>
      <c r="G418" s="70"/>
      <c r="H418" s="71">
        <v>0.5</v>
      </c>
      <c r="I418" s="71">
        <v>0</v>
      </c>
      <c r="J418" s="71">
        <v>0</v>
      </c>
    </row>
    <row r="419" customFormat="1" ht="27.95" hidden="1" customHeight="1" spans="1:10">
      <c r="A419" s="75"/>
      <c r="B419" s="73" t="s">
        <v>809</v>
      </c>
      <c r="C419" s="66" t="s">
        <v>808</v>
      </c>
      <c r="D419" s="67">
        <v>0.4348</v>
      </c>
      <c r="E419" s="68"/>
      <c r="F419" s="69">
        <v>1.5</v>
      </c>
      <c r="G419" s="70"/>
      <c r="H419" s="71">
        <v>1</v>
      </c>
      <c r="I419" s="71">
        <v>0</v>
      </c>
      <c r="J419" s="71">
        <v>0</v>
      </c>
    </row>
    <row r="420" customFormat="1" ht="27.95" hidden="1" customHeight="1" spans="1:10">
      <c r="A420" s="74"/>
      <c r="B420" s="73" t="s">
        <v>810</v>
      </c>
      <c r="C420" s="66" t="s">
        <v>811</v>
      </c>
      <c r="D420" s="67">
        <v>0.3478</v>
      </c>
      <c r="E420" s="68"/>
      <c r="F420" s="69">
        <v>1</v>
      </c>
      <c r="G420" s="70"/>
      <c r="H420" s="71">
        <v>0.8</v>
      </c>
      <c r="I420" s="71">
        <v>0</v>
      </c>
      <c r="J420" s="71">
        <v>0</v>
      </c>
    </row>
    <row r="421" customFormat="1" ht="27.95" hidden="1" customHeight="1" spans="1:10">
      <c r="A421" s="84"/>
      <c r="B421" s="73" t="s">
        <v>812</v>
      </c>
      <c r="C421" s="66" t="s">
        <v>811</v>
      </c>
      <c r="D421" s="67">
        <v>0.3478</v>
      </c>
      <c r="E421" s="68"/>
      <c r="F421" s="69">
        <v>1.2</v>
      </c>
      <c r="G421" s="70"/>
      <c r="H421" s="71">
        <v>0.8</v>
      </c>
      <c r="I421" s="71">
        <v>0</v>
      </c>
      <c r="J421" s="71">
        <v>0</v>
      </c>
    </row>
    <row r="422" customFormat="1" ht="27.95" hidden="1" customHeight="1" spans="1:10">
      <c r="A422" s="84"/>
      <c r="B422" s="73" t="s">
        <v>813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  <c r="I422" s="71">
        <v>0</v>
      </c>
      <c r="J422" s="71">
        <v>0</v>
      </c>
    </row>
    <row r="423" customFormat="1" ht="27.95" hidden="1" customHeight="1" spans="1:10">
      <c r="A423" s="84"/>
      <c r="B423" s="73" t="s">
        <v>814</v>
      </c>
      <c r="C423" s="66" t="s">
        <v>811</v>
      </c>
      <c r="D423" s="67">
        <v>0.4348</v>
      </c>
      <c r="E423" s="68"/>
      <c r="F423" s="69">
        <v>2</v>
      </c>
      <c r="G423" s="70"/>
      <c r="H423" s="71">
        <v>1</v>
      </c>
      <c r="I423" s="71">
        <v>0</v>
      </c>
      <c r="J423" s="71">
        <v>0</v>
      </c>
    </row>
    <row r="424" customFormat="1" ht="27.95" hidden="1" customHeight="1" spans="1:10">
      <c r="A424" s="75"/>
      <c r="B424" s="73" t="s">
        <v>815</v>
      </c>
      <c r="C424" s="66" t="s">
        <v>811</v>
      </c>
      <c r="D424" s="67">
        <v>0.3478</v>
      </c>
      <c r="E424" s="68"/>
      <c r="F424" s="69">
        <v>1.2</v>
      </c>
      <c r="G424" s="70"/>
      <c r="H424" s="71">
        <v>0.8</v>
      </c>
      <c r="I424" s="71">
        <v>0</v>
      </c>
      <c r="J424" s="71">
        <v>0</v>
      </c>
    </row>
    <row r="425" customFormat="1" ht="27.95" hidden="1" customHeight="1" spans="1:10">
      <c r="A425" s="64"/>
      <c r="B425" s="73" t="s">
        <v>816</v>
      </c>
      <c r="C425" s="66" t="s">
        <v>817</v>
      </c>
      <c r="D425" s="67">
        <v>0.3478</v>
      </c>
      <c r="E425" s="68"/>
      <c r="F425" s="69">
        <v>1</v>
      </c>
      <c r="G425" s="70"/>
      <c r="H425" s="71">
        <v>0.8</v>
      </c>
      <c r="I425" s="71">
        <v>0</v>
      </c>
      <c r="J425" s="71">
        <v>0</v>
      </c>
    </row>
    <row r="426" customFormat="1" ht="27.95" hidden="1" customHeight="1" spans="1:10">
      <c r="A426" s="74"/>
      <c r="B426" s="73" t="s">
        <v>818</v>
      </c>
      <c r="C426" s="66" t="s">
        <v>819</v>
      </c>
      <c r="D426" s="67">
        <v>0.3913</v>
      </c>
      <c r="E426" s="68"/>
      <c r="F426" s="69">
        <v>1.4</v>
      </c>
      <c r="G426" s="70"/>
      <c r="H426" s="71">
        <v>0.9</v>
      </c>
      <c r="I426" s="71">
        <v>0</v>
      </c>
      <c r="J426" s="71">
        <v>0</v>
      </c>
    </row>
    <row r="427" customFormat="1" ht="27.95" hidden="1" customHeight="1" spans="1:10">
      <c r="A427" s="84"/>
      <c r="B427" s="73" t="s">
        <v>820</v>
      </c>
      <c r="C427" s="66" t="s">
        <v>819</v>
      </c>
      <c r="D427" s="67">
        <v>0.3478</v>
      </c>
      <c r="E427" s="68"/>
      <c r="F427" s="69">
        <v>1.5</v>
      </c>
      <c r="G427" s="70"/>
      <c r="H427" s="71">
        <v>0.8</v>
      </c>
      <c r="I427" s="71">
        <v>0</v>
      </c>
      <c r="J427" s="71">
        <v>0</v>
      </c>
    </row>
    <row r="428" customFormat="1" ht="27.95" hidden="1" customHeight="1" spans="1:10">
      <c r="A428" s="84"/>
      <c r="B428" s="73" t="s">
        <v>821</v>
      </c>
      <c r="C428" s="66" t="s">
        <v>819</v>
      </c>
      <c r="D428" s="67">
        <v>0.3913</v>
      </c>
      <c r="E428" s="68"/>
      <c r="F428" s="69">
        <v>1</v>
      </c>
      <c r="G428" s="70"/>
      <c r="H428" s="71">
        <v>0.9</v>
      </c>
      <c r="I428" s="71">
        <v>0</v>
      </c>
      <c r="J428" s="71">
        <v>0</v>
      </c>
    </row>
    <row r="429" customFormat="1" ht="27.95" hidden="1" customHeight="1" spans="1:10">
      <c r="A429" s="84"/>
      <c r="B429" s="73" t="s">
        <v>822</v>
      </c>
      <c r="C429" s="66" t="s">
        <v>819</v>
      </c>
      <c r="D429" s="67">
        <v>0.3478</v>
      </c>
      <c r="E429" s="68"/>
      <c r="F429" s="69">
        <v>1.5</v>
      </c>
      <c r="G429" s="70"/>
      <c r="H429" s="71">
        <v>0.8</v>
      </c>
      <c r="I429" s="71">
        <v>0</v>
      </c>
      <c r="J429" s="71">
        <v>0</v>
      </c>
    </row>
    <row r="430" customFormat="1" ht="27.95" hidden="1" customHeight="1" spans="1:10">
      <c r="A430" s="84"/>
      <c r="B430" s="73" t="s">
        <v>823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  <c r="I430" s="71">
        <v>0</v>
      </c>
      <c r="J430" s="71">
        <v>0</v>
      </c>
    </row>
    <row r="431" customFormat="1" ht="27.95" hidden="1" customHeight="1" spans="1:10">
      <c r="A431" s="84"/>
      <c r="B431" s="73" t="s">
        <v>824</v>
      </c>
      <c r="C431" s="66" t="s">
        <v>819</v>
      </c>
      <c r="D431" s="67">
        <v>0.3043</v>
      </c>
      <c r="E431" s="68"/>
      <c r="F431" s="69">
        <v>1</v>
      </c>
      <c r="G431" s="70"/>
      <c r="H431" s="71">
        <v>0.7</v>
      </c>
      <c r="I431" s="71">
        <v>0</v>
      </c>
      <c r="J431" s="71">
        <v>0</v>
      </c>
    </row>
    <row r="432" customFormat="1" ht="27.95" hidden="1" customHeight="1" spans="1:10">
      <c r="A432" s="84"/>
      <c r="B432" s="73" t="s">
        <v>825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  <c r="I432" s="71">
        <v>0</v>
      </c>
      <c r="J432" s="71">
        <v>0</v>
      </c>
    </row>
    <row r="433" customFormat="1" ht="27.95" hidden="1" customHeight="1" spans="1:10">
      <c r="A433" s="84"/>
      <c r="B433" s="73" t="s">
        <v>826</v>
      </c>
      <c r="C433" s="66" t="s">
        <v>819</v>
      </c>
      <c r="D433" s="67">
        <v>0.3913</v>
      </c>
      <c r="E433" s="68"/>
      <c r="F433" s="69">
        <v>1.4</v>
      </c>
      <c r="G433" s="70"/>
      <c r="H433" s="71">
        <v>0.9</v>
      </c>
      <c r="I433" s="71">
        <v>0</v>
      </c>
      <c r="J433" s="71">
        <v>0</v>
      </c>
    </row>
    <row r="434" customFormat="1" ht="27.95" hidden="1" customHeight="1" spans="1:10">
      <c r="A434" s="84"/>
      <c r="B434" s="73" t="s">
        <v>827</v>
      </c>
      <c r="C434" s="66" t="s">
        <v>819</v>
      </c>
      <c r="D434" s="67">
        <v>0.5217</v>
      </c>
      <c r="E434" s="68"/>
      <c r="F434" s="69">
        <v>2</v>
      </c>
      <c r="G434" s="70"/>
      <c r="H434" s="71">
        <v>1.2</v>
      </c>
      <c r="I434" s="71">
        <v>0</v>
      </c>
      <c r="J434" s="71">
        <v>0</v>
      </c>
    </row>
    <row r="435" customFormat="1" ht="27.95" hidden="1" customHeight="1" spans="1:10">
      <c r="A435" s="84"/>
      <c r="B435" s="73" t="s">
        <v>828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  <c r="I435" s="71">
        <v>0</v>
      </c>
      <c r="J435" s="71">
        <v>0</v>
      </c>
    </row>
    <row r="436" customFormat="1" ht="27.95" hidden="1" customHeight="1" spans="1:10">
      <c r="A436" s="84"/>
      <c r="B436" s="73" t="s">
        <v>829</v>
      </c>
      <c r="C436" s="66" t="s">
        <v>819</v>
      </c>
      <c r="D436" s="67">
        <v>0.3043</v>
      </c>
      <c r="E436" s="68"/>
      <c r="F436" s="69">
        <v>1.1</v>
      </c>
      <c r="G436" s="70"/>
      <c r="H436" s="71">
        <v>0.7</v>
      </c>
      <c r="I436" s="71">
        <v>0</v>
      </c>
      <c r="J436" s="71">
        <v>0</v>
      </c>
    </row>
    <row r="437" customFormat="1" ht="27.95" hidden="1" customHeight="1" spans="1:10">
      <c r="A437" s="75"/>
      <c r="B437" s="73" t="s">
        <v>830</v>
      </c>
      <c r="C437" s="66" t="s">
        <v>819</v>
      </c>
      <c r="D437" s="67">
        <v>0.3043</v>
      </c>
      <c r="E437" s="68"/>
      <c r="F437" s="69">
        <v>1</v>
      </c>
      <c r="G437" s="70"/>
      <c r="H437" s="71">
        <v>0.7</v>
      </c>
      <c r="I437" s="71">
        <v>0</v>
      </c>
      <c r="J437" s="71">
        <v>0</v>
      </c>
    </row>
    <row r="438" customFormat="1" ht="27.95" hidden="1" customHeight="1" spans="1:10">
      <c r="A438" s="74"/>
      <c r="B438" s="73" t="s">
        <v>831</v>
      </c>
      <c r="C438" s="66" t="s">
        <v>819</v>
      </c>
      <c r="D438" s="67">
        <v>0.3478</v>
      </c>
      <c r="E438" s="68"/>
      <c r="F438" s="69">
        <v>1</v>
      </c>
      <c r="G438" s="70"/>
      <c r="H438" s="71">
        <v>0.8</v>
      </c>
      <c r="I438" s="71">
        <v>0</v>
      </c>
      <c r="J438" s="71">
        <v>0</v>
      </c>
    </row>
    <row r="439" customFormat="1" ht="27.95" hidden="1" customHeight="1" spans="1:10">
      <c r="A439" s="84"/>
      <c r="B439" s="73" t="s">
        <v>832</v>
      </c>
      <c r="C439" s="66" t="s">
        <v>819</v>
      </c>
      <c r="D439" s="67">
        <v>0.3043</v>
      </c>
      <c r="E439" s="68"/>
      <c r="F439" s="69">
        <v>1</v>
      </c>
      <c r="G439" s="70"/>
      <c r="H439" s="71">
        <v>0.7</v>
      </c>
      <c r="I439" s="71">
        <v>0</v>
      </c>
      <c r="J439" s="71">
        <v>0</v>
      </c>
    </row>
    <row r="440" customFormat="1" ht="27.95" hidden="1" customHeight="1" spans="1:10">
      <c r="A440" s="84"/>
      <c r="B440" s="73" t="s">
        <v>833</v>
      </c>
      <c r="C440" s="66" t="s">
        <v>819</v>
      </c>
      <c r="D440" s="67">
        <v>0.3043</v>
      </c>
      <c r="E440" s="68"/>
      <c r="F440" s="69">
        <v>1.5</v>
      </c>
      <c r="G440" s="70"/>
      <c r="H440" s="71">
        <v>0.7</v>
      </c>
      <c r="I440" s="71">
        <v>0</v>
      </c>
      <c r="J440" s="71">
        <v>0</v>
      </c>
    </row>
    <row r="441" customFormat="1" ht="27.95" hidden="1" customHeight="1" spans="1:10">
      <c r="A441" s="75"/>
      <c r="B441" s="73" t="s">
        <v>834</v>
      </c>
      <c r="C441" s="66" t="s">
        <v>819</v>
      </c>
      <c r="D441" s="67">
        <v>0.3043</v>
      </c>
      <c r="E441" s="68"/>
      <c r="F441" s="69">
        <v>1.1</v>
      </c>
      <c r="G441" s="70"/>
      <c r="H441" s="71">
        <v>0.7</v>
      </c>
      <c r="I441" s="71">
        <v>0</v>
      </c>
      <c r="J441" s="71">
        <v>0</v>
      </c>
    </row>
    <row r="442" customFormat="1" ht="27.95" hidden="1" customHeight="1" spans="1:10">
      <c r="A442" s="74"/>
      <c r="B442" s="73" t="s">
        <v>835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  <c r="I442" s="71">
        <v>0</v>
      </c>
      <c r="J442" s="71">
        <v>0</v>
      </c>
    </row>
    <row r="443" customFormat="1" ht="27.95" hidden="1" customHeight="1" spans="1:10">
      <c r="A443" s="75"/>
      <c r="B443" s="73" t="s">
        <v>837</v>
      </c>
      <c r="C443" s="66" t="s">
        <v>836</v>
      </c>
      <c r="D443" s="67">
        <v>0.4348</v>
      </c>
      <c r="E443" s="68"/>
      <c r="F443" s="69">
        <v>1.5</v>
      </c>
      <c r="G443" s="70"/>
      <c r="H443" s="71">
        <v>1</v>
      </c>
      <c r="I443" s="71">
        <v>0</v>
      </c>
      <c r="J443" s="71">
        <v>0</v>
      </c>
    </row>
    <row r="444" customFormat="1" ht="27.95" hidden="1" customHeight="1" spans="1:10">
      <c r="A444" s="64"/>
      <c r="B444" s="73" t="s">
        <v>838</v>
      </c>
      <c r="C444" s="66" t="s">
        <v>839</v>
      </c>
      <c r="D444" s="67">
        <v>1.0435</v>
      </c>
      <c r="E444" s="68"/>
      <c r="F444" s="69">
        <v>4</v>
      </c>
      <c r="G444" s="70"/>
      <c r="H444" s="71">
        <v>2.4</v>
      </c>
      <c r="I444" s="71">
        <v>0</v>
      </c>
      <c r="J444" s="71">
        <v>0</v>
      </c>
    </row>
    <row r="445" customFormat="1" ht="27.95" hidden="1" customHeight="1" spans="1:10">
      <c r="A445" s="64"/>
      <c r="B445" s="73" t="s">
        <v>840</v>
      </c>
      <c r="C445" s="66" t="s">
        <v>841</v>
      </c>
      <c r="D445" s="67">
        <v>0.6087</v>
      </c>
      <c r="E445" s="68"/>
      <c r="F445" s="69">
        <v>2.2</v>
      </c>
      <c r="G445" s="70"/>
      <c r="H445" s="71">
        <v>1.4</v>
      </c>
      <c r="I445" s="71">
        <v>0</v>
      </c>
      <c r="J445" s="71">
        <v>0</v>
      </c>
    </row>
    <row r="446" customFormat="1" ht="27.95" hidden="1" customHeight="1" spans="1:10">
      <c r="A446" s="64"/>
      <c r="B446" s="73" t="s">
        <v>842</v>
      </c>
      <c r="C446" s="66" t="s">
        <v>843</v>
      </c>
      <c r="D446" s="67">
        <v>0.1304</v>
      </c>
      <c r="E446" s="68"/>
      <c r="F446" s="69">
        <v>0.5</v>
      </c>
      <c r="G446" s="70"/>
      <c r="H446" s="71">
        <v>0.3</v>
      </c>
      <c r="I446" s="71">
        <v>0</v>
      </c>
      <c r="J446" s="71">
        <v>0</v>
      </c>
    </row>
    <row r="447" customFormat="1" ht="27.95" hidden="1" customHeight="1" spans="1:10">
      <c r="A447" s="64"/>
      <c r="B447" s="73" t="s">
        <v>844</v>
      </c>
      <c r="C447" s="66" t="s">
        <v>845</v>
      </c>
      <c r="D447" s="67">
        <v>0.1304</v>
      </c>
      <c r="E447" s="68"/>
      <c r="F447" s="69">
        <v>0.5</v>
      </c>
      <c r="G447" s="70"/>
      <c r="H447" s="71">
        <v>0.3</v>
      </c>
      <c r="I447" s="71">
        <v>0</v>
      </c>
      <c r="J447" s="71">
        <v>0</v>
      </c>
    </row>
    <row r="448" customFormat="1" ht="27.95" hidden="1" customHeight="1" spans="1:10">
      <c r="A448" s="64"/>
      <c r="B448" s="73" t="s">
        <v>846</v>
      </c>
      <c r="C448" s="66" t="s">
        <v>847</v>
      </c>
      <c r="D448" s="67">
        <v>0.1304</v>
      </c>
      <c r="E448" s="68"/>
      <c r="F448" s="69">
        <v>0.5</v>
      </c>
      <c r="G448" s="70"/>
      <c r="H448" s="71">
        <v>0.3</v>
      </c>
      <c r="I448" s="71">
        <v>0</v>
      </c>
      <c r="J448" s="71">
        <v>0</v>
      </c>
    </row>
    <row r="449" ht="27.95" customHeight="1" spans="1:20">
      <c r="A449" s="72" t="s">
        <v>3773</v>
      </c>
      <c r="B449" s="73" t="s">
        <v>848</v>
      </c>
      <c r="C449" s="66" t="s">
        <v>849</v>
      </c>
      <c r="D449" s="67">
        <v>0.1304</v>
      </c>
      <c r="E449" s="68"/>
      <c r="F449" s="69">
        <v>0.5</v>
      </c>
      <c r="G449" s="70"/>
      <c r="H449" s="71">
        <v>0.3</v>
      </c>
      <c r="I449" s="71"/>
      <c r="J449" s="71"/>
      <c r="M449" s="32">
        <v>8</v>
      </c>
      <c r="N449" s="77">
        <f>+F449</f>
        <v>0.5</v>
      </c>
      <c r="O449" s="77">
        <f>+M449*N449</f>
        <v>4</v>
      </c>
      <c r="R449" s="3">
        <f>+M449</f>
        <v>8</v>
      </c>
      <c r="S449" s="49">
        <f>+H449</f>
        <v>0.3</v>
      </c>
      <c r="T449" s="49">
        <f>+R449*S449</f>
        <v>2.4</v>
      </c>
    </row>
    <row r="450" ht="27.95" hidden="1" customHeight="1" spans="1:21">
      <c r="A450" s="64"/>
      <c r="B450" s="73" t="s">
        <v>3776</v>
      </c>
      <c r="C450" s="66" t="s">
        <v>3777</v>
      </c>
      <c r="D450" s="67">
        <v>0.1304</v>
      </c>
      <c r="E450" s="68"/>
      <c r="F450" s="69">
        <v>0.5</v>
      </c>
      <c r="G450" s="70"/>
      <c r="H450" s="71">
        <v>0.3</v>
      </c>
      <c r="I450" s="71">
        <v>0</v>
      </c>
      <c r="J450" s="71">
        <v>0</v>
      </c>
      <c r="M450"/>
      <c r="N450"/>
      <c r="O450"/>
      <c r="P450"/>
      <c r="Q450"/>
      <c r="R450"/>
      <c r="S450"/>
      <c r="T450"/>
      <c r="U450"/>
    </row>
    <row r="451" ht="27.95" hidden="1" customHeight="1" spans="1:21">
      <c r="A451" s="64"/>
      <c r="B451" s="73" t="s">
        <v>852</v>
      </c>
      <c r="C451" s="66" t="s">
        <v>853</v>
      </c>
      <c r="D451" s="67">
        <v>1.4348</v>
      </c>
      <c r="E451" s="68"/>
      <c r="F451" s="69">
        <v>5</v>
      </c>
      <c r="G451" s="70"/>
      <c r="H451" s="71">
        <v>3.3</v>
      </c>
      <c r="I451" s="71">
        <v>0</v>
      </c>
      <c r="J451" s="71">
        <v>0</v>
      </c>
      <c r="M451"/>
      <c r="N451"/>
      <c r="O451"/>
      <c r="P451"/>
      <c r="Q451"/>
      <c r="R451"/>
      <c r="S451"/>
      <c r="T451"/>
      <c r="U451"/>
    </row>
    <row r="452" ht="27.95" hidden="1" customHeight="1" spans="1:21">
      <c r="A452" s="74"/>
      <c r="B452" s="73" t="s">
        <v>854</v>
      </c>
      <c r="C452" s="66" t="s">
        <v>855</v>
      </c>
      <c r="D452" s="67">
        <v>2.4348</v>
      </c>
      <c r="E452" s="68"/>
      <c r="F452" s="69">
        <v>9</v>
      </c>
      <c r="G452" s="70"/>
      <c r="H452" s="71">
        <v>5.6</v>
      </c>
      <c r="I452" s="71">
        <v>0</v>
      </c>
      <c r="J452" s="71">
        <v>0</v>
      </c>
      <c r="M452"/>
      <c r="N452"/>
      <c r="O452"/>
      <c r="P452"/>
      <c r="Q452"/>
      <c r="R452"/>
      <c r="S452"/>
      <c r="T452"/>
      <c r="U452"/>
    </row>
    <row r="453" ht="27.95" hidden="1" customHeight="1" spans="1:21">
      <c r="A453" s="75"/>
      <c r="B453" s="73" t="s">
        <v>856</v>
      </c>
      <c r="C453" s="66" t="s">
        <v>855</v>
      </c>
      <c r="D453" s="67">
        <v>2.6957</v>
      </c>
      <c r="E453" s="68"/>
      <c r="F453" s="69">
        <v>9.9</v>
      </c>
      <c r="G453" s="70"/>
      <c r="H453" s="71">
        <v>6.2</v>
      </c>
      <c r="I453" s="71">
        <v>0</v>
      </c>
      <c r="J453" s="71">
        <v>0</v>
      </c>
      <c r="M453"/>
      <c r="N453"/>
      <c r="O453"/>
      <c r="P453"/>
      <c r="Q453"/>
      <c r="R453"/>
      <c r="S453"/>
      <c r="T453"/>
      <c r="U453"/>
    </row>
    <row r="454" ht="27.95" hidden="1" customHeight="1" spans="1:21">
      <c r="A454" s="64"/>
      <c r="B454" s="73" t="s">
        <v>857</v>
      </c>
      <c r="C454" s="66" t="s">
        <v>858</v>
      </c>
      <c r="D454" s="67">
        <v>4.6957</v>
      </c>
      <c r="E454" s="68"/>
      <c r="F454" s="79">
        <v>17.2</v>
      </c>
      <c r="G454" s="80"/>
      <c r="H454" s="71">
        <v>10.8</v>
      </c>
      <c r="I454" s="71">
        <v>0</v>
      </c>
      <c r="J454" s="71">
        <v>0</v>
      </c>
      <c r="M454"/>
      <c r="N454"/>
      <c r="O454"/>
      <c r="P454"/>
      <c r="Q454"/>
      <c r="R454"/>
      <c r="S454"/>
      <c r="T454"/>
      <c r="U454"/>
    </row>
    <row r="455" ht="27.95" hidden="1" customHeight="1" spans="1:21">
      <c r="A455" s="64"/>
      <c r="B455" s="73" t="s">
        <v>859</v>
      </c>
      <c r="C455" s="66" t="s">
        <v>860</v>
      </c>
      <c r="D455" s="67">
        <v>0.2174</v>
      </c>
      <c r="E455" s="68"/>
      <c r="F455" s="69">
        <v>0.8</v>
      </c>
      <c r="G455" s="70"/>
      <c r="H455" s="71">
        <v>0.5</v>
      </c>
      <c r="I455" s="71">
        <v>0</v>
      </c>
      <c r="J455" s="71">
        <v>0</v>
      </c>
      <c r="M455"/>
      <c r="N455"/>
      <c r="O455"/>
      <c r="P455"/>
      <c r="Q455"/>
      <c r="R455"/>
      <c r="S455"/>
      <c r="T455"/>
      <c r="U455"/>
    </row>
    <row r="456" ht="27.95" hidden="1" customHeight="1" spans="1:21">
      <c r="A456" s="64"/>
      <c r="B456" s="73" t="s">
        <v>861</v>
      </c>
      <c r="C456" s="66" t="s">
        <v>862</v>
      </c>
      <c r="D456" s="67">
        <v>3.4783</v>
      </c>
      <c r="E456" s="68"/>
      <c r="F456" s="79">
        <v>11.5</v>
      </c>
      <c r="G456" s="80"/>
      <c r="H456" s="71">
        <v>8</v>
      </c>
      <c r="I456" s="71">
        <v>0</v>
      </c>
      <c r="J456" s="71">
        <v>0</v>
      </c>
      <c r="M456"/>
      <c r="N456"/>
      <c r="O456"/>
      <c r="P456"/>
      <c r="Q456"/>
      <c r="R456"/>
      <c r="S456"/>
      <c r="T456"/>
      <c r="U456"/>
    </row>
    <row r="457" ht="27.95" hidden="1" customHeight="1" spans="1:21">
      <c r="A457" s="64"/>
      <c r="B457" s="73" t="s">
        <v>863</v>
      </c>
      <c r="C457" s="66" t="s">
        <v>864</v>
      </c>
      <c r="D457" s="67">
        <v>2.1739</v>
      </c>
      <c r="E457" s="68"/>
      <c r="F457" s="69">
        <v>8</v>
      </c>
      <c r="G457" s="70"/>
      <c r="H457" s="71">
        <v>5</v>
      </c>
      <c r="I457" s="71">
        <v>0</v>
      </c>
      <c r="J457" s="71">
        <v>0</v>
      </c>
      <c r="M457"/>
      <c r="N457"/>
      <c r="O457"/>
      <c r="P457"/>
      <c r="Q457"/>
      <c r="R457"/>
      <c r="S457"/>
      <c r="T457"/>
      <c r="U457"/>
    </row>
    <row r="458" ht="27.95" hidden="1" customHeight="1" spans="1:21">
      <c r="A458" s="64"/>
      <c r="B458" s="73" t="s">
        <v>865</v>
      </c>
      <c r="C458" s="66" t="s">
        <v>866</v>
      </c>
      <c r="D458" s="67">
        <v>1.3043</v>
      </c>
      <c r="E458" s="68"/>
      <c r="F458" s="69">
        <v>4.8</v>
      </c>
      <c r="G458" s="70"/>
      <c r="H458" s="71">
        <v>3</v>
      </c>
      <c r="I458" s="71">
        <v>0</v>
      </c>
      <c r="J458" s="71">
        <v>0</v>
      </c>
      <c r="M458"/>
      <c r="N458"/>
      <c r="O458"/>
      <c r="P458"/>
      <c r="Q458"/>
      <c r="R458"/>
      <c r="S458"/>
      <c r="T458"/>
      <c r="U458"/>
    </row>
    <row r="459" ht="27.95" hidden="1" customHeight="1" spans="1:21">
      <c r="A459" s="64"/>
      <c r="B459" s="73" t="s">
        <v>867</v>
      </c>
      <c r="C459" s="66" t="s">
        <v>868</v>
      </c>
      <c r="D459" s="67">
        <v>0.1304</v>
      </c>
      <c r="E459" s="68"/>
      <c r="F459" s="69">
        <v>1</v>
      </c>
      <c r="G459" s="70"/>
      <c r="H459" s="71">
        <v>0.3</v>
      </c>
      <c r="I459" s="71">
        <v>0</v>
      </c>
      <c r="J459" s="71">
        <v>0</v>
      </c>
      <c r="M459"/>
      <c r="N459"/>
      <c r="O459"/>
      <c r="P459"/>
      <c r="Q459"/>
      <c r="R459"/>
      <c r="S459"/>
      <c r="T459"/>
      <c r="U459"/>
    </row>
    <row r="460" ht="27.95" hidden="1" customHeight="1" spans="1:21">
      <c r="A460" s="64"/>
      <c r="B460" s="73" t="s">
        <v>869</v>
      </c>
      <c r="C460" s="66" t="s">
        <v>870</v>
      </c>
      <c r="D460" s="67">
        <v>0.1304</v>
      </c>
      <c r="E460" s="68"/>
      <c r="F460" s="69">
        <v>0.4</v>
      </c>
      <c r="G460" s="70"/>
      <c r="H460" s="71">
        <v>0.3</v>
      </c>
      <c r="I460" s="71">
        <v>0</v>
      </c>
      <c r="J460" s="71">
        <v>0</v>
      </c>
      <c r="M460"/>
      <c r="N460"/>
      <c r="O460"/>
      <c r="P460"/>
      <c r="Q460"/>
      <c r="R460"/>
      <c r="S460"/>
      <c r="T460"/>
      <c r="U460"/>
    </row>
    <row r="461" ht="27.95" hidden="1" customHeight="1" spans="1:21">
      <c r="A461" s="64"/>
      <c r="B461" s="73" t="s">
        <v>871</v>
      </c>
      <c r="C461" s="66" t="s">
        <v>872</v>
      </c>
      <c r="D461" s="67">
        <v>0.3043</v>
      </c>
      <c r="E461" s="68"/>
      <c r="F461" s="69">
        <v>1</v>
      </c>
      <c r="G461" s="70"/>
      <c r="H461" s="71">
        <v>0.7</v>
      </c>
      <c r="I461" s="71">
        <v>0</v>
      </c>
      <c r="J461" s="71">
        <v>0</v>
      </c>
      <c r="M461"/>
      <c r="N461"/>
      <c r="O461"/>
      <c r="P461"/>
      <c r="Q461"/>
      <c r="R461"/>
      <c r="S461"/>
      <c r="T461"/>
      <c r="U461"/>
    </row>
    <row r="462" ht="27.95" hidden="1" customHeight="1" spans="1:21">
      <c r="A462" s="64"/>
      <c r="B462" s="73" t="s">
        <v>873</v>
      </c>
      <c r="C462" s="66" t="s">
        <v>874</v>
      </c>
      <c r="D462" s="67">
        <v>0.3043</v>
      </c>
      <c r="E462" s="68"/>
      <c r="F462" s="69">
        <v>1</v>
      </c>
      <c r="G462" s="70"/>
      <c r="H462" s="71">
        <v>0.7</v>
      </c>
      <c r="I462" s="71">
        <v>0</v>
      </c>
      <c r="J462" s="71">
        <v>0</v>
      </c>
      <c r="M462"/>
      <c r="N462"/>
      <c r="O462"/>
      <c r="P462"/>
      <c r="Q462"/>
      <c r="R462"/>
      <c r="S462"/>
      <c r="T462"/>
      <c r="U462"/>
    </row>
    <row r="463" ht="27.95" hidden="1" customHeight="1" spans="1:21">
      <c r="A463" s="64"/>
      <c r="B463" s="73" t="s">
        <v>875</v>
      </c>
      <c r="C463" s="66" t="s">
        <v>876</v>
      </c>
      <c r="D463" s="67">
        <v>0.3043</v>
      </c>
      <c r="E463" s="68"/>
      <c r="F463" s="69">
        <v>1</v>
      </c>
      <c r="G463" s="70"/>
      <c r="H463" s="71">
        <v>0</v>
      </c>
      <c r="I463" s="71">
        <v>0</v>
      </c>
      <c r="J463" s="71">
        <v>0</v>
      </c>
      <c r="M463"/>
      <c r="N463"/>
      <c r="O463"/>
      <c r="P463"/>
      <c r="Q463"/>
      <c r="R463"/>
      <c r="S463"/>
      <c r="T463"/>
      <c r="U463"/>
    </row>
    <row r="464" ht="27.95" hidden="1" customHeight="1" spans="1:21">
      <c r="A464" s="64"/>
      <c r="B464" s="73" t="s">
        <v>877</v>
      </c>
      <c r="C464" s="66" t="s">
        <v>878</v>
      </c>
      <c r="D464" s="67">
        <v>7.2609</v>
      </c>
      <c r="E464" s="68"/>
      <c r="F464" s="79">
        <v>20.5</v>
      </c>
      <c r="G464" s="80"/>
      <c r="H464" s="71">
        <v>16.7</v>
      </c>
      <c r="I464" s="71">
        <v>0</v>
      </c>
      <c r="J464" s="71">
        <v>0</v>
      </c>
      <c r="M464"/>
      <c r="N464"/>
      <c r="O464"/>
      <c r="P464"/>
      <c r="Q464"/>
      <c r="R464"/>
      <c r="S464"/>
      <c r="T464"/>
      <c r="U464"/>
    </row>
    <row r="465" customFormat="1" ht="27.95" hidden="1" customHeight="1" spans="1:10">
      <c r="A465" s="64"/>
      <c r="B465" s="73" t="s">
        <v>879</v>
      </c>
      <c r="C465" s="66" t="s">
        <v>880</v>
      </c>
      <c r="D465" s="67">
        <v>0.6087</v>
      </c>
      <c r="E465" s="68"/>
      <c r="F465" s="69">
        <v>2.5</v>
      </c>
      <c r="G465" s="70"/>
      <c r="H465" s="71">
        <v>1.4</v>
      </c>
      <c r="I465" s="71">
        <v>0</v>
      </c>
      <c r="J465" s="71">
        <v>0</v>
      </c>
    </row>
    <row r="466" customFormat="1" ht="27.95" hidden="1" customHeight="1" spans="1:10">
      <c r="A466" s="64"/>
      <c r="B466" s="73" t="s">
        <v>881</v>
      </c>
      <c r="C466" s="66" t="s">
        <v>882</v>
      </c>
      <c r="D466" s="67">
        <v>0.913</v>
      </c>
      <c r="E466" s="68"/>
      <c r="F466" s="69">
        <v>3.5</v>
      </c>
      <c r="G466" s="70"/>
      <c r="H466" s="71">
        <v>2.1</v>
      </c>
      <c r="I466" s="71">
        <v>0</v>
      </c>
      <c r="J466" s="71">
        <v>0</v>
      </c>
    </row>
    <row r="467" customFormat="1" ht="27.95" hidden="1" customHeight="1" spans="1:10">
      <c r="A467" s="64"/>
      <c r="B467" s="73" t="s">
        <v>883</v>
      </c>
      <c r="C467" s="66" t="s">
        <v>884</v>
      </c>
      <c r="D467" s="67">
        <v>1.7391</v>
      </c>
      <c r="E467" s="68"/>
      <c r="F467" s="69">
        <v>6.4</v>
      </c>
      <c r="G467" s="70"/>
      <c r="H467" s="71">
        <v>4</v>
      </c>
      <c r="I467" s="71">
        <v>0</v>
      </c>
      <c r="J467" s="71">
        <v>0</v>
      </c>
    </row>
    <row r="468" customFormat="1" ht="27.95" hidden="1" customHeight="1" spans="1:10">
      <c r="A468" s="64"/>
      <c r="B468" s="73" t="s">
        <v>885</v>
      </c>
      <c r="C468" s="66" t="s">
        <v>886</v>
      </c>
      <c r="D468" s="67">
        <v>1.3913</v>
      </c>
      <c r="E468" s="68"/>
      <c r="F468" s="69">
        <v>5</v>
      </c>
      <c r="G468" s="70"/>
      <c r="H468" s="71">
        <v>3.2</v>
      </c>
      <c r="I468" s="71">
        <v>0</v>
      </c>
      <c r="J468" s="71">
        <v>0</v>
      </c>
    </row>
    <row r="469" customFormat="1" ht="27.95" hidden="1" customHeight="1" spans="1:10">
      <c r="A469" s="64"/>
      <c r="B469" s="73" t="s">
        <v>887</v>
      </c>
      <c r="C469" s="66" t="s">
        <v>888</v>
      </c>
      <c r="D469" s="67">
        <v>1.3478</v>
      </c>
      <c r="E469" s="68"/>
      <c r="F469" s="69">
        <v>5</v>
      </c>
      <c r="G469" s="70"/>
      <c r="H469" s="71">
        <v>3.1</v>
      </c>
      <c r="I469" s="71">
        <v>0</v>
      </c>
      <c r="J469" s="71">
        <v>0</v>
      </c>
    </row>
    <row r="470" customFormat="1" ht="27.95" hidden="1" customHeight="1" spans="1:10">
      <c r="A470" s="64"/>
      <c r="B470" s="73" t="s">
        <v>889</v>
      </c>
      <c r="C470" s="66" t="s">
        <v>890</v>
      </c>
      <c r="D470" s="67">
        <v>1.1304</v>
      </c>
      <c r="E470" s="68"/>
      <c r="F470" s="69">
        <v>4.2</v>
      </c>
      <c r="G470" s="70"/>
      <c r="H470" s="71">
        <v>2.6</v>
      </c>
      <c r="I470" s="71">
        <v>0</v>
      </c>
      <c r="J470" s="71">
        <v>0</v>
      </c>
    </row>
    <row r="471" customFormat="1" ht="27.95" hidden="1" customHeight="1" spans="1:10">
      <c r="A471" s="64"/>
      <c r="B471" s="73" t="s">
        <v>891</v>
      </c>
      <c r="C471" s="66" t="s">
        <v>892</v>
      </c>
      <c r="D471" s="67">
        <v>1</v>
      </c>
      <c r="E471" s="68"/>
      <c r="F471" s="69">
        <v>3.6</v>
      </c>
      <c r="G471" s="70"/>
      <c r="H471" s="71">
        <v>2.3</v>
      </c>
      <c r="I471" s="71">
        <v>0</v>
      </c>
      <c r="J471" s="71">
        <v>0</v>
      </c>
    </row>
    <row r="472" customFormat="1" ht="27.95" hidden="1" customHeight="1" spans="1:10">
      <c r="A472" s="64"/>
      <c r="B472" s="73" t="s">
        <v>893</v>
      </c>
      <c r="C472" s="66" t="s">
        <v>894</v>
      </c>
      <c r="D472" s="67">
        <v>1.1304</v>
      </c>
      <c r="E472" s="68"/>
      <c r="F472" s="69">
        <v>4</v>
      </c>
      <c r="G472" s="70"/>
      <c r="H472" s="71">
        <v>2.6</v>
      </c>
      <c r="I472" s="71">
        <v>0</v>
      </c>
      <c r="J472" s="71">
        <v>0</v>
      </c>
    </row>
    <row r="473" customFormat="1" ht="27.95" hidden="1" customHeight="1" spans="1:10">
      <c r="A473" s="64"/>
      <c r="B473" s="73" t="s">
        <v>895</v>
      </c>
      <c r="C473" s="66" t="s">
        <v>896</v>
      </c>
      <c r="D473" s="67">
        <v>1.6957</v>
      </c>
      <c r="E473" s="68"/>
      <c r="F473" s="69">
        <v>6</v>
      </c>
      <c r="G473" s="70"/>
      <c r="H473" s="71">
        <v>3.9</v>
      </c>
      <c r="I473" s="71">
        <v>0</v>
      </c>
      <c r="J473" s="71">
        <v>0</v>
      </c>
    </row>
    <row r="474" customFormat="1" ht="27.95" hidden="1" customHeight="1" spans="1:10">
      <c r="A474" s="64"/>
      <c r="B474" s="73" t="s">
        <v>897</v>
      </c>
      <c r="C474" s="66" t="s">
        <v>898</v>
      </c>
      <c r="D474" s="67">
        <v>1.2174</v>
      </c>
      <c r="E474" s="68"/>
      <c r="F474" s="69">
        <v>4.6</v>
      </c>
      <c r="G474" s="70"/>
      <c r="H474" s="71">
        <v>2.8</v>
      </c>
      <c r="I474" s="71">
        <v>0</v>
      </c>
      <c r="J474" s="71">
        <v>0</v>
      </c>
    </row>
    <row r="475" customFormat="1" ht="27.95" hidden="1" customHeight="1" spans="1:10">
      <c r="A475" s="64"/>
      <c r="B475" s="73" t="s">
        <v>899</v>
      </c>
      <c r="C475" s="66" t="s">
        <v>900</v>
      </c>
      <c r="D475" s="67">
        <v>0.4348</v>
      </c>
      <c r="E475" s="68"/>
      <c r="F475" s="69">
        <v>1.5</v>
      </c>
      <c r="G475" s="70"/>
      <c r="H475" s="71">
        <v>1</v>
      </c>
      <c r="I475" s="71">
        <v>0</v>
      </c>
      <c r="J475" s="71">
        <v>0</v>
      </c>
    </row>
    <row r="476" customFormat="1" ht="27.95" hidden="1" customHeight="1" spans="1:10">
      <c r="A476" s="64"/>
      <c r="B476" s="65">
        <v>6903072302192</v>
      </c>
      <c r="C476" s="66" t="s">
        <v>901</v>
      </c>
      <c r="D476" s="67">
        <v>0.5435</v>
      </c>
      <c r="E476" s="68"/>
      <c r="F476" s="69">
        <v>0</v>
      </c>
      <c r="G476" s="70"/>
      <c r="H476" s="71">
        <v>0</v>
      </c>
      <c r="I476" s="71">
        <v>1.25</v>
      </c>
      <c r="J476" s="71">
        <v>1</v>
      </c>
    </row>
    <row r="477" customFormat="1" ht="27.95" hidden="1" customHeight="1" spans="1:10">
      <c r="A477" s="64"/>
      <c r="B477" s="73" t="s">
        <v>902</v>
      </c>
      <c r="C477" s="66" t="s">
        <v>903</v>
      </c>
      <c r="D477" s="67">
        <v>0.0435</v>
      </c>
      <c r="E477" s="68"/>
      <c r="F477" s="69">
        <v>0.2</v>
      </c>
      <c r="G477" s="70"/>
      <c r="H477" s="71">
        <v>0.1</v>
      </c>
      <c r="I477" s="71">
        <v>0</v>
      </c>
      <c r="J477" s="71">
        <v>0</v>
      </c>
    </row>
    <row r="478" customFormat="1" ht="27.95" hidden="1" customHeight="1" spans="1:10">
      <c r="A478" s="64"/>
      <c r="B478" s="73" t="s">
        <v>904</v>
      </c>
      <c r="C478" s="66" t="s">
        <v>905</v>
      </c>
      <c r="D478" s="67">
        <v>0.0435</v>
      </c>
      <c r="E478" s="68"/>
      <c r="F478" s="69">
        <v>0.2</v>
      </c>
      <c r="G478" s="70"/>
      <c r="H478" s="71">
        <v>0.1</v>
      </c>
      <c r="I478" s="71">
        <v>0</v>
      </c>
      <c r="J478" s="71">
        <v>0</v>
      </c>
    </row>
    <row r="479" customFormat="1" ht="27.95" hidden="1" customHeight="1" spans="1:10">
      <c r="A479" s="64"/>
      <c r="B479" s="73" t="s">
        <v>906</v>
      </c>
      <c r="C479" s="66" t="s">
        <v>907</v>
      </c>
      <c r="D479" s="67">
        <v>0.0435</v>
      </c>
      <c r="E479" s="68"/>
      <c r="F479" s="69">
        <v>0.2</v>
      </c>
      <c r="G479" s="70"/>
      <c r="H479" s="71">
        <v>0.1</v>
      </c>
      <c r="I479" s="71">
        <v>0</v>
      </c>
      <c r="J479" s="71">
        <v>0</v>
      </c>
    </row>
    <row r="480" customFormat="1" ht="27.95" hidden="1" customHeight="1" spans="1:10">
      <c r="A480" s="64"/>
      <c r="B480" s="73" t="s">
        <v>908</v>
      </c>
      <c r="C480" s="66" t="s">
        <v>909</v>
      </c>
      <c r="D480" s="67">
        <v>0.2174</v>
      </c>
      <c r="E480" s="68"/>
      <c r="F480" s="69">
        <v>1</v>
      </c>
      <c r="G480" s="70"/>
      <c r="H480" s="71">
        <v>0.5</v>
      </c>
      <c r="I480" s="71">
        <v>0</v>
      </c>
      <c r="J480" s="71">
        <v>0</v>
      </c>
    </row>
    <row r="481" customFormat="1" ht="27.95" hidden="1" customHeight="1" spans="1:10">
      <c r="A481" s="64"/>
      <c r="B481" s="73" t="s">
        <v>910</v>
      </c>
      <c r="C481" s="66" t="s">
        <v>911</v>
      </c>
      <c r="D481" s="67">
        <v>0.9565</v>
      </c>
      <c r="E481" s="68"/>
      <c r="F481" s="69">
        <v>3.4</v>
      </c>
      <c r="G481" s="70"/>
      <c r="H481" s="71">
        <v>2.2</v>
      </c>
      <c r="I481" s="71">
        <v>0</v>
      </c>
      <c r="J481" s="71">
        <v>0</v>
      </c>
    </row>
    <row r="482" customFormat="1" ht="27.95" hidden="1" customHeight="1" spans="1:10">
      <c r="A482" s="64"/>
      <c r="B482" s="73" t="s">
        <v>912</v>
      </c>
      <c r="C482" s="66" t="s">
        <v>913</v>
      </c>
      <c r="D482" s="67">
        <v>2.6087</v>
      </c>
      <c r="E482" s="68"/>
      <c r="F482" s="79">
        <v>12</v>
      </c>
      <c r="G482" s="80"/>
      <c r="H482" s="71">
        <v>6</v>
      </c>
      <c r="I482" s="71">
        <v>0</v>
      </c>
      <c r="J482" s="71">
        <v>0</v>
      </c>
    </row>
    <row r="483" customFormat="1" ht="27.95" hidden="1" customHeight="1" spans="1:10">
      <c r="A483" s="74"/>
      <c r="B483" s="65">
        <v>6950943200859</v>
      </c>
      <c r="C483" s="66" t="s">
        <v>914</v>
      </c>
      <c r="D483" s="67">
        <v>0.087</v>
      </c>
      <c r="E483" s="68"/>
      <c r="F483" s="69">
        <v>0.5</v>
      </c>
      <c r="G483" s="70"/>
      <c r="H483" s="71">
        <v>0.2</v>
      </c>
      <c r="I483" s="71">
        <v>0</v>
      </c>
      <c r="J483" s="71">
        <v>0</v>
      </c>
    </row>
    <row r="484" customFormat="1" ht="27.95" hidden="1" customHeight="1" spans="1:10">
      <c r="A484" s="75"/>
      <c r="B484" s="73" t="s">
        <v>915</v>
      </c>
      <c r="C484" s="66" t="s">
        <v>914</v>
      </c>
      <c r="D484" s="67">
        <v>0.087</v>
      </c>
      <c r="E484" s="68"/>
      <c r="F484" s="69">
        <v>0.3</v>
      </c>
      <c r="G484" s="70"/>
      <c r="H484" s="71">
        <v>0.2</v>
      </c>
      <c r="I484" s="71">
        <v>0</v>
      </c>
      <c r="J484" s="71">
        <v>0</v>
      </c>
    </row>
    <row r="485" customFormat="1" ht="27.95" hidden="1" customHeight="1" spans="1:10">
      <c r="A485" s="64"/>
      <c r="B485" s="73" t="s">
        <v>916</v>
      </c>
      <c r="C485" s="66" t="s">
        <v>917</v>
      </c>
      <c r="D485" s="67">
        <v>0.087</v>
      </c>
      <c r="E485" s="68"/>
      <c r="F485" s="69">
        <v>0.3</v>
      </c>
      <c r="G485" s="70"/>
      <c r="H485" s="71">
        <v>0.2</v>
      </c>
      <c r="I485" s="71">
        <v>0</v>
      </c>
      <c r="J485" s="71">
        <v>0</v>
      </c>
    </row>
    <row r="486" customFormat="1" ht="27.95" hidden="1" customHeight="1" spans="1:10">
      <c r="A486" s="64"/>
      <c r="B486" s="73" t="s">
        <v>918</v>
      </c>
      <c r="C486" s="66" t="s">
        <v>919</v>
      </c>
      <c r="D486" s="67">
        <v>0.7826</v>
      </c>
      <c r="E486" s="68"/>
      <c r="F486" s="69">
        <v>2.9</v>
      </c>
      <c r="G486" s="70"/>
      <c r="H486" s="71">
        <v>1.8</v>
      </c>
      <c r="I486" s="71">
        <v>0</v>
      </c>
      <c r="J486" s="71">
        <v>0</v>
      </c>
    </row>
    <row r="487" customFormat="1" ht="27.95" hidden="1" customHeight="1" spans="1:10">
      <c r="A487" s="64"/>
      <c r="B487" s="73" t="s">
        <v>920</v>
      </c>
      <c r="C487" s="66" t="s">
        <v>921</v>
      </c>
      <c r="D487" s="67">
        <v>0.8696</v>
      </c>
      <c r="E487" s="68"/>
      <c r="F487" s="69">
        <v>3.2</v>
      </c>
      <c r="G487" s="70"/>
      <c r="H487" s="71">
        <v>2</v>
      </c>
      <c r="I487" s="71">
        <v>0</v>
      </c>
      <c r="J487" s="71">
        <v>0</v>
      </c>
    </row>
    <row r="488" customFormat="1" ht="27.95" hidden="1" customHeight="1" spans="1:10">
      <c r="A488" s="64"/>
      <c r="B488" s="73" t="s">
        <v>922</v>
      </c>
      <c r="C488" s="66" t="s">
        <v>923</v>
      </c>
      <c r="D488" s="67">
        <v>1.0435</v>
      </c>
      <c r="E488" s="68"/>
      <c r="F488" s="69">
        <v>3.8</v>
      </c>
      <c r="G488" s="70"/>
      <c r="H488" s="71">
        <v>2.4</v>
      </c>
      <c r="I488" s="71">
        <v>0</v>
      </c>
      <c r="J488" s="71">
        <v>0</v>
      </c>
    </row>
    <row r="489" customFormat="1" ht="27.95" hidden="1" customHeight="1" spans="1:10">
      <c r="A489" s="64"/>
      <c r="B489" s="73" t="s">
        <v>924</v>
      </c>
      <c r="C489" s="66" t="s">
        <v>925</v>
      </c>
      <c r="D489" s="67">
        <v>3.087</v>
      </c>
      <c r="E489" s="68"/>
      <c r="F489" s="79">
        <v>11.4</v>
      </c>
      <c r="G489" s="80"/>
      <c r="H489" s="71">
        <v>7.1</v>
      </c>
      <c r="I489" s="71">
        <v>0</v>
      </c>
      <c r="J489" s="71">
        <v>0</v>
      </c>
    </row>
    <row r="490" customFormat="1" ht="27.95" hidden="1" customHeight="1" spans="1:10">
      <c r="A490" s="64"/>
      <c r="B490" s="73" t="s">
        <v>926</v>
      </c>
      <c r="C490" s="66" t="s">
        <v>927</v>
      </c>
      <c r="D490" s="67">
        <v>0.3913</v>
      </c>
      <c r="E490" s="68"/>
      <c r="F490" s="69">
        <v>1.4</v>
      </c>
      <c r="G490" s="70"/>
      <c r="H490" s="71">
        <v>0.9</v>
      </c>
      <c r="I490" s="71">
        <v>0</v>
      </c>
      <c r="J490" s="71">
        <v>0</v>
      </c>
    </row>
    <row r="491" customFormat="1" ht="27.95" hidden="1" customHeight="1" spans="1:10">
      <c r="A491" s="64"/>
      <c r="B491" s="73" t="s">
        <v>928</v>
      </c>
      <c r="C491" s="66" t="s">
        <v>929</v>
      </c>
      <c r="D491" s="82">
        <v>45.6522</v>
      </c>
      <c r="E491" s="83"/>
      <c r="F491" s="79">
        <v>168</v>
      </c>
      <c r="G491" s="80"/>
      <c r="H491" s="71">
        <v>105</v>
      </c>
      <c r="I491" s="71">
        <v>0</v>
      </c>
      <c r="J491" s="71">
        <v>0</v>
      </c>
    </row>
    <row r="492" customFormat="1" ht="27.95" hidden="1" customHeight="1" spans="1:10">
      <c r="A492" s="64"/>
      <c r="B492" s="73" t="s">
        <v>930</v>
      </c>
      <c r="C492" s="66" t="s">
        <v>931</v>
      </c>
      <c r="D492" s="67">
        <v>0.4783</v>
      </c>
      <c r="E492" s="68"/>
      <c r="F492" s="69">
        <v>1.8</v>
      </c>
      <c r="G492" s="70"/>
      <c r="H492" s="71">
        <v>1.1</v>
      </c>
      <c r="I492" s="71">
        <v>0</v>
      </c>
      <c r="J492" s="71">
        <v>0</v>
      </c>
    </row>
    <row r="493" customFormat="1" ht="27.95" hidden="1" customHeight="1" spans="1:10">
      <c r="A493" s="64"/>
      <c r="B493" s="73" t="s">
        <v>932</v>
      </c>
      <c r="C493" s="66" t="s">
        <v>933</v>
      </c>
      <c r="D493" s="67">
        <v>0.3043</v>
      </c>
      <c r="E493" s="68"/>
      <c r="F493" s="69">
        <v>1</v>
      </c>
      <c r="G493" s="70"/>
      <c r="H493" s="71">
        <v>0.6</v>
      </c>
      <c r="I493" s="71">
        <v>0</v>
      </c>
      <c r="J493" s="71">
        <v>0</v>
      </c>
    </row>
    <row r="494" customFormat="1" ht="27.95" hidden="1" customHeight="1" spans="1:10">
      <c r="A494" s="64"/>
      <c r="B494" s="73" t="s">
        <v>934</v>
      </c>
      <c r="C494" s="66" t="s">
        <v>935</v>
      </c>
      <c r="D494" s="67">
        <v>1.4348</v>
      </c>
      <c r="E494" s="68"/>
      <c r="F494" s="69">
        <v>5.3</v>
      </c>
      <c r="G494" s="70"/>
      <c r="H494" s="71">
        <v>3.3</v>
      </c>
      <c r="I494" s="71">
        <v>0</v>
      </c>
      <c r="J494" s="71">
        <v>0</v>
      </c>
    </row>
    <row r="495" customFormat="1" ht="27.95" hidden="1" customHeight="1" spans="1:10">
      <c r="A495" s="64"/>
      <c r="B495" s="73" t="s">
        <v>936</v>
      </c>
      <c r="C495" s="66" t="s">
        <v>937</v>
      </c>
      <c r="D495" s="67">
        <v>2.4348</v>
      </c>
      <c r="E495" s="68"/>
      <c r="F495" s="69">
        <v>9.5</v>
      </c>
      <c r="G495" s="70"/>
      <c r="H495" s="71">
        <v>5.6</v>
      </c>
      <c r="I495" s="71">
        <v>0</v>
      </c>
      <c r="J495" s="71">
        <v>0</v>
      </c>
    </row>
    <row r="496" customFormat="1" ht="27.95" hidden="1" customHeight="1" spans="1:10">
      <c r="A496" s="64"/>
      <c r="B496" s="73" t="s">
        <v>938</v>
      </c>
      <c r="C496" s="66" t="s">
        <v>939</v>
      </c>
      <c r="D496" s="67">
        <v>3.3478</v>
      </c>
      <c r="E496" s="68"/>
      <c r="F496" s="79">
        <v>12.5</v>
      </c>
      <c r="G496" s="80"/>
      <c r="H496" s="71">
        <v>7.7</v>
      </c>
      <c r="I496" s="71">
        <v>0</v>
      </c>
      <c r="J496" s="71">
        <v>0</v>
      </c>
    </row>
    <row r="497" customFormat="1" ht="27.95" hidden="1" customHeight="1" spans="1:10">
      <c r="A497" s="64"/>
      <c r="B497" s="73" t="s">
        <v>940</v>
      </c>
      <c r="C497" s="66" t="s">
        <v>941</v>
      </c>
      <c r="D497" s="67">
        <v>5.5652</v>
      </c>
      <c r="E497" s="68"/>
      <c r="F497" s="79">
        <v>13</v>
      </c>
      <c r="G497" s="80"/>
      <c r="H497" s="71">
        <v>12.8</v>
      </c>
      <c r="I497" s="71">
        <v>0</v>
      </c>
      <c r="J497" s="71">
        <v>0</v>
      </c>
    </row>
    <row r="498" customFormat="1" ht="27.95" hidden="1" customHeight="1" spans="1:10">
      <c r="A498" s="64"/>
      <c r="B498" s="73" t="s">
        <v>942</v>
      </c>
      <c r="C498" s="66" t="s">
        <v>943</v>
      </c>
      <c r="D498" s="67">
        <v>0.0435</v>
      </c>
      <c r="E498" s="68"/>
      <c r="F498" s="69">
        <v>0.25</v>
      </c>
      <c r="G498" s="70"/>
      <c r="H498" s="71">
        <v>0.1</v>
      </c>
      <c r="I498" s="71">
        <v>0</v>
      </c>
      <c r="J498" s="71">
        <v>0</v>
      </c>
    </row>
    <row r="499" customFormat="1" ht="27.95" hidden="1" customHeight="1" spans="1:10">
      <c r="A499" s="64"/>
      <c r="B499" s="73" t="s">
        <v>944</v>
      </c>
      <c r="C499" s="66" t="s">
        <v>945</v>
      </c>
      <c r="D499" s="67">
        <v>0.1304</v>
      </c>
      <c r="E499" s="68"/>
      <c r="F499" s="69">
        <v>0.5</v>
      </c>
      <c r="G499" s="70"/>
      <c r="H499" s="71">
        <v>0.3</v>
      </c>
      <c r="I499" s="71">
        <v>0</v>
      </c>
      <c r="J499" s="71">
        <v>0</v>
      </c>
    </row>
    <row r="500" customFormat="1" ht="27.95" hidden="1" customHeight="1" spans="1:10">
      <c r="A500" s="64"/>
      <c r="B500" s="73" t="s">
        <v>946</v>
      </c>
      <c r="C500" s="66" t="s">
        <v>947</v>
      </c>
      <c r="D500" s="67">
        <v>0.0435</v>
      </c>
      <c r="E500" s="68"/>
      <c r="F500" s="69">
        <v>0.25</v>
      </c>
      <c r="G500" s="70"/>
      <c r="H500" s="71">
        <v>0.1</v>
      </c>
      <c r="I500" s="71">
        <v>0</v>
      </c>
      <c r="J500" s="71">
        <v>0</v>
      </c>
    </row>
    <row r="501" customFormat="1" ht="27.95" hidden="1" customHeight="1" spans="1:10">
      <c r="A501" s="64"/>
      <c r="B501" s="73" t="s">
        <v>948</v>
      </c>
      <c r="C501" s="66" t="s">
        <v>949</v>
      </c>
      <c r="D501" s="67">
        <v>0.0435</v>
      </c>
      <c r="E501" s="68"/>
      <c r="F501" s="69">
        <v>0.25</v>
      </c>
      <c r="G501" s="70"/>
      <c r="H501" s="71">
        <v>0.1</v>
      </c>
      <c r="I501" s="71">
        <v>0</v>
      </c>
      <c r="J501" s="71">
        <v>0</v>
      </c>
    </row>
    <row r="502" customFormat="1" ht="27.95" hidden="1" customHeight="1" spans="1:10">
      <c r="A502" s="64"/>
      <c r="B502" s="73" t="s">
        <v>950</v>
      </c>
      <c r="C502" s="66" t="s">
        <v>951</v>
      </c>
      <c r="D502" s="67">
        <v>0.0435</v>
      </c>
      <c r="E502" s="68"/>
      <c r="F502" s="69">
        <v>0.25</v>
      </c>
      <c r="G502" s="70"/>
      <c r="H502" s="71">
        <v>0.1</v>
      </c>
      <c r="I502" s="71">
        <v>0</v>
      </c>
      <c r="J502" s="71">
        <v>0</v>
      </c>
    </row>
    <row r="503" customFormat="1" ht="27.95" hidden="1" customHeight="1" spans="1:10">
      <c r="A503" s="64"/>
      <c r="B503" s="73" t="s">
        <v>952</v>
      </c>
      <c r="C503" s="66" t="s">
        <v>953</v>
      </c>
      <c r="D503" s="67">
        <v>0.0435</v>
      </c>
      <c r="E503" s="68"/>
      <c r="F503" s="69">
        <v>0.25</v>
      </c>
      <c r="G503" s="70"/>
      <c r="H503" s="71">
        <v>0.1</v>
      </c>
      <c r="I503" s="71">
        <v>0</v>
      </c>
      <c r="J503" s="71">
        <v>0</v>
      </c>
    </row>
    <row r="504" customFormat="1" ht="27.95" hidden="1" customHeight="1" spans="1:10">
      <c r="A504" s="64"/>
      <c r="B504" s="73" t="s">
        <v>954</v>
      </c>
      <c r="C504" s="66" t="s">
        <v>955</v>
      </c>
      <c r="D504" s="67">
        <v>0.0435</v>
      </c>
      <c r="E504" s="68"/>
      <c r="F504" s="69">
        <v>0.25</v>
      </c>
      <c r="G504" s="70"/>
      <c r="H504" s="71">
        <v>0.1</v>
      </c>
      <c r="I504" s="71">
        <v>0</v>
      </c>
      <c r="J504" s="71">
        <v>0</v>
      </c>
    </row>
    <row r="505" customFormat="1" ht="27.95" hidden="1" customHeight="1" spans="1:10">
      <c r="A505" s="64"/>
      <c r="B505" s="73" t="s">
        <v>956</v>
      </c>
      <c r="C505" s="66" t="s">
        <v>957</v>
      </c>
      <c r="D505" s="67">
        <v>0.0435</v>
      </c>
      <c r="E505" s="68"/>
      <c r="F505" s="69">
        <v>0.2</v>
      </c>
      <c r="G505" s="70"/>
      <c r="H505" s="71">
        <v>0.1</v>
      </c>
      <c r="I505" s="71">
        <v>0</v>
      </c>
      <c r="J505" s="71">
        <v>0</v>
      </c>
    </row>
    <row r="506" customFormat="1" ht="27.95" hidden="1" customHeight="1" spans="1:10">
      <c r="A506" s="64"/>
      <c r="B506" s="73" t="s">
        <v>958</v>
      </c>
      <c r="C506" s="66" t="s">
        <v>959</v>
      </c>
      <c r="D506" s="67">
        <v>0.087</v>
      </c>
      <c r="E506" s="68"/>
      <c r="F506" s="69">
        <v>0.3</v>
      </c>
      <c r="G506" s="70"/>
      <c r="H506" s="71">
        <v>0.2</v>
      </c>
      <c r="I506" s="71">
        <v>0</v>
      </c>
      <c r="J506" s="71">
        <v>0</v>
      </c>
    </row>
    <row r="507" customFormat="1" ht="27.95" hidden="1" customHeight="1" spans="1:10">
      <c r="A507" s="64"/>
      <c r="B507" s="73" t="s">
        <v>960</v>
      </c>
      <c r="C507" s="66" t="s">
        <v>961</v>
      </c>
      <c r="D507" s="67">
        <v>0.0435</v>
      </c>
      <c r="E507" s="68"/>
      <c r="F507" s="69">
        <v>0.25</v>
      </c>
      <c r="G507" s="70"/>
      <c r="H507" s="71">
        <v>0.1</v>
      </c>
      <c r="I507" s="71">
        <v>0</v>
      </c>
      <c r="J507" s="71">
        <v>0</v>
      </c>
    </row>
    <row r="508" customFormat="1" ht="27.95" hidden="1" customHeight="1" spans="1:10">
      <c r="A508" s="64"/>
      <c r="B508" s="65">
        <v>6972513826511</v>
      </c>
      <c r="C508" s="66" t="s">
        <v>962</v>
      </c>
      <c r="D508" s="67">
        <v>0.1087</v>
      </c>
      <c r="E508" s="68"/>
      <c r="F508" s="69">
        <v>0.5</v>
      </c>
      <c r="G508" s="70"/>
      <c r="H508" s="71">
        <v>0.25</v>
      </c>
      <c r="I508" s="71">
        <v>0</v>
      </c>
      <c r="J508" s="71">
        <v>0</v>
      </c>
    </row>
    <row r="509" customFormat="1" ht="27.95" hidden="1" customHeight="1" spans="1:10">
      <c r="A509" s="64"/>
      <c r="B509" s="73" t="s">
        <v>963</v>
      </c>
      <c r="C509" s="66" t="s">
        <v>964</v>
      </c>
      <c r="D509" s="67">
        <v>0.1739</v>
      </c>
      <c r="E509" s="68"/>
      <c r="F509" s="69">
        <v>0.5</v>
      </c>
      <c r="G509" s="70"/>
      <c r="H509" s="71">
        <v>0.4</v>
      </c>
      <c r="I509" s="71">
        <v>0</v>
      </c>
      <c r="J509" s="71">
        <v>0</v>
      </c>
    </row>
    <row r="510" customFormat="1" ht="27.75" hidden="1" customHeight="1" spans="1:10">
      <c r="A510" s="64"/>
      <c r="B510" s="73" t="s">
        <v>965</v>
      </c>
      <c r="C510" s="66" t="s">
        <v>966</v>
      </c>
      <c r="D510" s="67">
        <v>0.1739</v>
      </c>
      <c r="E510" s="68"/>
      <c r="F510" s="69">
        <v>0.7</v>
      </c>
      <c r="G510" s="70"/>
      <c r="H510" s="71">
        <v>0.4</v>
      </c>
      <c r="I510" s="71">
        <v>0</v>
      </c>
      <c r="J510" s="71">
        <v>0</v>
      </c>
    </row>
    <row r="511" customFormat="1" ht="27.95" hidden="1" customHeight="1" spans="1:10">
      <c r="A511" s="64"/>
      <c r="B511" s="73" t="s">
        <v>967</v>
      </c>
      <c r="C511" s="66" t="s">
        <v>968</v>
      </c>
      <c r="D511" s="67">
        <v>0.1739</v>
      </c>
      <c r="E511" s="68"/>
      <c r="F511" s="69">
        <v>0.7</v>
      </c>
      <c r="G511" s="70"/>
      <c r="H511" s="71">
        <v>0.4</v>
      </c>
      <c r="I511" s="71">
        <v>0</v>
      </c>
      <c r="J511" s="71">
        <v>0</v>
      </c>
    </row>
    <row r="512" customFormat="1" ht="27.95" hidden="1" customHeight="1" spans="1:10">
      <c r="A512" s="64"/>
      <c r="B512" s="73" t="s">
        <v>969</v>
      </c>
      <c r="C512" s="66" t="s">
        <v>970</v>
      </c>
      <c r="D512" s="67">
        <v>0.1304</v>
      </c>
      <c r="E512" s="68"/>
      <c r="F512" s="69">
        <v>0.5</v>
      </c>
      <c r="G512" s="70"/>
      <c r="H512" s="71">
        <v>0.3</v>
      </c>
      <c r="I512" s="71">
        <v>0</v>
      </c>
      <c r="J512" s="71">
        <v>0</v>
      </c>
    </row>
    <row r="513" customFormat="1" ht="27.95" hidden="1" customHeight="1" spans="1:10">
      <c r="A513" s="64"/>
      <c r="B513" s="73" t="s">
        <v>971</v>
      </c>
      <c r="C513" s="66" t="s">
        <v>972</v>
      </c>
      <c r="D513" s="67">
        <v>0.2174</v>
      </c>
      <c r="E513" s="68"/>
      <c r="F513" s="69">
        <v>1</v>
      </c>
      <c r="G513" s="70"/>
      <c r="H513" s="71">
        <v>0.5</v>
      </c>
      <c r="I513" s="71">
        <v>0</v>
      </c>
      <c r="J513" s="71">
        <v>0</v>
      </c>
    </row>
    <row r="514" customFormat="1" ht="27.95" hidden="1" customHeight="1" spans="1:10">
      <c r="A514" s="74"/>
      <c r="B514" s="73" t="s">
        <v>973</v>
      </c>
      <c r="C514" s="66" t="s">
        <v>974</v>
      </c>
      <c r="D514" s="67">
        <v>0.087</v>
      </c>
      <c r="E514" s="68"/>
      <c r="F514" s="69">
        <v>0.4</v>
      </c>
      <c r="G514" s="70"/>
      <c r="H514" s="71">
        <v>0.2</v>
      </c>
      <c r="I514" s="71">
        <v>0</v>
      </c>
      <c r="J514" s="71">
        <v>0</v>
      </c>
    </row>
    <row r="515" customFormat="1" ht="27.95" hidden="1" customHeight="1" spans="1:10">
      <c r="A515" s="75"/>
      <c r="B515" s="73" t="s">
        <v>975</v>
      </c>
      <c r="C515" s="66" t="s">
        <v>974</v>
      </c>
      <c r="D515" s="67">
        <v>0.1304</v>
      </c>
      <c r="E515" s="68"/>
      <c r="F515" s="69">
        <v>0.4</v>
      </c>
      <c r="G515" s="70"/>
      <c r="H515" s="71">
        <v>0.3</v>
      </c>
      <c r="I515" s="71">
        <v>0</v>
      </c>
      <c r="J515" s="71">
        <v>0</v>
      </c>
    </row>
    <row r="516" customFormat="1" ht="27.95" hidden="1" customHeight="1" spans="1:10">
      <c r="A516" s="64"/>
      <c r="B516" s="73" t="s">
        <v>976</v>
      </c>
      <c r="C516" s="66" t="s">
        <v>977</v>
      </c>
      <c r="D516" s="67">
        <v>0.2174</v>
      </c>
      <c r="E516" s="68"/>
      <c r="F516" s="69">
        <v>0.8</v>
      </c>
      <c r="G516" s="70"/>
      <c r="H516" s="71">
        <v>0.5</v>
      </c>
      <c r="I516" s="71">
        <v>0</v>
      </c>
      <c r="J516" s="71">
        <v>0</v>
      </c>
    </row>
    <row r="517" customFormat="1" ht="27.95" hidden="1" customHeight="1" spans="1:10">
      <c r="A517" s="64"/>
      <c r="B517" s="73" t="s">
        <v>978</v>
      </c>
      <c r="C517" s="66" t="s">
        <v>979</v>
      </c>
      <c r="D517" s="67">
        <v>0.1304</v>
      </c>
      <c r="E517" s="68"/>
      <c r="F517" s="69">
        <v>0.5</v>
      </c>
      <c r="G517" s="70"/>
      <c r="H517" s="71">
        <v>0.3</v>
      </c>
      <c r="I517" s="71">
        <v>0</v>
      </c>
      <c r="J517" s="71">
        <v>0</v>
      </c>
    </row>
    <row r="518" customFormat="1" ht="27.95" hidden="1" customHeight="1" spans="1:10">
      <c r="A518" s="64"/>
      <c r="B518" s="73" t="s">
        <v>980</v>
      </c>
      <c r="C518" s="66" t="s">
        <v>981</v>
      </c>
      <c r="D518" s="67">
        <v>0.2174</v>
      </c>
      <c r="E518" s="68"/>
      <c r="F518" s="69">
        <v>1</v>
      </c>
      <c r="G518" s="70"/>
      <c r="H518" s="71">
        <v>0.5</v>
      </c>
      <c r="I518" s="71">
        <v>0</v>
      </c>
      <c r="J518" s="71">
        <v>0</v>
      </c>
    </row>
    <row r="519" customFormat="1" ht="27.95" hidden="1" customHeight="1" spans="1:10">
      <c r="A519" s="64"/>
      <c r="B519" s="73" t="s">
        <v>982</v>
      </c>
      <c r="C519" s="66" t="s">
        <v>983</v>
      </c>
      <c r="D519" s="67">
        <v>0.2609</v>
      </c>
      <c r="E519" s="68"/>
      <c r="F519" s="69">
        <v>0.9</v>
      </c>
      <c r="G519" s="70"/>
      <c r="H519" s="71">
        <v>0.6</v>
      </c>
      <c r="I519" s="71">
        <v>0</v>
      </c>
      <c r="J519" s="71">
        <v>0</v>
      </c>
    </row>
    <row r="520" customFormat="1" ht="27.95" hidden="1" customHeight="1" spans="1:10">
      <c r="A520" s="64"/>
      <c r="B520" s="73" t="s">
        <v>984</v>
      </c>
      <c r="C520" s="66" t="s">
        <v>985</v>
      </c>
      <c r="D520" s="67">
        <v>0.2609</v>
      </c>
      <c r="E520" s="68"/>
      <c r="F520" s="69">
        <v>0.9</v>
      </c>
      <c r="G520" s="70"/>
      <c r="H520" s="71">
        <v>0.6</v>
      </c>
      <c r="I520" s="71">
        <v>0</v>
      </c>
      <c r="J520" s="71">
        <v>0</v>
      </c>
    </row>
    <row r="521" customFormat="1" ht="27.95" hidden="1" customHeight="1" spans="1:10">
      <c r="A521" s="64"/>
      <c r="B521" s="73" t="s">
        <v>986</v>
      </c>
      <c r="C521" s="66" t="s">
        <v>987</v>
      </c>
      <c r="D521" s="67">
        <v>0.2174</v>
      </c>
      <c r="E521" s="68"/>
      <c r="F521" s="69">
        <v>0.7</v>
      </c>
      <c r="G521" s="70"/>
      <c r="H521" s="71">
        <v>0.5</v>
      </c>
      <c r="I521" s="71">
        <v>0</v>
      </c>
      <c r="J521" s="71">
        <v>0</v>
      </c>
    </row>
    <row r="522" customFormat="1" ht="27.95" hidden="1" customHeight="1" spans="1:10">
      <c r="A522" s="64"/>
      <c r="B522" s="73" t="s">
        <v>988</v>
      </c>
      <c r="C522" s="66" t="s">
        <v>989</v>
      </c>
      <c r="D522" s="67">
        <v>0.2174</v>
      </c>
      <c r="E522" s="68"/>
      <c r="F522" s="69">
        <v>1</v>
      </c>
      <c r="G522" s="70"/>
      <c r="H522" s="71">
        <v>0.5</v>
      </c>
      <c r="I522" s="71">
        <v>0</v>
      </c>
      <c r="J522" s="71">
        <v>0</v>
      </c>
    </row>
    <row r="523" customFormat="1" ht="27.95" hidden="1" customHeight="1" spans="1:10">
      <c r="A523" s="64"/>
      <c r="B523" s="73" t="s">
        <v>990</v>
      </c>
      <c r="C523" s="66" t="s">
        <v>991</v>
      </c>
      <c r="D523" s="67">
        <v>0.1739</v>
      </c>
      <c r="E523" s="68"/>
      <c r="F523" s="69">
        <v>0.7</v>
      </c>
      <c r="G523" s="70"/>
      <c r="H523" s="71">
        <v>0.4</v>
      </c>
      <c r="I523" s="71">
        <v>0</v>
      </c>
      <c r="J523" s="71">
        <v>0</v>
      </c>
    </row>
    <row r="524" customFormat="1" ht="27.95" hidden="1" customHeight="1" spans="1:10">
      <c r="A524" s="64"/>
      <c r="B524" s="73" t="s">
        <v>992</v>
      </c>
      <c r="C524" s="66" t="s">
        <v>993</v>
      </c>
      <c r="D524" s="67">
        <v>0.2174</v>
      </c>
      <c r="E524" s="68"/>
      <c r="F524" s="69">
        <v>0.8</v>
      </c>
      <c r="G524" s="70"/>
      <c r="H524" s="71">
        <v>0.5</v>
      </c>
      <c r="I524" s="71">
        <v>0</v>
      </c>
      <c r="J524" s="71">
        <v>0</v>
      </c>
    </row>
    <row r="525" customFormat="1" ht="27.95" hidden="1" customHeight="1" spans="1:10">
      <c r="A525" s="64"/>
      <c r="B525" s="73" t="s">
        <v>994</v>
      </c>
      <c r="C525" s="66" t="s">
        <v>995</v>
      </c>
      <c r="D525" s="67">
        <v>0.2174</v>
      </c>
      <c r="E525" s="68"/>
      <c r="F525" s="69">
        <v>1</v>
      </c>
      <c r="G525" s="70"/>
      <c r="H525" s="71">
        <v>0.5</v>
      </c>
      <c r="I525" s="71">
        <v>0</v>
      </c>
      <c r="J525" s="71">
        <v>0</v>
      </c>
    </row>
    <row r="526" customFormat="1" ht="27.95" hidden="1" customHeight="1" spans="1:10">
      <c r="A526" s="64"/>
      <c r="B526" s="73" t="s">
        <v>996</v>
      </c>
      <c r="C526" s="66" t="s">
        <v>997</v>
      </c>
      <c r="D526" s="67">
        <v>0.2174</v>
      </c>
      <c r="E526" s="68"/>
      <c r="F526" s="69">
        <v>0.9</v>
      </c>
      <c r="G526" s="70"/>
      <c r="H526" s="71">
        <v>0.5</v>
      </c>
      <c r="I526" s="71">
        <v>0</v>
      </c>
      <c r="J526" s="71">
        <v>0</v>
      </c>
    </row>
    <row r="527" customFormat="1" ht="27.95" hidden="1" customHeight="1" spans="1:10">
      <c r="A527" s="64"/>
      <c r="B527" s="73" t="s">
        <v>998</v>
      </c>
      <c r="C527" s="66" t="s">
        <v>999</v>
      </c>
      <c r="D527" s="67">
        <v>0.087</v>
      </c>
      <c r="E527" s="68"/>
      <c r="F527" s="69">
        <v>0.4</v>
      </c>
      <c r="G527" s="70"/>
      <c r="H527" s="71">
        <v>0.2</v>
      </c>
      <c r="I527" s="71">
        <v>0</v>
      </c>
      <c r="J527" s="71">
        <v>0</v>
      </c>
    </row>
    <row r="528" customFormat="1" ht="27.95" hidden="1" customHeight="1" spans="1:10">
      <c r="A528" s="64"/>
      <c r="B528" s="73" t="s">
        <v>1000</v>
      </c>
      <c r="C528" s="66" t="s">
        <v>1001</v>
      </c>
      <c r="D528" s="67">
        <v>0.1739</v>
      </c>
      <c r="E528" s="68"/>
      <c r="F528" s="69">
        <v>0.6</v>
      </c>
      <c r="G528" s="70"/>
      <c r="H528" s="71">
        <v>0.4</v>
      </c>
      <c r="I528" s="71">
        <v>0</v>
      </c>
      <c r="J528" s="71">
        <v>0</v>
      </c>
    </row>
    <row r="529" customFormat="1" ht="27.95" hidden="1" customHeight="1" spans="1:10">
      <c r="A529" s="64"/>
      <c r="B529" s="73" t="s">
        <v>1002</v>
      </c>
      <c r="C529" s="66" t="s">
        <v>1003</v>
      </c>
      <c r="D529" s="67">
        <v>0.2174</v>
      </c>
      <c r="E529" s="68"/>
      <c r="F529" s="69">
        <v>1</v>
      </c>
      <c r="G529" s="70"/>
      <c r="H529" s="71">
        <v>0.5</v>
      </c>
      <c r="I529" s="71">
        <v>0</v>
      </c>
      <c r="J529" s="71">
        <v>0</v>
      </c>
    </row>
    <row r="530" customFormat="1" ht="27.95" hidden="1" customHeight="1" spans="1:10">
      <c r="A530" s="64"/>
      <c r="B530" s="73" t="s">
        <v>1004</v>
      </c>
      <c r="C530" s="66" t="s">
        <v>1005</v>
      </c>
      <c r="D530" s="67">
        <v>0.1739</v>
      </c>
      <c r="E530" s="68"/>
      <c r="F530" s="69">
        <v>1</v>
      </c>
      <c r="G530" s="70"/>
      <c r="H530" s="71">
        <v>0.5</v>
      </c>
      <c r="I530" s="71">
        <v>0</v>
      </c>
      <c r="J530" s="71">
        <v>0</v>
      </c>
    </row>
    <row r="531" customFormat="1" ht="27.95" hidden="1" customHeight="1" spans="1:10">
      <c r="A531" s="64"/>
      <c r="B531" s="73" t="s">
        <v>1006</v>
      </c>
      <c r="C531" s="66" t="s">
        <v>1007</v>
      </c>
      <c r="D531" s="67">
        <v>0.5435</v>
      </c>
      <c r="E531" s="68"/>
      <c r="F531" s="69">
        <v>2.5</v>
      </c>
      <c r="G531" s="70"/>
      <c r="H531" s="71">
        <v>1.25</v>
      </c>
      <c r="I531" s="71">
        <v>0</v>
      </c>
      <c r="J531" s="71">
        <v>0</v>
      </c>
    </row>
    <row r="532" customFormat="1" ht="27.95" hidden="1" customHeight="1" spans="1:10">
      <c r="A532" s="64"/>
      <c r="B532" s="73" t="s">
        <v>1008</v>
      </c>
      <c r="C532" s="66" t="s">
        <v>1009</v>
      </c>
      <c r="D532" s="67">
        <v>0.8696</v>
      </c>
      <c r="E532" s="68"/>
      <c r="F532" s="69">
        <v>2.5</v>
      </c>
      <c r="G532" s="70"/>
      <c r="H532" s="71">
        <v>2</v>
      </c>
      <c r="I532" s="71">
        <v>0</v>
      </c>
      <c r="J532" s="71">
        <v>0</v>
      </c>
    </row>
    <row r="533" customFormat="1" ht="27.95" hidden="1" customHeight="1" spans="1:10">
      <c r="A533" s="64"/>
      <c r="B533" s="73" t="s">
        <v>1010</v>
      </c>
      <c r="C533" s="66" t="s">
        <v>1011</v>
      </c>
      <c r="D533" s="67">
        <v>0.5652</v>
      </c>
      <c r="E533" s="68"/>
      <c r="F533" s="69">
        <v>2.1</v>
      </c>
      <c r="G533" s="70"/>
      <c r="H533" s="71">
        <v>1.3</v>
      </c>
      <c r="I533" s="71">
        <v>0</v>
      </c>
      <c r="J533" s="71">
        <v>0</v>
      </c>
    </row>
    <row r="534" customFormat="1" ht="27.95" hidden="1" customHeight="1" spans="1:10">
      <c r="A534" s="64"/>
      <c r="B534" s="73" t="s">
        <v>1012</v>
      </c>
      <c r="C534" s="66" t="s">
        <v>1013</v>
      </c>
      <c r="D534" s="67">
        <v>1.3043</v>
      </c>
      <c r="E534" s="68"/>
      <c r="F534" s="69">
        <v>0</v>
      </c>
      <c r="G534" s="70"/>
      <c r="H534" s="71">
        <v>0</v>
      </c>
      <c r="I534" s="71">
        <v>3</v>
      </c>
      <c r="J534" s="71">
        <v>2.5</v>
      </c>
    </row>
    <row r="535" customFormat="1" ht="27.95" hidden="1" customHeight="1" spans="1:10">
      <c r="A535" s="64"/>
      <c r="B535" s="73" t="s">
        <v>1014</v>
      </c>
      <c r="C535" s="66" t="s">
        <v>1015</v>
      </c>
      <c r="D535" s="67">
        <v>1.087</v>
      </c>
      <c r="E535" s="68"/>
      <c r="F535" s="69">
        <v>0</v>
      </c>
      <c r="G535" s="70"/>
      <c r="H535" s="71">
        <v>0</v>
      </c>
      <c r="I535" s="71">
        <v>2.5</v>
      </c>
      <c r="J535" s="71">
        <v>2</v>
      </c>
    </row>
    <row r="536" customFormat="1" ht="27.95" hidden="1" customHeight="1" spans="1:10">
      <c r="A536" s="64"/>
      <c r="B536" s="73" t="s">
        <v>1016</v>
      </c>
      <c r="C536" s="66" t="s">
        <v>1017</v>
      </c>
      <c r="D536" s="67">
        <v>0.6522</v>
      </c>
      <c r="E536" s="68"/>
      <c r="F536" s="69">
        <v>1.9</v>
      </c>
      <c r="G536" s="70"/>
      <c r="H536" s="71">
        <v>1.4</v>
      </c>
      <c r="I536" s="71">
        <v>0</v>
      </c>
      <c r="J536" s="71">
        <v>0</v>
      </c>
    </row>
    <row r="537" customFormat="1" ht="27.95" hidden="1" customHeight="1" spans="1:10">
      <c r="A537" s="64"/>
      <c r="B537" s="73" t="s">
        <v>1018</v>
      </c>
      <c r="C537" s="66" t="s">
        <v>1019</v>
      </c>
      <c r="D537" s="67">
        <v>0.3913</v>
      </c>
      <c r="E537" s="68"/>
      <c r="F537" s="69">
        <v>1.5</v>
      </c>
      <c r="G537" s="70"/>
      <c r="H537" s="71">
        <v>0.9</v>
      </c>
      <c r="I537" s="71">
        <v>0</v>
      </c>
      <c r="J537" s="71">
        <v>0</v>
      </c>
    </row>
    <row r="538" customFormat="1" ht="27.95" hidden="1" customHeight="1" spans="1:10">
      <c r="A538" s="64"/>
      <c r="B538" s="73" t="s">
        <v>1020</v>
      </c>
      <c r="C538" s="66" t="s">
        <v>1021</v>
      </c>
      <c r="D538" s="67">
        <v>0.4783</v>
      </c>
      <c r="E538" s="68"/>
      <c r="F538" s="69">
        <v>1.7</v>
      </c>
      <c r="G538" s="70"/>
      <c r="H538" s="71">
        <v>1.1</v>
      </c>
      <c r="I538" s="71">
        <v>0</v>
      </c>
      <c r="J538" s="71">
        <v>0</v>
      </c>
    </row>
    <row r="539" customFormat="1" ht="27.95" hidden="1" customHeight="1" spans="1:10">
      <c r="A539" s="64"/>
      <c r="B539" s="73" t="s">
        <v>1022</v>
      </c>
      <c r="C539" s="66" t="s">
        <v>1023</v>
      </c>
      <c r="D539" s="67">
        <v>0.5217</v>
      </c>
      <c r="E539" s="68"/>
      <c r="F539" s="69">
        <v>1.9</v>
      </c>
      <c r="G539" s="70"/>
      <c r="H539" s="71">
        <v>1.2</v>
      </c>
      <c r="I539" s="71">
        <v>0</v>
      </c>
      <c r="J539" s="71">
        <v>0</v>
      </c>
    </row>
    <row r="540" customFormat="1" ht="27.95" hidden="1" customHeight="1" spans="1:10">
      <c r="A540" s="74"/>
      <c r="B540" s="73" t="s">
        <v>1024</v>
      </c>
      <c r="C540" s="66" t="s">
        <v>1025</v>
      </c>
      <c r="D540" s="67">
        <v>0.4783</v>
      </c>
      <c r="E540" s="68"/>
      <c r="F540" s="69">
        <v>1.8</v>
      </c>
      <c r="G540" s="70"/>
      <c r="H540" s="71">
        <v>1.1</v>
      </c>
      <c r="I540" s="71">
        <v>0</v>
      </c>
      <c r="J540" s="71">
        <v>0</v>
      </c>
    </row>
    <row r="541" customFormat="1" ht="27.95" hidden="1" customHeight="1" spans="1:10">
      <c r="A541" s="75"/>
      <c r="B541" s="73" t="s">
        <v>1026</v>
      </c>
      <c r="C541" s="66" t="s">
        <v>1025</v>
      </c>
      <c r="D541" s="67">
        <v>0.5217</v>
      </c>
      <c r="E541" s="68"/>
      <c r="F541" s="69">
        <v>2</v>
      </c>
      <c r="G541" s="70"/>
      <c r="H541" s="71">
        <v>1.2</v>
      </c>
      <c r="I541" s="71">
        <v>0</v>
      </c>
      <c r="J541" s="71">
        <v>0</v>
      </c>
    </row>
    <row r="542" customFormat="1" ht="27.95" hidden="1" customHeight="1" spans="1:10">
      <c r="A542" s="64"/>
      <c r="B542" s="73" t="s">
        <v>1027</v>
      </c>
      <c r="C542" s="66" t="s">
        <v>1028</v>
      </c>
      <c r="D542" s="67">
        <v>0.5652</v>
      </c>
      <c r="E542" s="68"/>
      <c r="F542" s="69">
        <v>2</v>
      </c>
      <c r="G542" s="70"/>
      <c r="H542" s="71">
        <v>1.3</v>
      </c>
      <c r="I542" s="71">
        <v>0</v>
      </c>
      <c r="J542" s="71">
        <v>0</v>
      </c>
    </row>
    <row r="543" customFormat="1" ht="27.95" hidden="1" customHeight="1" spans="1:10">
      <c r="A543" s="64"/>
      <c r="B543" s="73" t="s">
        <v>1029</v>
      </c>
      <c r="C543" s="66" t="s">
        <v>1030</v>
      </c>
      <c r="D543" s="67">
        <v>0.6087</v>
      </c>
      <c r="E543" s="68"/>
      <c r="F543" s="69">
        <v>2.5</v>
      </c>
      <c r="G543" s="70"/>
      <c r="H543" s="71">
        <v>1.4</v>
      </c>
      <c r="I543" s="71">
        <v>0</v>
      </c>
      <c r="J543" s="71">
        <v>0</v>
      </c>
    </row>
    <row r="544" customFormat="1" ht="27.95" hidden="1" customHeight="1" spans="1:10">
      <c r="A544" s="64"/>
      <c r="B544" s="73" t="s">
        <v>1031</v>
      </c>
      <c r="C544" s="66" t="s">
        <v>1032</v>
      </c>
      <c r="D544" s="67">
        <v>0.5652</v>
      </c>
      <c r="E544" s="68"/>
      <c r="F544" s="69">
        <v>2</v>
      </c>
      <c r="G544" s="70"/>
      <c r="H544" s="71">
        <v>1.3</v>
      </c>
      <c r="I544" s="71">
        <v>0</v>
      </c>
      <c r="J544" s="71">
        <v>0</v>
      </c>
    </row>
    <row r="545" customFormat="1" ht="27.95" hidden="1" customHeight="1" spans="1:10">
      <c r="A545" s="64"/>
      <c r="B545" s="73" t="s">
        <v>1033</v>
      </c>
      <c r="C545" s="66" t="s">
        <v>1034</v>
      </c>
      <c r="D545" s="67">
        <v>0.6522</v>
      </c>
      <c r="E545" s="68"/>
      <c r="F545" s="69">
        <v>2.5</v>
      </c>
      <c r="G545" s="70"/>
      <c r="H545" s="71">
        <v>1.5</v>
      </c>
      <c r="I545" s="71">
        <v>0</v>
      </c>
      <c r="J545" s="71">
        <v>0</v>
      </c>
    </row>
    <row r="546" customFormat="1" ht="27.95" hidden="1" customHeight="1" spans="1:10">
      <c r="A546" s="64"/>
      <c r="B546" s="73" t="s">
        <v>1035</v>
      </c>
      <c r="C546" s="66" t="s">
        <v>1036</v>
      </c>
      <c r="D546" s="67">
        <v>0.6087</v>
      </c>
      <c r="E546" s="68"/>
      <c r="F546" s="69">
        <v>2.5</v>
      </c>
      <c r="G546" s="70"/>
      <c r="H546" s="71">
        <v>1.4</v>
      </c>
      <c r="I546" s="71">
        <v>0</v>
      </c>
      <c r="J546" s="71">
        <v>0</v>
      </c>
    </row>
    <row r="547" customFormat="1" ht="27.95" hidden="1" customHeight="1" spans="1:10">
      <c r="A547" s="74"/>
      <c r="B547" s="73" t="s">
        <v>1037</v>
      </c>
      <c r="C547" s="66" t="s">
        <v>1038</v>
      </c>
      <c r="D547" s="67">
        <v>0.6087</v>
      </c>
      <c r="E547" s="68"/>
      <c r="F547" s="69">
        <v>2.3</v>
      </c>
      <c r="G547" s="70"/>
      <c r="H547" s="71">
        <v>1.4</v>
      </c>
      <c r="I547" s="71">
        <v>0</v>
      </c>
      <c r="J547" s="71">
        <v>0</v>
      </c>
    </row>
    <row r="548" customFormat="1" ht="27.95" hidden="1" customHeight="1" spans="1:10">
      <c r="A548" s="84"/>
      <c r="B548" s="73" t="s">
        <v>1039</v>
      </c>
      <c r="C548" s="66" t="s">
        <v>1038</v>
      </c>
      <c r="D548" s="67">
        <v>0.5217</v>
      </c>
      <c r="E548" s="68"/>
      <c r="F548" s="69">
        <v>1.9</v>
      </c>
      <c r="G548" s="70"/>
      <c r="H548" s="71">
        <v>1.2</v>
      </c>
      <c r="I548" s="71">
        <v>0</v>
      </c>
      <c r="J548" s="71">
        <v>0</v>
      </c>
    </row>
    <row r="549" customFormat="1" ht="27.95" hidden="1" customHeight="1" spans="1:10">
      <c r="A549" s="84"/>
      <c r="B549" s="73" t="s">
        <v>1040</v>
      </c>
      <c r="C549" s="66" t="s">
        <v>1038</v>
      </c>
      <c r="D549" s="67">
        <v>0.4348</v>
      </c>
      <c r="E549" s="68"/>
      <c r="F549" s="69">
        <v>1.6</v>
      </c>
      <c r="G549" s="70"/>
      <c r="H549" s="71">
        <v>1</v>
      </c>
      <c r="I549" s="71">
        <v>0</v>
      </c>
      <c r="J549" s="71">
        <v>0</v>
      </c>
    </row>
    <row r="550" customFormat="1" ht="27.95" hidden="1" customHeight="1" spans="1:10">
      <c r="A550" s="84"/>
      <c r="B550" s="73" t="s">
        <v>1041</v>
      </c>
      <c r="C550" s="66" t="s">
        <v>1038</v>
      </c>
      <c r="D550" s="67">
        <v>0.6087</v>
      </c>
      <c r="E550" s="68"/>
      <c r="F550" s="69">
        <v>2.5</v>
      </c>
      <c r="G550" s="70"/>
      <c r="H550" s="71">
        <v>1.4</v>
      </c>
      <c r="I550" s="71">
        <v>0</v>
      </c>
      <c r="J550" s="71">
        <v>0</v>
      </c>
    </row>
    <row r="551" customFormat="1" ht="27.95" hidden="1" customHeight="1" spans="1:10">
      <c r="A551" s="84"/>
      <c r="B551" s="73" t="s">
        <v>1042</v>
      </c>
      <c r="C551" s="66" t="s">
        <v>1038</v>
      </c>
      <c r="D551" s="67">
        <v>0.5217</v>
      </c>
      <c r="E551" s="68"/>
      <c r="F551" s="69">
        <v>2.5</v>
      </c>
      <c r="G551" s="70"/>
      <c r="H551" s="71">
        <v>1.2</v>
      </c>
      <c r="I551" s="71">
        <v>0</v>
      </c>
      <c r="J551" s="71">
        <v>0</v>
      </c>
    </row>
    <row r="552" customFormat="1" ht="27.95" hidden="1" customHeight="1" spans="1:10">
      <c r="A552" s="84"/>
      <c r="B552" s="73" t="s">
        <v>1043</v>
      </c>
      <c r="C552" s="66" t="s">
        <v>1038</v>
      </c>
      <c r="D552" s="67">
        <v>0.3478</v>
      </c>
      <c r="E552" s="68"/>
      <c r="F552" s="69">
        <v>2.5</v>
      </c>
      <c r="G552" s="70"/>
      <c r="H552" s="71">
        <v>0.8</v>
      </c>
      <c r="I552" s="71">
        <v>0</v>
      </c>
      <c r="J552" s="71">
        <v>0</v>
      </c>
    </row>
    <row r="553" customFormat="1" ht="27.95" hidden="1" customHeight="1" spans="1:10">
      <c r="A553" s="75"/>
      <c r="B553" s="73" t="s">
        <v>1044</v>
      </c>
      <c r="C553" s="66" t="s">
        <v>1038</v>
      </c>
      <c r="D553" s="67">
        <v>0.5652</v>
      </c>
      <c r="E553" s="68"/>
      <c r="F553" s="69">
        <v>2</v>
      </c>
      <c r="G553" s="70"/>
      <c r="H553" s="71">
        <v>1.3</v>
      </c>
      <c r="I553" s="71">
        <v>0</v>
      </c>
      <c r="J553" s="71">
        <v>0</v>
      </c>
    </row>
    <row r="554" customFormat="1" ht="27.95" hidden="1" customHeight="1" spans="1:10">
      <c r="A554" s="64"/>
      <c r="B554" s="73" t="s">
        <v>1045</v>
      </c>
      <c r="C554" s="66" t="s">
        <v>1046</v>
      </c>
      <c r="D554" s="67">
        <v>1.7826</v>
      </c>
      <c r="E554" s="68"/>
      <c r="F554" s="69">
        <v>6</v>
      </c>
      <c r="G554" s="70"/>
      <c r="H554" s="71">
        <v>4.1</v>
      </c>
      <c r="I554" s="71">
        <v>0</v>
      </c>
      <c r="J554" s="71">
        <v>0</v>
      </c>
    </row>
    <row r="555" customFormat="1" ht="27.95" hidden="1" customHeight="1" spans="1:10">
      <c r="A555" s="64"/>
      <c r="B555" s="73" t="s">
        <v>1047</v>
      </c>
      <c r="C555" s="66" t="s">
        <v>1048</v>
      </c>
      <c r="D555" s="67">
        <v>0.6522</v>
      </c>
      <c r="E555" s="68"/>
      <c r="F555" s="69">
        <v>2.4</v>
      </c>
      <c r="G555" s="70"/>
      <c r="H555" s="71">
        <v>1.5</v>
      </c>
      <c r="I555" s="71">
        <v>0</v>
      </c>
      <c r="J555" s="71">
        <v>0</v>
      </c>
    </row>
    <row r="556" customFormat="1" ht="27.95" hidden="1" customHeight="1" spans="1:10">
      <c r="A556" s="64"/>
      <c r="B556" s="73" t="s">
        <v>1049</v>
      </c>
      <c r="C556" s="66" t="s">
        <v>1050</v>
      </c>
      <c r="D556" s="67">
        <v>2.2174</v>
      </c>
      <c r="E556" s="68"/>
      <c r="F556" s="69">
        <v>8.2</v>
      </c>
      <c r="G556" s="70"/>
      <c r="H556" s="71">
        <v>5.1</v>
      </c>
      <c r="I556" s="71">
        <v>0</v>
      </c>
      <c r="J556" s="71">
        <v>0</v>
      </c>
    </row>
    <row r="557" customFormat="1" ht="27.95" hidden="1" customHeight="1" spans="1:10">
      <c r="A557" s="64"/>
      <c r="B557" s="73" t="s">
        <v>1051</v>
      </c>
      <c r="C557" s="66" t="s">
        <v>1052</v>
      </c>
      <c r="D557" s="67">
        <v>2.3913</v>
      </c>
      <c r="E557" s="68"/>
      <c r="F557" s="69">
        <v>8.8</v>
      </c>
      <c r="G557" s="70"/>
      <c r="H557" s="71">
        <v>5.5</v>
      </c>
      <c r="I557" s="71">
        <v>0</v>
      </c>
      <c r="J557" s="71">
        <v>0</v>
      </c>
    </row>
    <row r="558" customFormat="1" ht="12.75" hidden="1" spans="1:10">
      <c r="A558" s="64"/>
      <c r="B558" s="73" t="s">
        <v>1053</v>
      </c>
      <c r="C558" s="66" t="s">
        <v>1054</v>
      </c>
      <c r="D558" s="67">
        <v>0.0435</v>
      </c>
      <c r="E558" s="68"/>
      <c r="F558" s="69">
        <v>0.2</v>
      </c>
      <c r="G558" s="70"/>
      <c r="H558" s="71">
        <v>0.1</v>
      </c>
      <c r="I558" s="71">
        <v>0</v>
      </c>
      <c r="J558" s="71">
        <v>0</v>
      </c>
    </row>
    <row r="559" customFormat="1" ht="12.75" hidden="1" spans="1:10">
      <c r="A559" s="64"/>
      <c r="B559" s="73" t="s">
        <v>1055</v>
      </c>
      <c r="C559" s="66" t="s">
        <v>1056</v>
      </c>
      <c r="D559" s="67">
        <v>0.2174</v>
      </c>
      <c r="E559" s="68"/>
      <c r="F559" s="69">
        <v>1</v>
      </c>
      <c r="G559" s="70"/>
      <c r="H559" s="71">
        <v>0.5</v>
      </c>
      <c r="I559" s="71">
        <v>0</v>
      </c>
      <c r="J559" s="71">
        <v>0</v>
      </c>
    </row>
    <row r="560" customFormat="1" ht="12.75" hidden="1" spans="1:10">
      <c r="A560" s="64"/>
      <c r="B560" s="65">
        <v>6971273966826</v>
      </c>
      <c r="C560" s="66" t="s">
        <v>1057</v>
      </c>
      <c r="D560" s="67">
        <v>0.2174</v>
      </c>
      <c r="E560" s="68"/>
      <c r="F560" s="69">
        <v>0.8</v>
      </c>
      <c r="G560" s="70"/>
      <c r="H560" s="71">
        <v>0.5</v>
      </c>
      <c r="I560" s="71">
        <v>0</v>
      </c>
      <c r="J560" s="71">
        <v>0</v>
      </c>
    </row>
    <row r="561" customFormat="1" ht="12.75" hidden="1" spans="1:10">
      <c r="A561" s="64"/>
      <c r="B561" s="73" t="s">
        <v>1058</v>
      </c>
      <c r="C561" s="66" t="s">
        <v>1059</v>
      </c>
      <c r="D561" s="67">
        <v>0.1739</v>
      </c>
      <c r="E561" s="68"/>
      <c r="F561" s="69">
        <v>0.6</v>
      </c>
      <c r="G561" s="70"/>
      <c r="H561" s="71">
        <v>0.4</v>
      </c>
      <c r="I561" s="71">
        <v>0</v>
      </c>
      <c r="J561" s="71">
        <v>0</v>
      </c>
    </row>
    <row r="562" customFormat="1" ht="12.75" hidden="1" spans="1:10">
      <c r="A562" s="64"/>
      <c r="B562" s="73" t="s">
        <v>1060</v>
      </c>
      <c r="C562" s="66" t="s">
        <v>1061</v>
      </c>
      <c r="D562" s="67">
        <v>0.1304</v>
      </c>
      <c r="E562" s="68"/>
      <c r="F562" s="69">
        <v>0.5</v>
      </c>
      <c r="G562" s="70"/>
      <c r="H562" s="71">
        <v>0.3</v>
      </c>
      <c r="I562" s="71">
        <v>0</v>
      </c>
      <c r="J562" s="71">
        <v>0</v>
      </c>
    </row>
    <row r="563" customFormat="1" ht="12.75" hidden="1" spans="1:10">
      <c r="A563" s="64"/>
      <c r="B563" s="73" t="s">
        <v>1062</v>
      </c>
      <c r="C563" s="66" t="s">
        <v>1063</v>
      </c>
      <c r="D563" s="67">
        <v>0.9565</v>
      </c>
      <c r="E563" s="68"/>
      <c r="F563" s="69">
        <v>4</v>
      </c>
      <c r="G563" s="70"/>
      <c r="H563" s="71">
        <v>2.2</v>
      </c>
      <c r="I563" s="71">
        <v>0</v>
      </c>
      <c r="J563" s="71">
        <v>0</v>
      </c>
    </row>
    <row r="564" customFormat="1" ht="25.5" hidden="1" spans="1:10">
      <c r="A564" s="64"/>
      <c r="B564" s="73" t="s">
        <v>1064</v>
      </c>
      <c r="C564" s="66" t="s">
        <v>1065</v>
      </c>
      <c r="D564" s="67">
        <v>1.087</v>
      </c>
      <c r="E564" s="68"/>
      <c r="F564" s="69">
        <v>5</v>
      </c>
      <c r="G564" s="70"/>
      <c r="H564" s="71">
        <v>2.5</v>
      </c>
      <c r="I564" s="71">
        <v>0</v>
      </c>
      <c r="J564" s="71">
        <v>0</v>
      </c>
    </row>
    <row r="565" customFormat="1" ht="12.75" hidden="1" spans="1:10">
      <c r="A565" s="64"/>
      <c r="B565" s="73" t="s">
        <v>1066</v>
      </c>
      <c r="C565" s="66" t="s">
        <v>1067</v>
      </c>
      <c r="D565" s="67">
        <v>2.4783</v>
      </c>
      <c r="E565" s="68"/>
      <c r="F565" s="69">
        <v>9.2</v>
      </c>
      <c r="G565" s="70"/>
      <c r="H565" s="71">
        <v>5.7</v>
      </c>
      <c r="I565" s="71">
        <v>0</v>
      </c>
      <c r="J565" s="71">
        <v>0</v>
      </c>
    </row>
    <row r="566" customFormat="1" ht="12.75" hidden="1" spans="1:10">
      <c r="A566" s="64"/>
      <c r="B566" s="73" t="s">
        <v>1068</v>
      </c>
      <c r="C566" s="66" t="s">
        <v>1069</v>
      </c>
      <c r="D566" s="67">
        <v>0.9565</v>
      </c>
      <c r="E566" s="68"/>
      <c r="F566" s="69">
        <v>3</v>
      </c>
      <c r="G566" s="70"/>
      <c r="H566" s="71">
        <v>2.2</v>
      </c>
      <c r="I566" s="71">
        <v>0</v>
      </c>
      <c r="J566" s="71">
        <v>0</v>
      </c>
    </row>
    <row r="567" customFormat="1" ht="12.75" hidden="1" spans="1:10">
      <c r="A567" s="64"/>
      <c r="B567" s="73" t="s">
        <v>1070</v>
      </c>
      <c r="C567" s="66" t="s">
        <v>1071</v>
      </c>
      <c r="D567" s="67">
        <v>0.2174</v>
      </c>
      <c r="E567" s="68"/>
      <c r="F567" s="69">
        <v>1</v>
      </c>
      <c r="G567" s="70"/>
      <c r="H567" s="71">
        <v>0.5</v>
      </c>
      <c r="I567" s="71">
        <v>0</v>
      </c>
      <c r="J567" s="71">
        <v>0</v>
      </c>
    </row>
    <row r="568" customFormat="1" ht="12.75" hidden="1" spans="1:10">
      <c r="A568" s="74"/>
      <c r="B568" s="73" t="s">
        <v>1072</v>
      </c>
      <c r="C568" s="66" t="s">
        <v>1073</v>
      </c>
      <c r="D568" s="67">
        <v>0.8696</v>
      </c>
      <c r="E568" s="68"/>
      <c r="F568" s="69">
        <v>0</v>
      </c>
      <c r="G568" s="70"/>
      <c r="H568" s="71">
        <v>0</v>
      </c>
      <c r="I568" s="71">
        <v>2</v>
      </c>
      <c r="J568" s="71">
        <v>1.67</v>
      </c>
    </row>
    <row r="569" customFormat="1" ht="12.75" hidden="1" spans="1:10">
      <c r="A569" s="75"/>
      <c r="B569" s="73" t="s">
        <v>1074</v>
      </c>
      <c r="C569" s="66" t="s">
        <v>1073</v>
      </c>
      <c r="D569" s="67">
        <v>0.6522</v>
      </c>
      <c r="E569" s="68"/>
      <c r="F569" s="69">
        <v>2.5</v>
      </c>
      <c r="G569" s="70"/>
      <c r="H569" s="71">
        <v>1.5</v>
      </c>
      <c r="I569" s="71">
        <v>0</v>
      </c>
      <c r="J569" s="71">
        <v>0</v>
      </c>
    </row>
    <row r="570" customFormat="1" ht="12.75" hidden="1" spans="1:10">
      <c r="A570" s="64"/>
      <c r="B570" s="73" t="s">
        <v>1075</v>
      </c>
      <c r="C570" s="66" t="s">
        <v>1076</v>
      </c>
      <c r="D570" s="67">
        <v>0.5217</v>
      </c>
      <c r="E570" s="68"/>
      <c r="F570" s="69">
        <v>2</v>
      </c>
      <c r="G570" s="70"/>
      <c r="H570" s="71">
        <v>1.2</v>
      </c>
      <c r="I570" s="71">
        <v>0</v>
      </c>
      <c r="J570" s="71">
        <v>0</v>
      </c>
    </row>
    <row r="571" customFormat="1" ht="12.75" hidden="1" spans="1:10">
      <c r="A571" s="64"/>
      <c r="B571" s="73" t="s">
        <v>1077</v>
      </c>
      <c r="C571" s="66" t="s">
        <v>1078</v>
      </c>
      <c r="D571" s="67">
        <v>0.5217</v>
      </c>
      <c r="E571" s="68"/>
      <c r="F571" s="69">
        <v>2</v>
      </c>
      <c r="G571" s="70"/>
      <c r="H571" s="71">
        <v>1.2</v>
      </c>
      <c r="I571" s="71">
        <v>0</v>
      </c>
      <c r="J571" s="71">
        <v>0</v>
      </c>
    </row>
    <row r="572" customFormat="1" ht="12.75" hidden="1" spans="1:10">
      <c r="A572" s="64"/>
      <c r="B572" s="73" t="s">
        <v>1079</v>
      </c>
      <c r="C572" s="66" t="s">
        <v>1080</v>
      </c>
      <c r="D572" s="67">
        <v>0.5652</v>
      </c>
      <c r="E572" s="68"/>
      <c r="F572" s="69">
        <v>2</v>
      </c>
      <c r="G572" s="70"/>
      <c r="H572" s="71">
        <v>1.3</v>
      </c>
      <c r="I572" s="71">
        <v>0</v>
      </c>
      <c r="J572" s="71">
        <v>0</v>
      </c>
    </row>
    <row r="573" customFormat="1" ht="12.75" hidden="1" spans="1:10">
      <c r="A573" s="64"/>
      <c r="B573" s="73" t="s">
        <v>1081</v>
      </c>
      <c r="C573" s="66" t="s">
        <v>1082</v>
      </c>
      <c r="D573" s="67">
        <v>1.1304</v>
      </c>
      <c r="E573" s="68"/>
      <c r="F573" s="69">
        <v>4.1</v>
      </c>
      <c r="G573" s="70"/>
      <c r="H573" s="71">
        <v>2.6</v>
      </c>
      <c r="I573" s="71">
        <v>0</v>
      </c>
      <c r="J573" s="71">
        <v>0</v>
      </c>
    </row>
    <row r="574" customFormat="1" ht="12.75" hidden="1" spans="1:10">
      <c r="A574" s="64"/>
      <c r="B574" s="73" t="s">
        <v>1083</v>
      </c>
      <c r="C574" s="66" t="s">
        <v>1084</v>
      </c>
      <c r="D574" s="67">
        <v>1.6957</v>
      </c>
      <c r="E574" s="68"/>
      <c r="F574" s="69">
        <v>6</v>
      </c>
      <c r="G574" s="70"/>
      <c r="H574" s="71">
        <v>3.9</v>
      </c>
      <c r="I574" s="71">
        <v>0</v>
      </c>
      <c r="J574" s="71">
        <v>0</v>
      </c>
    </row>
    <row r="575" customFormat="1" ht="12.75" hidden="1" spans="1:10">
      <c r="A575" s="64"/>
      <c r="B575" s="73" t="s">
        <v>1085</v>
      </c>
      <c r="C575" s="66" t="s">
        <v>1086</v>
      </c>
      <c r="D575" s="67">
        <v>2.5652</v>
      </c>
      <c r="E575" s="68"/>
      <c r="F575" s="69">
        <v>9</v>
      </c>
      <c r="G575" s="70"/>
      <c r="H575" s="71">
        <v>5.9</v>
      </c>
      <c r="I575" s="71">
        <v>0</v>
      </c>
      <c r="J575" s="71">
        <v>0</v>
      </c>
    </row>
    <row r="576" customFormat="1" ht="12.75" hidden="1" spans="1:10">
      <c r="A576" s="64"/>
      <c r="B576" s="73" t="s">
        <v>1087</v>
      </c>
      <c r="C576" s="66" t="s">
        <v>1088</v>
      </c>
      <c r="D576" s="67">
        <v>5.0435</v>
      </c>
      <c r="E576" s="68"/>
      <c r="F576" s="79">
        <v>18.5</v>
      </c>
      <c r="G576" s="80"/>
      <c r="H576" s="71">
        <v>11.6</v>
      </c>
      <c r="I576" s="71">
        <v>0</v>
      </c>
      <c r="J576" s="71">
        <v>0</v>
      </c>
    </row>
    <row r="577" customFormat="1" ht="12.75" hidden="1" spans="1:10">
      <c r="A577" s="64"/>
      <c r="B577" s="73" t="s">
        <v>1089</v>
      </c>
      <c r="C577" s="66" t="s">
        <v>1090</v>
      </c>
      <c r="D577" s="67">
        <v>5.5652</v>
      </c>
      <c r="E577" s="68"/>
      <c r="F577" s="79">
        <v>20.5</v>
      </c>
      <c r="G577" s="80"/>
      <c r="H577" s="71">
        <v>12.8</v>
      </c>
      <c r="I577" s="71">
        <v>0</v>
      </c>
      <c r="J577" s="71">
        <v>0</v>
      </c>
    </row>
    <row r="578" customFormat="1" ht="12.75" hidden="1" spans="1:10">
      <c r="A578" s="64"/>
      <c r="B578" s="73" t="s">
        <v>1091</v>
      </c>
      <c r="C578" s="66" t="s">
        <v>1092</v>
      </c>
      <c r="D578" s="67">
        <v>0.2174</v>
      </c>
      <c r="E578" s="68"/>
      <c r="F578" s="69">
        <v>0.5</v>
      </c>
      <c r="G578" s="70"/>
      <c r="H578" s="71">
        <v>0.5</v>
      </c>
      <c r="I578" s="71">
        <v>0</v>
      </c>
      <c r="J578" s="71">
        <v>0</v>
      </c>
    </row>
    <row r="579" customFormat="1" ht="12.75" hidden="1" spans="1:10">
      <c r="A579" s="64"/>
      <c r="B579" s="73" t="s">
        <v>1093</v>
      </c>
      <c r="C579" s="66" t="s">
        <v>1094</v>
      </c>
      <c r="D579" s="67">
        <v>0.2609</v>
      </c>
      <c r="E579" s="68"/>
      <c r="F579" s="69">
        <v>1</v>
      </c>
      <c r="G579" s="70"/>
      <c r="H579" s="71">
        <v>0.6</v>
      </c>
      <c r="I579" s="71">
        <v>0</v>
      </c>
      <c r="J579" s="71">
        <v>0</v>
      </c>
    </row>
    <row r="580" customFormat="1" ht="12.75" hidden="1" spans="1:10">
      <c r="A580" s="64"/>
      <c r="B580" s="73" t="s">
        <v>1095</v>
      </c>
      <c r="C580" s="66" t="s">
        <v>1096</v>
      </c>
      <c r="D580" s="67">
        <v>0.3478</v>
      </c>
      <c r="E580" s="68"/>
      <c r="F580" s="69">
        <v>1.2</v>
      </c>
      <c r="G580" s="70"/>
      <c r="H580" s="71">
        <v>0.8</v>
      </c>
      <c r="I580" s="71">
        <v>0</v>
      </c>
      <c r="J580" s="71">
        <v>0</v>
      </c>
    </row>
    <row r="581" customFormat="1" ht="12.75" hidden="1" spans="1:10">
      <c r="A581" s="64"/>
      <c r="B581" s="73" t="s">
        <v>1097</v>
      </c>
      <c r="C581" s="66" t="s">
        <v>1098</v>
      </c>
      <c r="D581" s="67">
        <v>0.6522</v>
      </c>
      <c r="E581" s="68"/>
      <c r="F581" s="69">
        <v>2</v>
      </c>
      <c r="G581" s="70"/>
      <c r="H581" s="71">
        <v>1.5</v>
      </c>
      <c r="I581" s="71">
        <v>0</v>
      </c>
      <c r="J581" s="71">
        <v>0</v>
      </c>
    </row>
    <row r="582" customFormat="1" ht="12.75" hidden="1" spans="1:10">
      <c r="A582" s="64"/>
      <c r="B582" s="73" t="s">
        <v>1099</v>
      </c>
      <c r="C582" s="66" t="s">
        <v>1100</v>
      </c>
      <c r="D582" s="82">
        <v>47.0435</v>
      </c>
      <c r="E582" s="83"/>
      <c r="F582" s="79">
        <v>173.2</v>
      </c>
      <c r="G582" s="80"/>
      <c r="H582" s="71">
        <v>108.2</v>
      </c>
      <c r="I582" s="71">
        <v>0</v>
      </c>
      <c r="J582" s="71">
        <v>0</v>
      </c>
    </row>
    <row r="583" customFormat="1" ht="12.75" hidden="1" spans="1:10">
      <c r="A583" s="64"/>
      <c r="B583" s="73" t="s">
        <v>1101</v>
      </c>
      <c r="C583" s="66" t="s">
        <v>1102</v>
      </c>
      <c r="D583" s="82">
        <v>11.3913</v>
      </c>
      <c r="E583" s="83"/>
      <c r="F583" s="79">
        <v>40</v>
      </c>
      <c r="G583" s="80"/>
      <c r="H583" s="71">
        <v>26.2</v>
      </c>
      <c r="I583" s="71">
        <v>0</v>
      </c>
      <c r="J583" s="71">
        <v>0</v>
      </c>
    </row>
    <row r="584" customFormat="1" ht="12.75" hidden="1" spans="1:10">
      <c r="A584" s="64"/>
      <c r="B584" s="73" t="s">
        <v>1103</v>
      </c>
      <c r="C584" s="66" t="s">
        <v>1104</v>
      </c>
      <c r="D584" s="67">
        <v>2.6957</v>
      </c>
      <c r="E584" s="68"/>
      <c r="F584" s="79">
        <v>10</v>
      </c>
      <c r="G584" s="80"/>
      <c r="H584" s="71">
        <v>6.2</v>
      </c>
      <c r="I584" s="71">
        <v>0</v>
      </c>
      <c r="J584" s="71">
        <v>0</v>
      </c>
    </row>
    <row r="585" customFormat="1" ht="12.75" hidden="1" spans="1:10">
      <c r="A585" s="64"/>
      <c r="B585" s="73" t="s">
        <v>1105</v>
      </c>
      <c r="C585" s="66" t="s">
        <v>1106</v>
      </c>
      <c r="D585" s="67">
        <v>0.8261</v>
      </c>
      <c r="E585" s="68"/>
      <c r="F585" s="69">
        <v>3.5</v>
      </c>
      <c r="G585" s="70"/>
      <c r="H585" s="71">
        <v>1.9</v>
      </c>
      <c r="I585" s="71">
        <v>0</v>
      </c>
      <c r="J585" s="71">
        <v>0</v>
      </c>
    </row>
    <row r="586" customFormat="1" ht="12.75" hidden="1" spans="1:10">
      <c r="A586" s="64"/>
      <c r="B586" s="73" t="s">
        <v>1107</v>
      </c>
      <c r="C586" s="66" t="s">
        <v>1108</v>
      </c>
      <c r="D586" s="67">
        <v>0.8261</v>
      </c>
      <c r="E586" s="68"/>
      <c r="F586" s="69">
        <v>3.1</v>
      </c>
      <c r="G586" s="70"/>
      <c r="H586" s="71">
        <v>1.9</v>
      </c>
      <c r="I586" s="71">
        <v>0</v>
      </c>
      <c r="J586" s="71">
        <v>0</v>
      </c>
    </row>
    <row r="587" customFormat="1" ht="12.75" hidden="1" spans="1:10">
      <c r="A587" s="64"/>
      <c r="B587" s="73" t="s">
        <v>1109</v>
      </c>
      <c r="C587" s="66" t="s">
        <v>1110</v>
      </c>
      <c r="D587" s="67">
        <v>1.0435</v>
      </c>
      <c r="E587" s="68"/>
      <c r="F587" s="69">
        <v>3.9</v>
      </c>
      <c r="G587" s="70"/>
      <c r="H587" s="71">
        <v>2.4</v>
      </c>
      <c r="I587" s="71">
        <v>0</v>
      </c>
      <c r="J587" s="71">
        <v>0</v>
      </c>
    </row>
    <row r="588" customFormat="1" ht="12.75" hidden="1" spans="1:10">
      <c r="A588" s="64"/>
      <c r="B588" s="73" t="s">
        <v>1111</v>
      </c>
      <c r="C588" s="66" t="s">
        <v>1112</v>
      </c>
      <c r="D588" s="67">
        <v>1</v>
      </c>
      <c r="E588" s="68"/>
      <c r="F588" s="69">
        <v>3.6</v>
      </c>
      <c r="G588" s="70"/>
      <c r="H588" s="71">
        <v>2.3</v>
      </c>
      <c r="I588" s="71">
        <v>0</v>
      </c>
      <c r="J588" s="71">
        <v>0</v>
      </c>
    </row>
    <row r="589" customFormat="1" ht="12.75" hidden="1" spans="1:10">
      <c r="A589" s="64"/>
      <c r="B589" s="73" t="s">
        <v>1113</v>
      </c>
      <c r="C589" s="66" t="s">
        <v>1114</v>
      </c>
      <c r="D589" s="67">
        <v>1.2174</v>
      </c>
      <c r="E589" s="68"/>
      <c r="F589" s="69">
        <v>4.5</v>
      </c>
      <c r="G589" s="70"/>
      <c r="H589" s="71">
        <v>2.8</v>
      </c>
      <c r="I589" s="71">
        <v>0</v>
      </c>
      <c r="J589" s="71">
        <v>0</v>
      </c>
    </row>
    <row r="590" customFormat="1" ht="12.75" hidden="1" spans="1:10">
      <c r="A590" s="64"/>
      <c r="B590" s="73" t="s">
        <v>1115</v>
      </c>
      <c r="C590" s="66" t="s">
        <v>1116</v>
      </c>
      <c r="D590" s="67">
        <v>0.9565</v>
      </c>
      <c r="E590" s="68"/>
      <c r="F590" s="69">
        <v>2.5</v>
      </c>
      <c r="G590" s="70"/>
      <c r="H590" s="71">
        <v>2.2</v>
      </c>
      <c r="I590" s="71">
        <v>0</v>
      </c>
      <c r="J590" s="71">
        <v>0</v>
      </c>
    </row>
    <row r="591" customFormat="1" ht="12.75" hidden="1" spans="1:10">
      <c r="A591" s="64"/>
      <c r="B591" s="73" t="s">
        <v>1117</v>
      </c>
      <c r="C591" s="66" t="s">
        <v>1118</v>
      </c>
      <c r="D591" s="67">
        <v>1.2609</v>
      </c>
      <c r="E591" s="68"/>
      <c r="F591" s="69">
        <v>4.6</v>
      </c>
      <c r="G591" s="70"/>
      <c r="H591" s="71">
        <v>2.9</v>
      </c>
      <c r="I591" s="71">
        <v>0</v>
      </c>
      <c r="J591" s="71">
        <v>0</v>
      </c>
    </row>
    <row r="592" customFormat="1" ht="12.75" hidden="1" spans="1:10">
      <c r="A592" s="64"/>
      <c r="B592" s="73" t="s">
        <v>1119</v>
      </c>
      <c r="C592" s="66" t="s">
        <v>1120</v>
      </c>
      <c r="D592" s="67">
        <v>0.6087</v>
      </c>
      <c r="E592" s="68"/>
      <c r="F592" s="69">
        <v>2.5</v>
      </c>
      <c r="G592" s="70"/>
      <c r="H592" s="71">
        <v>1.4</v>
      </c>
      <c r="I592" s="71">
        <v>0</v>
      </c>
      <c r="J592" s="71">
        <v>0</v>
      </c>
    </row>
    <row r="593" customFormat="1" ht="12.75" hidden="1" spans="1:10">
      <c r="A593" s="64"/>
      <c r="B593" s="73" t="s">
        <v>1121</v>
      </c>
      <c r="C593" s="66" t="s">
        <v>1122</v>
      </c>
      <c r="D593" s="67">
        <v>9.3478</v>
      </c>
      <c r="E593" s="68"/>
      <c r="F593" s="79">
        <v>34.4</v>
      </c>
      <c r="G593" s="80"/>
      <c r="H593" s="71">
        <v>21.5</v>
      </c>
      <c r="I593" s="71">
        <v>0</v>
      </c>
      <c r="J593" s="71">
        <v>0</v>
      </c>
    </row>
    <row r="594" customFormat="1" ht="12.75" hidden="1" spans="1:10">
      <c r="A594" s="64"/>
      <c r="B594" s="73" t="s">
        <v>1123</v>
      </c>
      <c r="C594" s="66" t="s">
        <v>1124</v>
      </c>
      <c r="D594" s="67">
        <v>0.1304</v>
      </c>
      <c r="E594" s="68"/>
      <c r="F594" s="69">
        <v>0.4</v>
      </c>
      <c r="G594" s="70"/>
      <c r="H594" s="71">
        <v>0.3</v>
      </c>
      <c r="I594" s="71">
        <v>0</v>
      </c>
      <c r="J594" s="71">
        <v>0</v>
      </c>
    </row>
    <row r="595" customFormat="1" ht="12.75" hidden="1" spans="1:10">
      <c r="A595" s="64"/>
      <c r="B595" s="73" t="s">
        <v>1125</v>
      </c>
      <c r="C595" s="66" t="s">
        <v>1126</v>
      </c>
      <c r="D595" s="67">
        <v>0.2174</v>
      </c>
      <c r="E595" s="68"/>
      <c r="F595" s="69">
        <v>1</v>
      </c>
      <c r="G595" s="70"/>
      <c r="H595" s="71">
        <v>0.5</v>
      </c>
      <c r="I595" s="71">
        <v>0</v>
      </c>
      <c r="J595" s="71">
        <v>0</v>
      </c>
    </row>
    <row r="596" customFormat="1" ht="12.75" hidden="1" spans="1:10">
      <c r="A596" s="64"/>
      <c r="B596" s="73" t="s">
        <v>1127</v>
      </c>
      <c r="C596" s="66" t="s">
        <v>1128</v>
      </c>
      <c r="D596" s="67">
        <v>0.3043</v>
      </c>
      <c r="E596" s="68"/>
      <c r="F596" s="69">
        <v>1</v>
      </c>
      <c r="G596" s="70"/>
      <c r="H596" s="71">
        <v>0.7</v>
      </c>
      <c r="I596" s="71">
        <v>0</v>
      </c>
      <c r="J596" s="71">
        <v>0</v>
      </c>
    </row>
    <row r="597" customFormat="1" ht="12.75" hidden="1" spans="1:10">
      <c r="A597" s="64"/>
      <c r="B597" s="73" t="s">
        <v>1129</v>
      </c>
      <c r="C597" s="66" t="s">
        <v>1130</v>
      </c>
      <c r="D597" s="67">
        <v>0.2609</v>
      </c>
      <c r="E597" s="68"/>
      <c r="F597" s="69">
        <v>1</v>
      </c>
      <c r="G597" s="70"/>
      <c r="H597" s="71">
        <v>0.6</v>
      </c>
      <c r="I597" s="71">
        <v>0</v>
      </c>
      <c r="J597" s="71">
        <v>0</v>
      </c>
    </row>
    <row r="598" customFormat="1" ht="12.75" hidden="1" spans="1:10">
      <c r="A598" s="64"/>
      <c r="B598" s="73" t="s">
        <v>1131</v>
      </c>
      <c r="C598" s="66" t="s">
        <v>1132</v>
      </c>
      <c r="D598" s="67">
        <v>0.913</v>
      </c>
      <c r="E598" s="68"/>
      <c r="F598" s="69">
        <v>3.5</v>
      </c>
      <c r="G598" s="70"/>
      <c r="H598" s="71">
        <v>2.1</v>
      </c>
      <c r="I598" s="71">
        <v>0</v>
      </c>
      <c r="J598" s="71">
        <v>0</v>
      </c>
    </row>
    <row r="599" customFormat="1" ht="12.75" hidden="1" spans="1:10">
      <c r="A599" s="64"/>
      <c r="B599" s="73" t="s">
        <v>1133</v>
      </c>
      <c r="C599" s="66" t="s">
        <v>1134</v>
      </c>
      <c r="D599" s="67">
        <v>0.5652</v>
      </c>
      <c r="E599" s="68"/>
      <c r="F599" s="69">
        <v>2.1</v>
      </c>
      <c r="G599" s="70"/>
      <c r="H599" s="71">
        <v>1.3</v>
      </c>
      <c r="I599" s="71">
        <v>0</v>
      </c>
      <c r="J599" s="71">
        <v>0</v>
      </c>
    </row>
    <row r="600" customFormat="1" ht="12.75" hidden="1" spans="1:10">
      <c r="A600" s="64"/>
      <c r="B600" s="73" t="s">
        <v>1135</v>
      </c>
      <c r="C600" s="66" t="s">
        <v>1136</v>
      </c>
      <c r="D600" s="67">
        <v>3.2174</v>
      </c>
      <c r="E600" s="68"/>
      <c r="F600" s="79">
        <v>12</v>
      </c>
      <c r="G600" s="80"/>
      <c r="H600" s="71">
        <v>7.4</v>
      </c>
      <c r="I600" s="71">
        <v>0</v>
      </c>
      <c r="J600" s="71">
        <v>0</v>
      </c>
    </row>
    <row r="601" customFormat="1" ht="12.75" hidden="1" spans="1:10">
      <c r="A601" s="74"/>
      <c r="B601" s="73" t="s">
        <v>1137</v>
      </c>
      <c r="C601" s="66" t="s">
        <v>1138</v>
      </c>
      <c r="D601" s="67">
        <v>0.5652</v>
      </c>
      <c r="E601" s="68"/>
      <c r="F601" s="69">
        <v>2.1</v>
      </c>
      <c r="G601" s="70"/>
      <c r="H601" s="71">
        <v>1.3</v>
      </c>
      <c r="I601" s="71">
        <v>0</v>
      </c>
      <c r="J601" s="71">
        <v>0</v>
      </c>
    </row>
    <row r="602" customFormat="1" ht="12.75" hidden="1" spans="1:10">
      <c r="A602" s="75"/>
      <c r="B602" s="73" t="s">
        <v>1139</v>
      </c>
      <c r="C602" s="66" t="s">
        <v>1138</v>
      </c>
      <c r="D602" s="67">
        <v>0.8696</v>
      </c>
      <c r="E602" s="68"/>
      <c r="F602" s="69">
        <v>0</v>
      </c>
      <c r="G602" s="70"/>
      <c r="H602" s="71">
        <v>0</v>
      </c>
      <c r="I602" s="71">
        <v>2</v>
      </c>
      <c r="J602" s="71">
        <v>1.5</v>
      </c>
    </row>
    <row r="603" customFormat="1" ht="12.75" hidden="1" spans="1:10">
      <c r="A603" s="64"/>
      <c r="B603" s="73" t="s">
        <v>1140</v>
      </c>
      <c r="C603" s="66" t="s">
        <v>1141</v>
      </c>
      <c r="D603" s="67">
        <v>0.8261</v>
      </c>
      <c r="E603" s="68"/>
      <c r="F603" s="69">
        <v>3</v>
      </c>
      <c r="G603" s="70"/>
      <c r="H603" s="71">
        <v>1.9</v>
      </c>
      <c r="I603" s="71">
        <v>0</v>
      </c>
      <c r="J603" s="71">
        <v>0</v>
      </c>
    </row>
    <row r="604" customFormat="1" ht="12.75" hidden="1" spans="1:10">
      <c r="A604" s="74"/>
      <c r="B604" s="73" t="s">
        <v>1142</v>
      </c>
      <c r="C604" s="66" t="s">
        <v>1143</v>
      </c>
      <c r="D604" s="67">
        <v>0.8696</v>
      </c>
      <c r="E604" s="68"/>
      <c r="F604" s="69">
        <v>3.2</v>
      </c>
      <c r="G604" s="70"/>
      <c r="H604" s="71">
        <v>2</v>
      </c>
      <c r="I604" s="71">
        <v>0</v>
      </c>
      <c r="J604" s="71">
        <v>0</v>
      </c>
    </row>
    <row r="605" customFormat="1" ht="12.75" hidden="1" spans="1:10">
      <c r="A605" s="75"/>
      <c r="B605" s="73" t="s">
        <v>1144</v>
      </c>
      <c r="C605" s="66" t="s">
        <v>1143</v>
      </c>
      <c r="D605" s="67">
        <v>0.6522</v>
      </c>
      <c r="E605" s="68"/>
      <c r="F605" s="69">
        <v>2.4</v>
      </c>
      <c r="G605" s="70"/>
      <c r="H605" s="71">
        <v>1.5</v>
      </c>
      <c r="I605" s="71">
        <v>0</v>
      </c>
      <c r="J605" s="71">
        <v>0</v>
      </c>
    </row>
    <row r="606" customFormat="1" ht="12.75" hidden="1" spans="1:10">
      <c r="A606" s="64"/>
      <c r="B606" s="73" t="s">
        <v>1145</v>
      </c>
      <c r="C606" s="66" t="s">
        <v>1146</v>
      </c>
      <c r="D606" s="67">
        <v>0.5652</v>
      </c>
      <c r="E606" s="68"/>
      <c r="F606" s="69">
        <v>2.1</v>
      </c>
      <c r="G606" s="70"/>
      <c r="H606" s="71">
        <v>1.3</v>
      </c>
      <c r="I606" s="71">
        <v>0</v>
      </c>
      <c r="J606" s="71">
        <v>0</v>
      </c>
    </row>
    <row r="607" customFormat="1" ht="12.75" hidden="1" spans="1:10">
      <c r="A607" s="64"/>
      <c r="B607" s="73" t="s">
        <v>1147</v>
      </c>
      <c r="C607" s="66" t="s">
        <v>1148</v>
      </c>
      <c r="D607" s="67">
        <v>0.913</v>
      </c>
      <c r="E607" s="68"/>
      <c r="F607" s="69">
        <v>3.3</v>
      </c>
      <c r="G607" s="70"/>
      <c r="H607" s="71">
        <v>2.1</v>
      </c>
      <c r="I607" s="71">
        <v>0</v>
      </c>
      <c r="J607" s="71">
        <v>0</v>
      </c>
    </row>
    <row r="608" customFormat="1" ht="12.75" hidden="1" spans="1:10">
      <c r="A608" s="64"/>
      <c r="B608" s="73" t="s">
        <v>1149</v>
      </c>
      <c r="C608" s="66" t="s">
        <v>1150</v>
      </c>
      <c r="D608" s="67">
        <v>0.3478</v>
      </c>
      <c r="E608" s="68"/>
      <c r="F608" s="69">
        <v>1.4</v>
      </c>
      <c r="G608" s="70"/>
      <c r="H608" s="71">
        <v>0.8</v>
      </c>
      <c r="I608" s="71">
        <v>0</v>
      </c>
      <c r="J608" s="71">
        <v>0</v>
      </c>
    </row>
    <row r="609" ht="12.75" hidden="1" spans="1:21">
      <c r="A609" s="64"/>
      <c r="B609" s="73" t="s">
        <v>1151</v>
      </c>
      <c r="C609" s="66" t="s">
        <v>1152</v>
      </c>
      <c r="D609" s="67">
        <v>0.6087</v>
      </c>
      <c r="E609" s="68"/>
      <c r="F609" s="69">
        <v>2.3</v>
      </c>
      <c r="G609" s="70"/>
      <c r="H609" s="71">
        <v>1.4</v>
      </c>
      <c r="I609" s="71">
        <v>0</v>
      </c>
      <c r="J609" s="71">
        <v>0</v>
      </c>
      <c r="M609"/>
      <c r="N609"/>
      <c r="O609"/>
      <c r="P609"/>
      <c r="Q609"/>
      <c r="R609"/>
      <c r="S609"/>
      <c r="T609"/>
      <c r="U609"/>
    </row>
    <row r="610" ht="12.75" hidden="1" spans="1:21">
      <c r="A610" s="64"/>
      <c r="B610" s="73" t="s">
        <v>1153</v>
      </c>
      <c r="C610" s="66" t="s">
        <v>1154</v>
      </c>
      <c r="D610" s="67">
        <v>0.6087</v>
      </c>
      <c r="E610" s="68"/>
      <c r="F610" s="69">
        <v>2.3</v>
      </c>
      <c r="G610" s="70"/>
      <c r="H610" s="71">
        <v>1.4</v>
      </c>
      <c r="I610" s="71">
        <v>0</v>
      </c>
      <c r="J610" s="71">
        <v>0</v>
      </c>
      <c r="M610"/>
      <c r="N610"/>
      <c r="O610"/>
      <c r="P610"/>
      <c r="Q610"/>
      <c r="R610"/>
      <c r="S610"/>
      <c r="T610"/>
      <c r="U610"/>
    </row>
    <row r="611" ht="12.75" hidden="1" spans="1:21">
      <c r="A611" s="64"/>
      <c r="B611" s="73" t="s">
        <v>1155</v>
      </c>
      <c r="C611" s="66" t="s">
        <v>1156</v>
      </c>
      <c r="D611" s="67">
        <v>0.6522</v>
      </c>
      <c r="E611" s="68"/>
      <c r="F611" s="69">
        <v>2.5</v>
      </c>
      <c r="G611" s="70"/>
      <c r="H611" s="71">
        <v>1.5</v>
      </c>
      <c r="I611" s="71">
        <v>0</v>
      </c>
      <c r="J611" s="71">
        <v>0</v>
      </c>
      <c r="M611"/>
      <c r="N611"/>
      <c r="O611"/>
      <c r="P611"/>
      <c r="Q611"/>
      <c r="R611"/>
      <c r="S611"/>
      <c r="T611"/>
      <c r="U611"/>
    </row>
    <row r="612" ht="12.75" hidden="1" spans="1:21">
      <c r="A612" s="64"/>
      <c r="B612" s="73" t="s">
        <v>1157</v>
      </c>
      <c r="C612" s="66" t="s">
        <v>1158</v>
      </c>
      <c r="D612" s="67">
        <v>0.7391</v>
      </c>
      <c r="E612" s="68"/>
      <c r="F612" s="69">
        <v>2.3</v>
      </c>
      <c r="G612" s="70"/>
      <c r="H612" s="71">
        <v>1.7</v>
      </c>
      <c r="I612" s="71">
        <v>0</v>
      </c>
      <c r="J612" s="71">
        <v>0</v>
      </c>
      <c r="M612"/>
      <c r="N612"/>
      <c r="O612"/>
      <c r="P612"/>
      <c r="Q612"/>
      <c r="R612"/>
      <c r="S612"/>
      <c r="T612"/>
      <c r="U612"/>
    </row>
    <row r="613" ht="12.75" hidden="1" spans="1:21">
      <c r="A613" s="64"/>
      <c r="B613" s="73" t="s">
        <v>1159</v>
      </c>
      <c r="C613" s="66" t="s">
        <v>1160</v>
      </c>
      <c r="D613" s="67">
        <v>0.3043</v>
      </c>
      <c r="E613" s="68"/>
      <c r="F613" s="69">
        <v>1.2</v>
      </c>
      <c r="G613" s="70"/>
      <c r="H613" s="71">
        <v>0.7</v>
      </c>
      <c r="I613" s="71">
        <v>0</v>
      </c>
      <c r="J613" s="71">
        <v>0</v>
      </c>
      <c r="M613"/>
      <c r="N613"/>
      <c r="O613"/>
      <c r="P613"/>
      <c r="Q613"/>
      <c r="R613"/>
      <c r="S613"/>
      <c r="T613"/>
      <c r="U613"/>
    </row>
    <row r="614" ht="38.25" spans="1:20">
      <c r="A614" s="72" t="s">
        <v>3773</v>
      </c>
      <c r="B614" s="73" t="s">
        <v>1161</v>
      </c>
      <c r="C614" s="66" t="s">
        <v>1162</v>
      </c>
      <c r="D614" s="67">
        <v>0.6087</v>
      </c>
      <c r="E614" s="68"/>
      <c r="F614" s="69">
        <v>2.2</v>
      </c>
      <c r="G614" s="70"/>
      <c r="H614" s="71">
        <v>1.5</v>
      </c>
      <c r="I614" s="71"/>
      <c r="J614" s="71"/>
      <c r="M614" s="32">
        <v>5</v>
      </c>
      <c r="N614" s="77">
        <f>+F614</f>
        <v>2.2</v>
      </c>
      <c r="O614" s="77">
        <f>+M614*N614</f>
        <v>11</v>
      </c>
      <c r="R614" s="3">
        <f>+M614</f>
        <v>5</v>
      </c>
      <c r="S614" s="49">
        <f>+H614</f>
        <v>1.5</v>
      </c>
      <c r="T614" s="49">
        <f>+R614*S614</f>
        <v>7.5</v>
      </c>
    </row>
    <row r="615" ht="12.75" hidden="1" spans="1:21">
      <c r="A615" s="64"/>
      <c r="B615" s="73" t="s">
        <v>1163</v>
      </c>
      <c r="C615" s="66" t="s">
        <v>1164</v>
      </c>
      <c r="D615" s="67">
        <v>0.5217</v>
      </c>
      <c r="E615" s="68"/>
      <c r="F615" s="69">
        <v>1.9</v>
      </c>
      <c r="G615" s="70"/>
      <c r="H615" s="71">
        <v>1.2</v>
      </c>
      <c r="I615" s="71">
        <v>0</v>
      </c>
      <c r="J615" s="71">
        <v>0</v>
      </c>
      <c r="M615"/>
      <c r="N615"/>
      <c r="O615"/>
      <c r="P615"/>
      <c r="Q615"/>
      <c r="R615"/>
      <c r="S615"/>
      <c r="T615"/>
      <c r="U615"/>
    </row>
    <row r="616" ht="12.75" hidden="1" spans="1:21">
      <c r="A616" s="64"/>
      <c r="B616" s="73" t="s">
        <v>1165</v>
      </c>
      <c r="C616" s="66" t="s">
        <v>1166</v>
      </c>
      <c r="D616" s="67">
        <v>0.8261</v>
      </c>
      <c r="E616" s="68"/>
      <c r="F616" s="69">
        <v>3</v>
      </c>
      <c r="G616" s="70"/>
      <c r="H616" s="71">
        <v>1.9</v>
      </c>
      <c r="I616" s="71">
        <v>0</v>
      </c>
      <c r="J616" s="71">
        <v>0</v>
      </c>
      <c r="M616"/>
      <c r="N616"/>
      <c r="O616"/>
      <c r="P616"/>
      <c r="Q616"/>
      <c r="R616"/>
      <c r="S616"/>
      <c r="T616"/>
      <c r="U616"/>
    </row>
    <row r="617" ht="12.75" hidden="1" spans="1:21">
      <c r="A617" s="64"/>
      <c r="B617" s="73" t="s">
        <v>1167</v>
      </c>
      <c r="C617" s="66" t="s">
        <v>1168</v>
      </c>
      <c r="D617" s="67">
        <v>0.6522</v>
      </c>
      <c r="E617" s="68"/>
      <c r="F617" s="69">
        <v>2.5</v>
      </c>
      <c r="G617" s="70"/>
      <c r="H617" s="71">
        <v>1.5</v>
      </c>
      <c r="I617" s="71">
        <v>0</v>
      </c>
      <c r="J617" s="71">
        <v>0</v>
      </c>
      <c r="M617"/>
      <c r="N617"/>
      <c r="O617"/>
      <c r="P617"/>
      <c r="Q617"/>
      <c r="R617"/>
      <c r="S617"/>
      <c r="T617"/>
      <c r="U617"/>
    </row>
    <row r="618" ht="12.75" hidden="1" spans="1:21">
      <c r="A618" s="64"/>
      <c r="B618" s="73" t="s">
        <v>1169</v>
      </c>
      <c r="C618" s="66" t="s">
        <v>1170</v>
      </c>
      <c r="D618" s="67">
        <v>0.3043</v>
      </c>
      <c r="E618" s="68"/>
      <c r="F618" s="69">
        <v>1.1</v>
      </c>
      <c r="G618" s="70"/>
      <c r="H618" s="71">
        <v>0.7</v>
      </c>
      <c r="I618" s="71">
        <v>0</v>
      </c>
      <c r="J618" s="71">
        <v>0</v>
      </c>
      <c r="M618"/>
      <c r="N618"/>
      <c r="O618"/>
      <c r="P618"/>
      <c r="Q618"/>
      <c r="R618"/>
      <c r="S618"/>
      <c r="T618"/>
      <c r="U618"/>
    </row>
    <row r="619" ht="38.25" spans="1:20">
      <c r="A619" s="72" t="s">
        <v>3773</v>
      </c>
      <c r="B619" s="73" t="s">
        <v>1171</v>
      </c>
      <c r="C619" s="66" t="s">
        <v>1172</v>
      </c>
      <c r="D619" s="67">
        <v>0.5217</v>
      </c>
      <c r="E619" s="68"/>
      <c r="F619" s="69">
        <v>1.9</v>
      </c>
      <c r="G619" s="70"/>
      <c r="H619" s="71">
        <v>1.2</v>
      </c>
      <c r="I619" s="71"/>
      <c r="J619" s="71"/>
      <c r="M619" s="32">
        <v>3</v>
      </c>
      <c r="N619" s="77">
        <f>+F619</f>
        <v>1.9</v>
      </c>
      <c r="O619" s="77">
        <f>+M619*N619</f>
        <v>5.7</v>
      </c>
      <c r="R619" s="3">
        <f>+M619</f>
        <v>3</v>
      </c>
      <c r="S619" s="49">
        <f>+H619</f>
        <v>1.2</v>
      </c>
      <c r="T619" s="49">
        <f>+R619*S619</f>
        <v>3.6</v>
      </c>
    </row>
    <row r="620" ht="12.75" hidden="1" spans="1:21">
      <c r="A620" s="64"/>
      <c r="B620" s="73" t="s">
        <v>1173</v>
      </c>
      <c r="C620" s="66" t="s">
        <v>1174</v>
      </c>
      <c r="D620" s="67">
        <v>3.4783</v>
      </c>
      <c r="E620" s="68"/>
      <c r="F620" s="79">
        <v>15</v>
      </c>
      <c r="G620" s="80"/>
      <c r="H620" s="71">
        <v>8</v>
      </c>
      <c r="I620" s="71">
        <v>0</v>
      </c>
      <c r="J620" s="71">
        <v>0</v>
      </c>
      <c r="M620"/>
      <c r="N620"/>
      <c r="O620"/>
      <c r="P620"/>
      <c r="Q620"/>
      <c r="R620"/>
      <c r="S620"/>
      <c r="T620"/>
      <c r="U620"/>
    </row>
    <row r="621" ht="12.75" hidden="1" spans="1:21">
      <c r="A621" s="64"/>
      <c r="B621" s="73" t="s">
        <v>1175</v>
      </c>
      <c r="C621" s="66" t="s">
        <v>1176</v>
      </c>
      <c r="D621" s="67">
        <v>3</v>
      </c>
      <c r="E621" s="68"/>
      <c r="F621" s="79">
        <v>10</v>
      </c>
      <c r="G621" s="80"/>
      <c r="H621" s="71">
        <v>6.9</v>
      </c>
      <c r="I621" s="71">
        <v>0</v>
      </c>
      <c r="J621" s="71">
        <v>0</v>
      </c>
      <c r="M621"/>
      <c r="N621"/>
      <c r="O621"/>
      <c r="P621"/>
      <c r="Q621"/>
      <c r="R621"/>
      <c r="S621"/>
      <c r="T621"/>
      <c r="U621"/>
    </row>
    <row r="622" ht="25.5" hidden="1" spans="1:21">
      <c r="A622" s="64"/>
      <c r="B622" s="73" t="s">
        <v>1177</v>
      </c>
      <c r="C622" s="66" t="s">
        <v>1178</v>
      </c>
      <c r="D622" s="67">
        <v>0.6522</v>
      </c>
      <c r="E622" s="68"/>
      <c r="F622" s="69">
        <v>2.5</v>
      </c>
      <c r="G622" s="70"/>
      <c r="H622" s="71">
        <v>1.5</v>
      </c>
      <c r="I622" s="71">
        <v>0</v>
      </c>
      <c r="J622" s="71">
        <v>0</v>
      </c>
      <c r="M622"/>
      <c r="N622"/>
      <c r="O622"/>
      <c r="P622"/>
      <c r="Q622"/>
      <c r="R622"/>
      <c r="S622"/>
      <c r="T622"/>
      <c r="U622"/>
    </row>
    <row r="623" ht="12.75" hidden="1" spans="1:21">
      <c r="A623" s="64"/>
      <c r="B623" s="73" t="s">
        <v>1179</v>
      </c>
      <c r="C623" s="66" t="s">
        <v>1180</v>
      </c>
      <c r="D623" s="67">
        <v>0.4348</v>
      </c>
      <c r="E623" s="68"/>
      <c r="F623" s="69">
        <v>1.3</v>
      </c>
      <c r="G623" s="70"/>
      <c r="H623" s="71">
        <v>1</v>
      </c>
      <c r="I623" s="71">
        <v>0</v>
      </c>
      <c r="J623" s="71">
        <v>0</v>
      </c>
      <c r="M623"/>
      <c r="N623"/>
      <c r="O623"/>
      <c r="P623"/>
      <c r="Q623"/>
      <c r="R623"/>
      <c r="S623"/>
      <c r="T623"/>
      <c r="U623"/>
    </row>
    <row r="624" ht="12.75" hidden="1" spans="1:21">
      <c r="A624" s="64"/>
      <c r="B624" s="73" t="s">
        <v>1181</v>
      </c>
      <c r="C624" s="66" t="s">
        <v>1182</v>
      </c>
      <c r="D624" s="67">
        <v>0.2174</v>
      </c>
      <c r="E624" s="68"/>
      <c r="F624" s="69">
        <v>1.5</v>
      </c>
      <c r="G624" s="70"/>
      <c r="H624" s="71">
        <v>0.5</v>
      </c>
      <c r="I624" s="71">
        <v>0</v>
      </c>
      <c r="J624" s="71">
        <v>0</v>
      </c>
      <c r="M624"/>
      <c r="N624"/>
      <c r="O624"/>
      <c r="P624"/>
      <c r="Q624"/>
      <c r="R624"/>
      <c r="S624"/>
      <c r="T624"/>
      <c r="U624"/>
    </row>
    <row r="625" customFormat="1" ht="12.75" hidden="1" spans="1:10">
      <c r="A625" s="64"/>
      <c r="B625" s="73" t="s">
        <v>1183</v>
      </c>
      <c r="C625" s="66" t="s">
        <v>1184</v>
      </c>
      <c r="D625" s="67">
        <v>0.5217</v>
      </c>
      <c r="E625" s="68"/>
      <c r="F625" s="69">
        <v>2.5</v>
      </c>
      <c r="G625" s="70"/>
      <c r="H625" s="71">
        <v>1.2</v>
      </c>
      <c r="I625" s="71">
        <v>0</v>
      </c>
      <c r="J625" s="71">
        <v>0</v>
      </c>
    </row>
    <row r="626" customFormat="1" ht="12.75" hidden="1" spans="1:10">
      <c r="A626" s="64"/>
      <c r="B626" s="73" t="s">
        <v>1185</v>
      </c>
      <c r="C626" s="66" t="s">
        <v>1186</v>
      </c>
      <c r="D626" s="67">
        <v>0.3478</v>
      </c>
      <c r="E626" s="68"/>
      <c r="F626" s="69">
        <v>1.3</v>
      </c>
      <c r="G626" s="70"/>
      <c r="H626" s="71">
        <v>0.8</v>
      </c>
      <c r="I626" s="71">
        <v>0</v>
      </c>
      <c r="J626" s="71">
        <v>0</v>
      </c>
    </row>
    <row r="627" customFormat="1" ht="12.75" hidden="1" spans="1:10">
      <c r="A627" s="64"/>
      <c r="B627" s="73" t="s">
        <v>1187</v>
      </c>
      <c r="C627" s="66" t="s">
        <v>1188</v>
      </c>
      <c r="D627" s="67">
        <v>1.2174</v>
      </c>
      <c r="E627" s="68"/>
      <c r="F627" s="69">
        <v>5</v>
      </c>
      <c r="G627" s="70"/>
      <c r="H627" s="71">
        <v>2.8</v>
      </c>
      <c r="I627" s="71">
        <v>0</v>
      </c>
      <c r="J627" s="71">
        <v>0</v>
      </c>
    </row>
    <row r="628" customFormat="1" ht="12.75" hidden="1" spans="1:10">
      <c r="A628" s="64"/>
      <c r="B628" s="73" t="s">
        <v>1189</v>
      </c>
      <c r="C628" s="66" t="s">
        <v>1190</v>
      </c>
      <c r="D628" s="67">
        <v>0.913</v>
      </c>
      <c r="E628" s="68"/>
      <c r="F628" s="69">
        <v>4</v>
      </c>
      <c r="G628" s="70"/>
      <c r="H628" s="71">
        <v>2.1</v>
      </c>
      <c r="I628" s="71">
        <v>0</v>
      </c>
      <c r="J628" s="71">
        <v>0</v>
      </c>
    </row>
    <row r="629" customFormat="1" ht="12.75" hidden="1" spans="1:10">
      <c r="A629" s="64"/>
      <c r="B629" s="73" t="s">
        <v>1191</v>
      </c>
      <c r="C629" s="66" t="s">
        <v>1192</v>
      </c>
      <c r="D629" s="67">
        <v>0.7826</v>
      </c>
      <c r="E629" s="68"/>
      <c r="F629" s="69">
        <v>5</v>
      </c>
      <c r="G629" s="70"/>
      <c r="H629" s="71">
        <v>1.8</v>
      </c>
      <c r="I629" s="71">
        <v>0</v>
      </c>
      <c r="J629" s="71">
        <v>0</v>
      </c>
    </row>
    <row r="630" customFormat="1" ht="12.75" hidden="1" spans="1:10">
      <c r="A630" s="64"/>
      <c r="B630" s="73" t="s">
        <v>1193</v>
      </c>
      <c r="C630" s="66" t="s">
        <v>1194</v>
      </c>
      <c r="D630" s="67">
        <v>1.3043</v>
      </c>
      <c r="E630" s="68"/>
      <c r="F630" s="69">
        <v>5</v>
      </c>
      <c r="G630" s="70"/>
      <c r="H630" s="71">
        <v>3</v>
      </c>
      <c r="I630" s="71">
        <v>0</v>
      </c>
      <c r="J630" s="71">
        <v>0</v>
      </c>
    </row>
    <row r="631" customFormat="1" ht="12.75" hidden="1" spans="1:10">
      <c r="A631" s="64"/>
      <c r="B631" s="73" t="s">
        <v>1195</v>
      </c>
      <c r="C631" s="66" t="s">
        <v>1196</v>
      </c>
      <c r="D631" s="67">
        <v>1.3478</v>
      </c>
      <c r="E631" s="68"/>
      <c r="F631" s="69">
        <v>5</v>
      </c>
      <c r="G631" s="70"/>
      <c r="H631" s="71">
        <v>0</v>
      </c>
      <c r="I631" s="71">
        <v>0</v>
      </c>
      <c r="J631" s="71">
        <v>0</v>
      </c>
    </row>
    <row r="632" customFormat="1" ht="12.75" hidden="1" spans="1:10">
      <c r="A632" s="64"/>
      <c r="B632" s="73" t="s">
        <v>1197</v>
      </c>
      <c r="C632" s="66" t="s">
        <v>1198</v>
      </c>
      <c r="D632" s="67">
        <v>1.3043</v>
      </c>
      <c r="E632" s="68"/>
      <c r="F632" s="69">
        <v>0</v>
      </c>
      <c r="G632" s="70"/>
      <c r="H632" s="71">
        <v>0</v>
      </c>
      <c r="I632" s="71">
        <v>3</v>
      </c>
      <c r="J632" s="71">
        <v>2.5</v>
      </c>
    </row>
    <row r="633" customFormat="1" ht="12.75" hidden="1" spans="1:10">
      <c r="A633" s="74"/>
      <c r="B633" s="73" t="s">
        <v>1199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  <c r="I633" s="71">
        <v>0</v>
      </c>
      <c r="J633" s="71">
        <v>0</v>
      </c>
    </row>
    <row r="634" customFormat="1" ht="12.75" hidden="1" spans="1:10">
      <c r="A634" s="75"/>
      <c r="B634" s="73" t="s">
        <v>1201</v>
      </c>
      <c r="C634" s="66" t="s">
        <v>1200</v>
      </c>
      <c r="D634" s="67">
        <v>0.2174</v>
      </c>
      <c r="E634" s="68"/>
      <c r="F634" s="69">
        <v>1</v>
      </c>
      <c r="G634" s="70"/>
      <c r="H634" s="71">
        <v>0.5</v>
      </c>
      <c r="I634" s="71">
        <v>0</v>
      </c>
      <c r="J634" s="71">
        <v>0</v>
      </c>
    </row>
    <row r="635" customFormat="1" ht="12.75" hidden="1" spans="1:10">
      <c r="A635" s="74"/>
      <c r="B635" s="73" t="s">
        <v>1202</v>
      </c>
      <c r="C635" s="66" t="s">
        <v>1203</v>
      </c>
      <c r="D635" s="67">
        <v>0.4348</v>
      </c>
      <c r="E635" s="68"/>
      <c r="F635" s="69">
        <v>0</v>
      </c>
      <c r="G635" s="70"/>
      <c r="H635" s="71">
        <v>0</v>
      </c>
      <c r="I635" s="71">
        <v>1</v>
      </c>
      <c r="J635" s="71">
        <v>0.5</v>
      </c>
    </row>
    <row r="636" customFormat="1" ht="12.75" hidden="1" spans="1:10">
      <c r="A636" s="75"/>
      <c r="B636" s="73" t="s">
        <v>1204</v>
      </c>
      <c r="C636" s="66" t="s">
        <v>1203</v>
      </c>
      <c r="D636" s="67">
        <v>0.4348</v>
      </c>
      <c r="E636" s="68"/>
      <c r="F636" s="69">
        <v>0</v>
      </c>
      <c r="G636" s="70"/>
      <c r="H636" s="71">
        <v>0</v>
      </c>
      <c r="I636" s="71">
        <v>1</v>
      </c>
      <c r="J636" s="71">
        <v>0.5</v>
      </c>
    </row>
    <row r="637" customFormat="1" ht="12.75" hidden="1" spans="1:10">
      <c r="A637" s="64"/>
      <c r="B637" s="73" t="s">
        <v>1205</v>
      </c>
      <c r="C637" s="66" t="s">
        <v>1206</v>
      </c>
      <c r="D637" s="67">
        <v>2.6087</v>
      </c>
      <c r="E637" s="68"/>
      <c r="F637" s="69">
        <v>9.5</v>
      </c>
      <c r="G637" s="70"/>
      <c r="H637" s="71">
        <v>6</v>
      </c>
      <c r="I637" s="71">
        <v>0</v>
      </c>
      <c r="J637" s="71">
        <v>0</v>
      </c>
    </row>
    <row r="638" customFormat="1" ht="12.75" hidden="1" spans="1:10">
      <c r="A638" s="64"/>
      <c r="B638" s="73" t="s">
        <v>1207</v>
      </c>
      <c r="C638" s="66" t="s">
        <v>1208</v>
      </c>
      <c r="D638" s="67">
        <v>2.5652</v>
      </c>
      <c r="E638" s="68"/>
      <c r="F638" s="79">
        <v>10</v>
      </c>
      <c r="G638" s="80"/>
      <c r="H638" s="71">
        <v>5.9</v>
      </c>
      <c r="I638" s="71">
        <v>0</v>
      </c>
      <c r="J638" s="71">
        <v>0</v>
      </c>
    </row>
    <row r="639" customFormat="1" ht="12.75" hidden="1" spans="1:10">
      <c r="A639" s="64"/>
      <c r="B639" s="73" t="s">
        <v>1209</v>
      </c>
      <c r="C639" s="66" t="s">
        <v>1210</v>
      </c>
      <c r="D639" s="67">
        <v>3.3043</v>
      </c>
      <c r="E639" s="68"/>
      <c r="F639" s="79">
        <v>12.2</v>
      </c>
      <c r="G639" s="80"/>
      <c r="H639" s="71">
        <v>7.6</v>
      </c>
      <c r="I639" s="71">
        <v>0</v>
      </c>
      <c r="J639" s="71">
        <v>0</v>
      </c>
    </row>
    <row r="640" customFormat="1" ht="12.75" hidden="1" spans="1:10">
      <c r="A640" s="64"/>
      <c r="B640" s="73" t="s">
        <v>1211</v>
      </c>
      <c r="C640" s="66" t="s">
        <v>1212</v>
      </c>
      <c r="D640" s="67">
        <v>0.5652</v>
      </c>
      <c r="E640" s="68"/>
      <c r="F640" s="69">
        <v>2.5</v>
      </c>
      <c r="G640" s="70"/>
      <c r="H640" s="71">
        <v>1.3</v>
      </c>
      <c r="I640" s="71">
        <v>0</v>
      </c>
      <c r="J640" s="71">
        <v>0</v>
      </c>
    </row>
    <row r="641" customFormat="1" ht="12.75" hidden="1" spans="1:10">
      <c r="A641" s="64"/>
      <c r="B641" s="73" t="s">
        <v>1213</v>
      </c>
      <c r="C641" s="66" t="s">
        <v>1214</v>
      </c>
      <c r="D641" s="67">
        <v>2.4783</v>
      </c>
      <c r="E641" s="68"/>
      <c r="F641" s="69">
        <v>9.1</v>
      </c>
      <c r="G641" s="70"/>
      <c r="H641" s="71">
        <v>5.7</v>
      </c>
      <c r="I641" s="71">
        <v>0</v>
      </c>
      <c r="J641" s="71">
        <v>0</v>
      </c>
    </row>
    <row r="642" customFormat="1" ht="25.5" hidden="1" spans="1:10">
      <c r="A642" s="64"/>
      <c r="B642" s="73" t="s">
        <v>1215</v>
      </c>
      <c r="C642" s="66" t="s">
        <v>1216</v>
      </c>
      <c r="D642" s="67">
        <v>0.2609</v>
      </c>
      <c r="E642" s="68"/>
      <c r="F642" s="69">
        <v>1</v>
      </c>
      <c r="G642" s="70"/>
      <c r="H642" s="71">
        <v>0.6</v>
      </c>
      <c r="I642" s="71">
        <v>0</v>
      </c>
      <c r="J642" s="71">
        <v>0</v>
      </c>
    </row>
    <row r="643" customFormat="1" ht="25.5" hidden="1" spans="1:10">
      <c r="A643" s="64"/>
      <c r="B643" s="73" t="s">
        <v>1217</v>
      </c>
      <c r="C643" s="66" t="s">
        <v>1218</v>
      </c>
      <c r="D643" s="67">
        <v>0.3478</v>
      </c>
      <c r="E643" s="68"/>
      <c r="F643" s="69">
        <v>1.2</v>
      </c>
      <c r="G643" s="70"/>
      <c r="H643" s="71">
        <v>0.8</v>
      </c>
      <c r="I643" s="71">
        <v>0</v>
      </c>
      <c r="J643" s="71">
        <v>0</v>
      </c>
    </row>
    <row r="644" customFormat="1" ht="12.75" hidden="1" spans="1:10">
      <c r="A644" s="64"/>
      <c r="B644" s="73" t="s">
        <v>1219</v>
      </c>
      <c r="C644" s="66" t="s">
        <v>1220</v>
      </c>
      <c r="D644" s="67">
        <v>0.1304</v>
      </c>
      <c r="E644" s="68"/>
      <c r="F644" s="69">
        <v>0.5</v>
      </c>
      <c r="G644" s="70"/>
      <c r="H644" s="71">
        <v>0.3</v>
      </c>
      <c r="I644" s="71">
        <v>0</v>
      </c>
      <c r="J644" s="71">
        <v>0</v>
      </c>
    </row>
    <row r="645" customFormat="1" ht="12.75" hidden="1" spans="1:10">
      <c r="A645" s="64"/>
      <c r="B645" s="73" t="s">
        <v>1221</v>
      </c>
      <c r="C645" s="66" t="s">
        <v>1222</v>
      </c>
      <c r="D645" s="67">
        <v>0.2174</v>
      </c>
      <c r="E645" s="68"/>
      <c r="F645" s="69">
        <v>0.8</v>
      </c>
      <c r="G645" s="70"/>
      <c r="H645" s="71">
        <v>0.5</v>
      </c>
      <c r="I645" s="71">
        <v>0</v>
      </c>
      <c r="J645" s="71">
        <v>0</v>
      </c>
    </row>
    <row r="646" customFormat="1" ht="12.75" hidden="1" spans="1:10">
      <c r="A646" s="64"/>
      <c r="B646" s="65">
        <v>6937630002071</v>
      </c>
      <c r="C646" s="66" t="s">
        <v>1223</v>
      </c>
      <c r="D646" s="67">
        <v>0.1739</v>
      </c>
      <c r="E646" s="68"/>
      <c r="F646" s="69">
        <v>0.8</v>
      </c>
      <c r="G646" s="70"/>
      <c r="H646" s="71">
        <v>0.4</v>
      </c>
      <c r="I646" s="71">
        <v>0</v>
      </c>
      <c r="J646" s="71">
        <v>0</v>
      </c>
    </row>
    <row r="647" customFormat="1" ht="12.75" hidden="1" spans="1:10">
      <c r="A647" s="64"/>
      <c r="B647" s="73" t="s">
        <v>1224</v>
      </c>
      <c r="C647" s="66" t="s">
        <v>1225</v>
      </c>
      <c r="D647" s="67">
        <v>0.7826</v>
      </c>
      <c r="E647" s="68"/>
      <c r="F647" s="69">
        <v>3</v>
      </c>
      <c r="G647" s="70"/>
      <c r="H647" s="71">
        <v>2</v>
      </c>
      <c r="I647" s="71">
        <v>0</v>
      </c>
      <c r="J647" s="71">
        <v>0</v>
      </c>
    </row>
    <row r="648" customFormat="1" ht="25.5" hidden="1" spans="1:10">
      <c r="A648" s="64"/>
      <c r="B648" s="73" t="s">
        <v>1226</v>
      </c>
      <c r="C648" s="66" t="s">
        <v>1227</v>
      </c>
      <c r="D648" s="67">
        <v>0.8696</v>
      </c>
      <c r="E648" s="68"/>
      <c r="F648" s="69">
        <v>4</v>
      </c>
      <c r="G648" s="70"/>
      <c r="H648" s="71">
        <v>3</v>
      </c>
      <c r="I648" s="71">
        <v>0</v>
      </c>
      <c r="J648" s="71">
        <v>0</v>
      </c>
    </row>
    <row r="649" customFormat="1" ht="12.75" hidden="1" spans="1:10">
      <c r="A649" s="64"/>
      <c r="B649" s="73" t="s">
        <v>1228</v>
      </c>
      <c r="C649" s="66" t="s">
        <v>1229</v>
      </c>
      <c r="D649" s="67">
        <v>0.1304</v>
      </c>
      <c r="E649" s="68"/>
      <c r="F649" s="69">
        <v>0.5</v>
      </c>
      <c r="G649" s="70"/>
      <c r="H649" s="71">
        <v>0.3</v>
      </c>
      <c r="I649" s="71">
        <v>0</v>
      </c>
      <c r="J649" s="71">
        <v>0</v>
      </c>
    </row>
    <row r="650" customFormat="1" ht="12.75" hidden="1" spans="1:10">
      <c r="A650" s="64"/>
      <c r="B650" s="73" t="s">
        <v>1230</v>
      </c>
      <c r="C650" s="66" t="s">
        <v>1231</v>
      </c>
      <c r="D650" s="67">
        <v>0.1087</v>
      </c>
      <c r="E650" s="68"/>
      <c r="F650" s="69">
        <v>0.5</v>
      </c>
      <c r="G650" s="70"/>
      <c r="H650" s="71">
        <v>0.25</v>
      </c>
      <c r="I650" s="71">
        <v>0</v>
      </c>
      <c r="J650" s="71">
        <v>0</v>
      </c>
    </row>
    <row r="651" customFormat="1" ht="12.75" hidden="1" spans="1:10">
      <c r="A651" s="64"/>
      <c r="B651" s="73" t="s">
        <v>1232</v>
      </c>
      <c r="C651" s="66" t="s">
        <v>1233</v>
      </c>
      <c r="D651" s="67">
        <v>0.1304</v>
      </c>
      <c r="E651" s="68"/>
      <c r="F651" s="69">
        <v>0.5</v>
      </c>
      <c r="G651" s="70"/>
      <c r="H651" s="71">
        <v>0.3</v>
      </c>
      <c r="I651" s="71">
        <v>0</v>
      </c>
      <c r="J651" s="71">
        <v>0</v>
      </c>
    </row>
    <row r="652" customFormat="1" ht="12.75" hidden="1" spans="1:10">
      <c r="A652" s="64"/>
      <c r="B652" s="73" t="s">
        <v>1234</v>
      </c>
      <c r="C652" s="66" t="s">
        <v>1235</v>
      </c>
      <c r="D652" s="67">
        <v>0.1739</v>
      </c>
      <c r="E652" s="68"/>
      <c r="F652" s="69">
        <v>0.25</v>
      </c>
      <c r="G652" s="70"/>
      <c r="H652" s="71">
        <v>0.4</v>
      </c>
      <c r="I652" s="71">
        <v>0</v>
      </c>
      <c r="J652" s="71">
        <v>0</v>
      </c>
    </row>
    <row r="653" customFormat="1" ht="12.75" hidden="1" spans="1:10">
      <c r="A653" s="64"/>
      <c r="B653" s="73" t="s">
        <v>1236</v>
      </c>
      <c r="C653" s="66" t="s">
        <v>1237</v>
      </c>
      <c r="D653" s="67">
        <v>0.1739</v>
      </c>
      <c r="E653" s="68"/>
      <c r="F653" s="69">
        <v>0.6</v>
      </c>
      <c r="G653" s="70"/>
      <c r="H653" s="71">
        <v>0.4</v>
      </c>
      <c r="I653" s="71">
        <v>0</v>
      </c>
      <c r="J653" s="71">
        <v>0</v>
      </c>
    </row>
    <row r="654" customFormat="1" ht="12.75" hidden="1" spans="1:10">
      <c r="A654" s="64"/>
      <c r="B654" s="65">
        <v>6948476623542</v>
      </c>
      <c r="C654" s="66" t="s">
        <v>1238</v>
      </c>
      <c r="D654" s="67">
        <v>0.2174</v>
      </c>
      <c r="E654" s="68"/>
      <c r="F654" s="69">
        <v>0.7</v>
      </c>
      <c r="G654" s="70"/>
      <c r="H654" s="71">
        <v>0.5</v>
      </c>
      <c r="I654" s="71">
        <v>0</v>
      </c>
      <c r="J654" s="71">
        <v>0</v>
      </c>
    </row>
    <row r="655" customFormat="1" ht="12.75" hidden="1" spans="1:10">
      <c r="A655" s="64"/>
      <c r="B655" s="65">
        <v>4010355307736</v>
      </c>
      <c r="C655" s="66" t="s">
        <v>1239</v>
      </c>
      <c r="D655" s="67">
        <v>0.2609</v>
      </c>
      <c r="E655" s="68"/>
      <c r="F655" s="69">
        <v>1</v>
      </c>
      <c r="G655" s="70"/>
      <c r="H655" s="71">
        <v>0.6</v>
      </c>
      <c r="I655" s="71">
        <v>0</v>
      </c>
      <c r="J655" s="71">
        <v>0</v>
      </c>
    </row>
    <row r="656" customFormat="1" ht="12.75" hidden="1" spans="1:10">
      <c r="A656" s="64"/>
      <c r="B656" s="73" t="s">
        <v>1240</v>
      </c>
      <c r="C656" s="66" t="s">
        <v>1241</v>
      </c>
      <c r="D656" s="67">
        <v>0.1304</v>
      </c>
      <c r="E656" s="68"/>
      <c r="F656" s="69">
        <v>0.5</v>
      </c>
      <c r="G656" s="70"/>
      <c r="H656" s="71">
        <v>0.25</v>
      </c>
      <c r="I656" s="71">
        <v>0</v>
      </c>
      <c r="J656" s="71">
        <v>0</v>
      </c>
    </row>
    <row r="657" customFormat="1" ht="12.75" hidden="1" spans="1:10">
      <c r="A657" s="64"/>
      <c r="B657" s="73" t="s">
        <v>1242</v>
      </c>
      <c r="C657" s="66" t="s">
        <v>1243</v>
      </c>
      <c r="D657" s="67">
        <v>0.3043</v>
      </c>
      <c r="E657" s="68"/>
      <c r="F657" s="69">
        <v>0</v>
      </c>
      <c r="G657" s="70"/>
      <c r="H657" s="71">
        <v>0</v>
      </c>
      <c r="I657" s="71">
        <v>0.7</v>
      </c>
      <c r="J657" s="71">
        <v>0.4</v>
      </c>
    </row>
    <row r="658" customFormat="1" ht="12.75" hidden="1" spans="1:10">
      <c r="A658" s="74"/>
      <c r="B658" s="73" t="s">
        <v>1244</v>
      </c>
      <c r="C658" s="66" t="s">
        <v>1245</v>
      </c>
      <c r="D658" s="67">
        <v>1.3043</v>
      </c>
      <c r="E658" s="68"/>
      <c r="F658" s="69">
        <v>4</v>
      </c>
      <c r="G658" s="70"/>
      <c r="H658" s="71">
        <v>3</v>
      </c>
      <c r="I658" s="71">
        <v>0</v>
      </c>
      <c r="J658" s="71">
        <v>0</v>
      </c>
    </row>
    <row r="659" customFormat="1" ht="12.75" hidden="1" spans="1:10">
      <c r="A659" s="84"/>
      <c r="B659" s="73" t="s">
        <v>1246</v>
      </c>
      <c r="C659" s="66" t="s">
        <v>1245</v>
      </c>
      <c r="D659" s="67">
        <v>1.087</v>
      </c>
      <c r="E659" s="68"/>
      <c r="F659" s="69">
        <v>4</v>
      </c>
      <c r="G659" s="70"/>
      <c r="H659" s="71">
        <v>2.5</v>
      </c>
      <c r="I659" s="71">
        <v>0</v>
      </c>
      <c r="J659" s="71">
        <v>0</v>
      </c>
    </row>
    <row r="660" customFormat="1" ht="12.75" hidden="1" spans="1:10">
      <c r="A660" s="84"/>
      <c r="B660" s="73" t="s">
        <v>1247</v>
      </c>
      <c r="C660" s="66" t="s">
        <v>1245</v>
      </c>
      <c r="D660" s="67">
        <v>0.8696</v>
      </c>
      <c r="E660" s="68"/>
      <c r="F660" s="69">
        <v>4</v>
      </c>
      <c r="G660" s="70"/>
      <c r="H660" s="71">
        <v>2</v>
      </c>
      <c r="I660" s="71">
        <v>0</v>
      </c>
      <c r="J660" s="71">
        <v>0</v>
      </c>
    </row>
    <row r="661" customFormat="1" ht="12.75" hidden="1" spans="1:10">
      <c r="A661" s="75"/>
      <c r="B661" s="73" t="s">
        <v>1248</v>
      </c>
      <c r="C661" s="66" t="s">
        <v>1245</v>
      </c>
      <c r="D661" s="67">
        <v>1.3043</v>
      </c>
      <c r="E661" s="68"/>
      <c r="F661" s="69">
        <v>4.5</v>
      </c>
      <c r="G661" s="70"/>
      <c r="H661" s="71">
        <v>3</v>
      </c>
      <c r="I661" s="71">
        <v>0</v>
      </c>
      <c r="J661" s="71">
        <v>0</v>
      </c>
    </row>
    <row r="662" customFormat="1" ht="12.75" hidden="1" spans="1:10">
      <c r="A662" s="64"/>
      <c r="B662" s="73" t="s">
        <v>1249</v>
      </c>
      <c r="C662" s="66" t="s">
        <v>1250</v>
      </c>
      <c r="D662" s="67">
        <v>0.4783</v>
      </c>
      <c r="E662" s="68"/>
      <c r="F662" s="69">
        <v>1.7</v>
      </c>
      <c r="G662" s="70"/>
      <c r="H662" s="71">
        <v>1.1</v>
      </c>
      <c r="I662" s="71">
        <v>0</v>
      </c>
      <c r="J662" s="71">
        <v>0</v>
      </c>
    </row>
    <row r="663" customFormat="1" ht="12.75" hidden="1" spans="1:10">
      <c r="A663" s="64"/>
      <c r="B663" s="73" t="s">
        <v>1251</v>
      </c>
      <c r="C663" s="66" t="s">
        <v>1252</v>
      </c>
      <c r="D663" s="67">
        <v>0.7826</v>
      </c>
      <c r="E663" s="68"/>
      <c r="F663" s="69">
        <v>2.8</v>
      </c>
      <c r="G663" s="70"/>
      <c r="H663" s="71">
        <v>1.8</v>
      </c>
      <c r="I663" s="71">
        <v>0</v>
      </c>
      <c r="J663" s="71">
        <v>0</v>
      </c>
    </row>
    <row r="664" customFormat="1" ht="12.75" hidden="1" spans="1:10">
      <c r="A664" s="64"/>
      <c r="B664" s="73" t="s">
        <v>1253</v>
      </c>
      <c r="C664" s="66" t="s">
        <v>1254</v>
      </c>
      <c r="D664" s="67">
        <v>0.8696</v>
      </c>
      <c r="E664" s="68"/>
      <c r="F664" s="69">
        <v>4</v>
      </c>
      <c r="G664" s="70"/>
      <c r="H664" s="71">
        <v>2</v>
      </c>
      <c r="I664" s="71">
        <v>0</v>
      </c>
      <c r="J664" s="71">
        <v>0</v>
      </c>
    </row>
    <row r="665" customFormat="1" ht="12.75" hidden="1" spans="1:10">
      <c r="A665" s="64"/>
      <c r="B665" s="73" t="s">
        <v>1255</v>
      </c>
      <c r="C665" s="66" t="s">
        <v>1256</v>
      </c>
      <c r="D665" s="82">
        <v>43.4783</v>
      </c>
      <c r="E665" s="83"/>
      <c r="F665" s="79">
        <v>180</v>
      </c>
      <c r="G665" s="80"/>
      <c r="H665" s="71">
        <v>100</v>
      </c>
      <c r="I665" s="71">
        <v>0</v>
      </c>
      <c r="J665" s="71">
        <v>0</v>
      </c>
    </row>
    <row r="666" customFormat="1" ht="12.75" hidden="1" spans="1:10">
      <c r="A666" s="64"/>
      <c r="B666" s="73" t="s">
        <v>1257</v>
      </c>
      <c r="C666" s="66" t="s">
        <v>1258</v>
      </c>
      <c r="D666" s="67">
        <v>0.4783</v>
      </c>
      <c r="E666" s="68"/>
      <c r="F666" s="69">
        <v>2</v>
      </c>
      <c r="G666" s="70"/>
      <c r="H666" s="71">
        <v>1.1</v>
      </c>
      <c r="I666" s="71">
        <v>0</v>
      </c>
      <c r="J666" s="71">
        <v>0</v>
      </c>
    </row>
    <row r="667" customFormat="1" ht="12.75" hidden="1" spans="1:10">
      <c r="A667" s="64"/>
      <c r="B667" s="73" t="s">
        <v>1259</v>
      </c>
      <c r="C667" s="66" t="s">
        <v>1260</v>
      </c>
      <c r="D667" s="67">
        <v>0.7826</v>
      </c>
      <c r="E667" s="68"/>
      <c r="F667" s="69">
        <v>2.8</v>
      </c>
      <c r="G667" s="70"/>
      <c r="H667" s="71">
        <v>1.8</v>
      </c>
      <c r="I667" s="71">
        <v>0</v>
      </c>
      <c r="J667" s="71">
        <v>0</v>
      </c>
    </row>
    <row r="668" customFormat="1" ht="12.75" hidden="1" spans="1:10">
      <c r="A668" s="64"/>
      <c r="B668" s="73" t="s">
        <v>1261</v>
      </c>
      <c r="C668" s="66" t="s">
        <v>1262</v>
      </c>
      <c r="D668" s="67">
        <v>1.3043</v>
      </c>
      <c r="E668" s="68"/>
      <c r="F668" s="69">
        <v>4</v>
      </c>
      <c r="G668" s="70"/>
      <c r="H668" s="71">
        <v>3</v>
      </c>
      <c r="I668" s="71">
        <v>0</v>
      </c>
      <c r="J668" s="71">
        <v>0</v>
      </c>
    </row>
    <row r="669" customFormat="1" ht="12.75" hidden="1" spans="1:10">
      <c r="A669" s="64"/>
      <c r="B669" s="73" t="s">
        <v>1263</v>
      </c>
      <c r="C669" s="66" t="s">
        <v>1264</v>
      </c>
      <c r="D669" s="67">
        <v>1.1304</v>
      </c>
      <c r="E669" s="68"/>
      <c r="F669" s="69">
        <v>4</v>
      </c>
      <c r="G669" s="70"/>
      <c r="H669" s="71">
        <v>2.6</v>
      </c>
      <c r="I669" s="71">
        <v>0</v>
      </c>
      <c r="J669" s="71">
        <v>0</v>
      </c>
    </row>
    <row r="670" customFormat="1" ht="12.75" hidden="1" spans="1:10">
      <c r="A670" s="64"/>
      <c r="B670" s="73" t="s">
        <v>1265</v>
      </c>
      <c r="C670" s="66" t="s">
        <v>1266</v>
      </c>
      <c r="D670" s="67">
        <v>0.2174</v>
      </c>
      <c r="E670" s="68"/>
      <c r="F670" s="69">
        <v>0</v>
      </c>
      <c r="G670" s="70"/>
      <c r="H670" s="71">
        <v>0</v>
      </c>
      <c r="I670" s="71">
        <v>0.5</v>
      </c>
      <c r="J670" s="71">
        <v>0.3</v>
      </c>
    </row>
    <row r="671" customFormat="1" ht="12.75" hidden="1" spans="1:10">
      <c r="A671" s="64"/>
      <c r="B671" s="73" t="s">
        <v>1267</v>
      </c>
      <c r="C671" s="66" t="s">
        <v>1268</v>
      </c>
      <c r="D671" s="67">
        <v>5.2174</v>
      </c>
      <c r="E671" s="68"/>
      <c r="F671" s="79">
        <v>20</v>
      </c>
      <c r="G671" s="80"/>
      <c r="H671" s="71">
        <v>12</v>
      </c>
      <c r="I671" s="71">
        <v>0</v>
      </c>
      <c r="J671" s="71">
        <v>0</v>
      </c>
    </row>
    <row r="672" customFormat="1" ht="12.75" hidden="1" spans="1:10">
      <c r="A672" s="64"/>
      <c r="B672" s="73" t="s">
        <v>1269</v>
      </c>
      <c r="C672" s="66" t="s">
        <v>1270</v>
      </c>
      <c r="D672" s="67">
        <v>0.087</v>
      </c>
      <c r="E672" s="68"/>
      <c r="F672" s="69">
        <v>0.3</v>
      </c>
      <c r="G672" s="70"/>
      <c r="H672" s="71">
        <v>0.2</v>
      </c>
      <c r="I672" s="71">
        <v>0</v>
      </c>
      <c r="J672" s="71">
        <v>0</v>
      </c>
    </row>
    <row r="673" customFormat="1" ht="12.75" hidden="1" spans="1:10">
      <c r="A673" s="64"/>
      <c r="B673" s="73" t="s">
        <v>1271</v>
      </c>
      <c r="C673" s="66" t="s">
        <v>1272</v>
      </c>
      <c r="D673" s="67">
        <v>0.1739</v>
      </c>
      <c r="E673" s="68"/>
      <c r="F673" s="69">
        <v>0.6</v>
      </c>
      <c r="G673" s="70"/>
      <c r="H673" s="71">
        <v>0.4</v>
      </c>
      <c r="I673" s="71">
        <v>0</v>
      </c>
      <c r="J673" s="71">
        <v>0</v>
      </c>
    </row>
    <row r="674" customFormat="1" ht="12.75" hidden="1" spans="1:10">
      <c r="A674" s="64"/>
      <c r="B674" s="73" t="s">
        <v>1273</v>
      </c>
      <c r="C674" s="66" t="s">
        <v>1274</v>
      </c>
      <c r="D674" s="67">
        <v>0.0435</v>
      </c>
      <c r="E674" s="68"/>
      <c r="F674" s="69">
        <v>0.25</v>
      </c>
      <c r="G674" s="70"/>
      <c r="H674" s="71">
        <v>0.1</v>
      </c>
      <c r="I674" s="71">
        <v>0</v>
      </c>
      <c r="J674" s="71">
        <v>0</v>
      </c>
    </row>
    <row r="675" customFormat="1" ht="12.75" hidden="1" spans="1:10">
      <c r="A675" s="64"/>
      <c r="B675" s="73" t="s">
        <v>1275</v>
      </c>
      <c r="C675" s="66" t="s">
        <v>1276</v>
      </c>
      <c r="D675" s="67">
        <v>0.087</v>
      </c>
      <c r="E675" s="68"/>
      <c r="F675" s="69">
        <v>0.5</v>
      </c>
      <c r="G675" s="70"/>
      <c r="H675" s="71">
        <v>0.2</v>
      </c>
      <c r="I675" s="71">
        <v>0</v>
      </c>
      <c r="J675" s="71">
        <v>0</v>
      </c>
    </row>
    <row r="676" customFormat="1" ht="12.75" hidden="1" spans="1:10">
      <c r="A676" s="64"/>
      <c r="B676" s="73" t="s">
        <v>1277</v>
      </c>
      <c r="C676" s="66" t="s">
        <v>1278</v>
      </c>
      <c r="D676" s="67">
        <v>0.087</v>
      </c>
      <c r="E676" s="68"/>
      <c r="F676" s="69">
        <v>0.5</v>
      </c>
      <c r="G676" s="70"/>
      <c r="H676" s="71">
        <v>0.2</v>
      </c>
      <c r="I676" s="71">
        <v>0</v>
      </c>
      <c r="J676" s="71">
        <v>0</v>
      </c>
    </row>
    <row r="677" customFormat="1" ht="12.75" hidden="1" spans="1:10">
      <c r="A677" s="64"/>
      <c r="B677" s="73" t="s">
        <v>1279</v>
      </c>
      <c r="C677" s="66" t="s">
        <v>1280</v>
      </c>
      <c r="D677" s="67">
        <v>0.1304</v>
      </c>
      <c r="E677" s="68"/>
      <c r="F677" s="69">
        <v>0.5</v>
      </c>
      <c r="G677" s="70"/>
      <c r="H677" s="71">
        <v>0.3</v>
      </c>
      <c r="I677" s="71">
        <v>0</v>
      </c>
      <c r="J677" s="71">
        <v>0</v>
      </c>
    </row>
    <row r="678" customFormat="1" ht="27.95" hidden="1" customHeight="1" spans="1:10">
      <c r="A678" s="64"/>
      <c r="B678" s="73" t="s">
        <v>1281</v>
      </c>
      <c r="C678" s="66" t="s">
        <v>1282</v>
      </c>
      <c r="D678" s="67">
        <v>0.2174</v>
      </c>
      <c r="E678" s="68"/>
      <c r="F678" s="69">
        <v>0.8</v>
      </c>
      <c r="G678" s="70"/>
      <c r="H678" s="71">
        <v>0.5</v>
      </c>
      <c r="I678" s="71">
        <v>0</v>
      </c>
      <c r="J678" s="71">
        <v>0</v>
      </c>
    </row>
    <row r="679" customFormat="1" ht="27.95" hidden="1" customHeight="1" spans="1:10">
      <c r="A679" s="64"/>
      <c r="B679" s="73" t="s">
        <v>1283</v>
      </c>
      <c r="C679" s="66" t="s">
        <v>1284</v>
      </c>
      <c r="D679" s="67">
        <v>4.3478</v>
      </c>
      <c r="E679" s="68"/>
      <c r="F679" s="69">
        <v>0</v>
      </c>
      <c r="G679" s="70"/>
      <c r="H679" s="71">
        <v>0</v>
      </c>
      <c r="I679" s="71">
        <v>10</v>
      </c>
      <c r="J679" s="71">
        <v>8</v>
      </c>
    </row>
    <row r="680" customFormat="1" ht="27.95" hidden="1" customHeight="1" spans="1:10">
      <c r="A680" s="64"/>
      <c r="B680" s="65">
        <v>6927433612256</v>
      </c>
      <c r="C680" s="66" t="s">
        <v>1285</v>
      </c>
      <c r="D680" s="67">
        <v>0.2609</v>
      </c>
      <c r="E680" s="68"/>
      <c r="F680" s="69">
        <v>1</v>
      </c>
      <c r="G680" s="70"/>
      <c r="H680" s="71">
        <v>0.6</v>
      </c>
      <c r="I680" s="71">
        <v>0</v>
      </c>
      <c r="J680" s="71">
        <v>0</v>
      </c>
    </row>
    <row r="681" customFormat="1" ht="27.95" hidden="1" customHeight="1" spans="1:10">
      <c r="A681" s="64"/>
      <c r="B681" s="65">
        <v>6931388597582</v>
      </c>
      <c r="C681" s="66" t="s">
        <v>1286</v>
      </c>
      <c r="D681" s="67">
        <v>0.087</v>
      </c>
      <c r="E681" s="68"/>
      <c r="F681" s="69">
        <v>0.5</v>
      </c>
      <c r="G681" s="70"/>
      <c r="H681" s="71">
        <v>0.3</v>
      </c>
      <c r="I681" s="71">
        <v>0</v>
      </c>
      <c r="J681" s="71">
        <v>0</v>
      </c>
    </row>
    <row r="682" customFormat="1" ht="27.95" hidden="1" customHeight="1" spans="1:10">
      <c r="A682" s="64"/>
      <c r="B682" s="73" t="s">
        <v>1287</v>
      </c>
      <c r="C682" s="66" t="s">
        <v>1288</v>
      </c>
      <c r="D682" s="67">
        <v>0.1304</v>
      </c>
      <c r="E682" s="68"/>
      <c r="F682" s="69">
        <v>0.4</v>
      </c>
      <c r="G682" s="70"/>
      <c r="H682" s="71">
        <v>0.3</v>
      </c>
      <c r="I682" s="71">
        <v>0</v>
      </c>
      <c r="J682" s="71">
        <v>0</v>
      </c>
    </row>
    <row r="683" customFormat="1" ht="27.95" hidden="1" customHeight="1" spans="1:10">
      <c r="A683" s="64"/>
      <c r="B683" s="73" t="s">
        <v>1289</v>
      </c>
      <c r="C683" s="66" t="s">
        <v>1290</v>
      </c>
      <c r="D683" s="67">
        <v>1.8696</v>
      </c>
      <c r="E683" s="68"/>
      <c r="F683" s="69">
        <v>6.9</v>
      </c>
      <c r="G683" s="70"/>
      <c r="H683" s="71">
        <v>4.3</v>
      </c>
      <c r="I683" s="71">
        <v>0</v>
      </c>
      <c r="J683" s="71">
        <v>0</v>
      </c>
    </row>
    <row r="684" customFormat="1" ht="27.95" hidden="1" customHeight="1" spans="1:10">
      <c r="A684" s="64"/>
      <c r="B684" s="73" t="s">
        <v>1291</v>
      </c>
      <c r="C684" s="66" t="s">
        <v>1292</v>
      </c>
      <c r="D684" s="67">
        <v>1.1304</v>
      </c>
      <c r="E684" s="68"/>
      <c r="F684" s="69">
        <v>4.1</v>
      </c>
      <c r="G684" s="70"/>
      <c r="H684" s="71">
        <v>2.6</v>
      </c>
      <c r="I684" s="71">
        <v>0</v>
      </c>
      <c r="J684" s="71">
        <v>0</v>
      </c>
    </row>
    <row r="685" customFormat="1" ht="27.95" hidden="1" customHeight="1" spans="1:10">
      <c r="A685" s="64"/>
      <c r="B685" s="73" t="s">
        <v>1293</v>
      </c>
      <c r="C685" s="66" t="s">
        <v>1294</v>
      </c>
      <c r="D685" s="67">
        <v>4.0435</v>
      </c>
      <c r="E685" s="68"/>
      <c r="F685" s="79">
        <v>15</v>
      </c>
      <c r="G685" s="80"/>
      <c r="H685" s="71">
        <v>9.3</v>
      </c>
      <c r="I685" s="71">
        <v>0</v>
      </c>
      <c r="J685" s="71">
        <v>0</v>
      </c>
    </row>
    <row r="686" customFormat="1" ht="27.95" hidden="1" customHeight="1" spans="1:10">
      <c r="A686" s="64"/>
      <c r="B686" s="65">
        <v>6925749722157</v>
      </c>
      <c r="C686" s="66" t="s">
        <v>1295</v>
      </c>
      <c r="D686" s="67">
        <v>1</v>
      </c>
      <c r="E686" s="68"/>
      <c r="F686" s="69">
        <v>3.6</v>
      </c>
      <c r="G686" s="70"/>
      <c r="H686" s="71">
        <v>2.3</v>
      </c>
      <c r="I686" s="71">
        <v>0</v>
      </c>
      <c r="J686" s="71">
        <v>0</v>
      </c>
    </row>
    <row r="687" customFormat="1" ht="27.95" hidden="1" customHeight="1" spans="1:10">
      <c r="A687" s="64"/>
      <c r="B687" s="73" t="s">
        <v>1296</v>
      </c>
      <c r="C687" s="66" t="s">
        <v>1297</v>
      </c>
      <c r="D687" s="67">
        <v>1.6522</v>
      </c>
      <c r="E687" s="68"/>
      <c r="F687" s="69">
        <v>6</v>
      </c>
      <c r="G687" s="70"/>
      <c r="H687" s="71">
        <v>3.8</v>
      </c>
      <c r="I687" s="71">
        <v>0</v>
      </c>
      <c r="J687" s="71">
        <v>0</v>
      </c>
    </row>
    <row r="688" customFormat="1" ht="27.95" hidden="1" customHeight="1" spans="1:10">
      <c r="A688" s="64"/>
      <c r="B688" s="73" t="s">
        <v>1298</v>
      </c>
      <c r="C688" s="66" t="s">
        <v>1299</v>
      </c>
      <c r="D688" s="67">
        <v>0.0435</v>
      </c>
      <c r="E688" s="68"/>
      <c r="F688" s="69">
        <v>0.25</v>
      </c>
      <c r="G688" s="70"/>
      <c r="H688" s="71">
        <v>0.1</v>
      </c>
      <c r="I688" s="71">
        <v>0</v>
      </c>
      <c r="J688" s="71">
        <v>0</v>
      </c>
    </row>
    <row r="689" ht="27.95" customHeight="1" spans="1:20">
      <c r="A689" s="72" t="s">
        <v>3773</v>
      </c>
      <c r="B689" s="73" t="s">
        <v>1300</v>
      </c>
      <c r="C689" s="66" t="s">
        <v>1301</v>
      </c>
      <c r="D689" s="67">
        <v>0.1304</v>
      </c>
      <c r="E689" s="68"/>
      <c r="F689" s="69">
        <v>0.5</v>
      </c>
      <c r="G689" s="70"/>
      <c r="H689" s="71">
        <v>0.3</v>
      </c>
      <c r="I689" s="71"/>
      <c r="J689" s="71"/>
      <c r="M689" s="32">
        <v>6</v>
      </c>
      <c r="N689" s="77">
        <f t="shared" ref="N689:N690" si="0">+F689</f>
        <v>0.5</v>
      </c>
      <c r="O689" s="77">
        <f t="shared" ref="O689:O690" si="1">+M689*N689</f>
        <v>3</v>
      </c>
      <c r="R689" s="3">
        <f t="shared" ref="R689:R690" si="2">+M689</f>
        <v>6</v>
      </c>
      <c r="S689" s="49">
        <f t="shared" ref="S689:S690" si="3">+H689</f>
        <v>0.3</v>
      </c>
      <c r="T689" s="49">
        <f t="shared" ref="T689:T690" si="4">+R689*S689</f>
        <v>1.8</v>
      </c>
    </row>
    <row r="690" ht="27.95" customHeight="1" spans="1:20">
      <c r="A690" s="72" t="s">
        <v>3773</v>
      </c>
      <c r="B690" s="73" t="s">
        <v>1302</v>
      </c>
      <c r="C690" s="66" t="s">
        <v>1303</v>
      </c>
      <c r="D690" s="67">
        <v>0.1739</v>
      </c>
      <c r="E690" s="68"/>
      <c r="F690" s="69">
        <v>0.6</v>
      </c>
      <c r="G690" s="70"/>
      <c r="H690" s="71">
        <v>0.4</v>
      </c>
      <c r="I690" s="71"/>
      <c r="J690" s="71"/>
      <c r="M690" s="32">
        <v>6</v>
      </c>
      <c r="N690" s="77">
        <f t="shared" si="0"/>
        <v>0.6</v>
      </c>
      <c r="O690" s="77">
        <f t="shared" si="1"/>
        <v>3.6</v>
      </c>
      <c r="R690" s="3">
        <f t="shared" si="2"/>
        <v>6</v>
      </c>
      <c r="S690" s="49">
        <f t="shared" si="3"/>
        <v>0.4</v>
      </c>
      <c r="T690" s="49">
        <f t="shared" si="4"/>
        <v>2.4</v>
      </c>
    </row>
    <row r="691" ht="27.95" hidden="1" customHeight="1" spans="1:21">
      <c r="A691" s="64"/>
      <c r="B691" s="73" t="s">
        <v>1304</v>
      </c>
      <c r="C691" s="66" t="s">
        <v>1305</v>
      </c>
      <c r="D691" s="67">
        <v>0.1304</v>
      </c>
      <c r="E691" s="68"/>
      <c r="F691" s="69">
        <v>0.5</v>
      </c>
      <c r="G691" s="70"/>
      <c r="H691" s="71">
        <v>0.3</v>
      </c>
      <c r="I691" s="71">
        <v>0</v>
      </c>
      <c r="J691" s="71">
        <v>0</v>
      </c>
      <c r="M691"/>
      <c r="N691"/>
      <c r="O691"/>
      <c r="P691"/>
      <c r="Q691"/>
      <c r="R691"/>
      <c r="S691"/>
      <c r="T691"/>
      <c r="U691"/>
    </row>
    <row r="692" ht="27.95" hidden="1" customHeight="1" spans="1:21">
      <c r="A692" s="64"/>
      <c r="B692" s="73" t="s">
        <v>1306</v>
      </c>
      <c r="C692" s="66" t="s">
        <v>1307</v>
      </c>
      <c r="D692" s="67">
        <v>0.1739</v>
      </c>
      <c r="E692" s="68"/>
      <c r="F692" s="69">
        <v>0.5</v>
      </c>
      <c r="G692" s="70"/>
      <c r="H692" s="71">
        <v>0.4</v>
      </c>
      <c r="I692" s="71">
        <v>0</v>
      </c>
      <c r="J692" s="71">
        <v>0</v>
      </c>
      <c r="M692"/>
      <c r="N692"/>
      <c r="O692"/>
      <c r="P692"/>
      <c r="Q692"/>
      <c r="R692"/>
      <c r="S692"/>
      <c r="T692"/>
      <c r="U692"/>
    </row>
    <row r="693" ht="27.95" hidden="1" customHeight="1" spans="1:21">
      <c r="A693" s="64"/>
      <c r="B693" s="73" t="s">
        <v>1308</v>
      </c>
      <c r="C693" s="66" t="s">
        <v>1309</v>
      </c>
      <c r="D693" s="67">
        <v>0.1739</v>
      </c>
      <c r="E693" s="68"/>
      <c r="F693" s="69">
        <v>1</v>
      </c>
      <c r="G693" s="70"/>
      <c r="H693" s="71">
        <v>0.4</v>
      </c>
      <c r="I693" s="71">
        <v>0</v>
      </c>
      <c r="J693" s="71">
        <v>0</v>
      </c>
      <c r="M693"/>
      <c r="N693"/>
      <c r="O693"/>
      <c r="P693"/>
      <c r="Q693"/>
      <c r="R693"/>
      <c r="S693"/>
      <c r="T693"/>
      <c r="U693"/>
    </row>
    <row r="694" ht="27.95" hidden="1" customHeight="1" spans="1:21">
      <c r="A694" s="64"/>
      <c r="B694" s="73" t="s">
        <v>1310</v>
      </c>
      <c r="C694" s="66" t="s">
        <v>1311</v>
      </c>
      <c r="D694" s="67">
        <v>0.2174</v>
      </c>
      <c r="E694" s="68"/>
      <c r="F694" s="69">
        <v>0.7</v>
      </c>
      <c r="G694" s="70"/>
      <c r="H694" s="71">
        <v>0.5</v>
      </c>
      <c r="I694" s="71">
        <v>0</v>
      </c>
      <c r="J694" s="71">
        <v>0</v>
      </c>
      <c r="M694"/>
      <c r="N694"/>
      <c r="O694"/>
      <c r="P694"/>
      <c r="Q694"/>
      <c r="R694"/>
      <c r="S694"/>
      <c r="T694"/>
      <c r="U694"/>
    </row>
    <row r="695" ht="27.95" hidden="1" customHeight="1" spans="1:21">
      <c r="A695" s="64"/>
      <c r="B695" s="73" t="s">
        <v>1312</v>
      </c>
      <c r="C695" s="66" t="s">
        <v>1313</v>
      </c>
      <c r="D695" s="67">
        <v>0.1304</v>
      </c>
      <c r="E695" s="68"/>
      <c r="F695" s="69">
        <v>0.5</v>
      </c>
      <c r="G695" s="70"/>
      <c r="H695" s="71">
        <v>0.3</v>
      </c>
      <c r="I695" s="71">
        <v>0</v>
      </c>
      <c r="J695" s="71">
        <v>0</v>
      </c>
      <c r="M695"/>
      <c r="N695"/>
      <c r="O695"/>
      <c r="P695"/>
      <c r="Q695"/>
      <c r="R695"/>
      <c r="S695"/>
      <c r="T695"/>
      <c r="U695"/>
    </row>
    <row r="696" ht="27.95" hidden="1" customHeight="1" spans="1:21">
      <c r="A696" s="64"/>
      <c r="B696" s="73" t="s">
        <v>1314</v>
      </c>
      <c r="C696" s="66" t="s">
        <v>1315</v>
      </c>
      <c r="D696" s="67">
        <v>0.1304</v>
      </c>
      <c r="E696" s="68"/>
      <c r="F696" s="69">
        <v>0.5</v>
      </c>
      <c r="G696" s="70"/>
      <c r="H696" s="71">
        <v>0.25</v>
      </c>
      <c r="I696" s="71">
        <v>0</v>
      </c>
      <c r="J696" s="71">
        <v>0</v>
      </c>
      <c r="M696"/>
      <c r="N696"/>
      <c r="O696"/>
      <c r="P696"/>
      <c r="Q696"/>
      <c r="R696"/>
      <c r="S696"/>
      <c r="T696"/>
      <c r="U696"/>
    </row>
    <row r="697" ht="27.95" hidden="1" customHeight="1" spans="1:21">
      <c r="A697" s="64"/>
      <c r="B697" s="73" t="s">
        <v>1316</v>
      </c>
      <c r="C697" s="66" t="s">
        <v>1317</v>
      </c>
      <c r="D697" s="67">
        <v>0.2174</v>
      </c>
      <c r="E697" s="68"/>
      <c r="F697" s="69">
        <v>1</v>
      </c>
      <c r="G697" s="70"/>
      <c r="H697" s="71">
        <v>0.5</v>
      </c>
      <c r="I697" s="71">
        <v>0</v>
      </c>
      <c r="J697" s="71">
        <v>0</v>
      </c>
      <c r="M697"/>
      <c r="N697"/>
      <c r="O697"/>
      <c r="P697"/>
      <c r="Q697"/>
      <c r="R697"/>
      <c r="S697"/>
      <c r="T697"/>
      <c r="U697"/>
    </row>
    <row r="698" ht="27.95" hidden="1" customHeight="1" spans="1:21">
      <c r="A698" s="64"/>
      <c r="B698" s="73" t="s">
        <v>1318</v>
      </c>
      <c r="C698" s="66" t="s">
        <v>1319</v>
      </c>
      <c r="D698" s="67">
        <v>0.8261</v>
      </c>
      <c r="E698" s="68"/>
      <c r="F698" s="69">
        <v>3.5</v>
      </c>
      <c r="G698" s="70"/>
      <c r="H698" s="71">
        <v>1.9</v>
      </c>
      <c r="I698" s="71">
        <v>0</v>
      </c>
      <c r="J698" s="71">
        <v>0</v>
      </c>
      <c r="M698"/>
      <c r="N698"/>
      <c r="O698"/>
      <c r="P698"/>
      <c r="Q698"/>
      <c r="R698"/>
      <c r="S698"/>
      <c r="T698"/>
      <c r="U698"/>
    </row>
    <row r="699" ht="27.95" hidden="1" customHeight="1" spans="1:21">
      <c r="A699" s="64"/>
      <c r="B699" s="73" t="s">
        <v>1320</v>
      </c>
      <c r="C699" s="66" t="s">
        <v>1321</v>
      </c>
      <c r="D699" s="67">
        <v>0.3478</v>
      </c>
      <c r="E699" s="68"/>
      <c r="F699" s="69">
        <v>1.3</v>
      </c>
      <c r="G699" s="70"/>
      <c r="H699" s="71">
        <v>0.8</v>
      </c>
      <c r="I699" s="71">
        <v>0</v>
      </c>
      <c r="J699" s="71">
        <v>0</v>
      </c>
      <c r="M699"/>
      <c r="N699"/>
      <c r="O699"/>
      <c r="P699"/>
      <c r="Q699"/>
      <c r="R699"/>
      <c r="S699"/>
      <c r="T699"/>
      <c r="U699"/>
    </row>
    <row r="700" ht="27.95" hidden="1" customHeight="1" spans="1:21">
      <c r="A700" s="64"/>
      <c r="B700" s="73" t="s">
        <v>1322</v>
      </c>
      <c r="C700" s="66" t="s">
        <v>1323</v>
      </c>
      <c r="D700" s="67">
        <v>0.6957</v>
      </c>
      <c r="E700" s="68"/>
      <c r="F700" s="69">
        <v>2.5</v>
      </c>
      <c r="G700" s="70"/>
      <c r="H700" s="71">
        <v>1.6</v>
      </c>
      <c r="I700" s="71">
        <v>0</v>
      </c>
      <c r="J700" s="71">
        <v>0</v>
      </c>
      <c r="M700"/>
      <c r="N700"/>
      <c r="O700"/>
      <c r="P700"/>
      <c r="Q700"/>
      <c r="R700"/>
      <c r="S700"/>
      <c r="T700"/>
      <c r="U700"/>
    </row>
    <row r="701" ht="27.95" hidden="1" customHeight="1" spans="1:21">
      <c r="A701" s="64"/>
      <c r="B701" s="73" t="s">
        <v>1324</v>
      </c>
      <c r="C701" s="66" t="s">
        <v>1325</v>
      </c>
      <c r="D701" s="67">
        <v>0.8261</v>
      </c>
      <c r="E701" s="68"/>
      <c r="F701" s="69">
        <v>3.1</v>
      </c>
      <c r="G701" s="70"/>
      <c r="H701" s="71">
        <v>1.9</v>
      </c>
      <c r="I701" s="71">
        <v>0</v>
      </c>
      <c r="J701" s="71">
        <v>0</v>
      </c>
      <c r="M701"/>
      <c r="N701"/>
      <c r="O701"/>
      <c r="P701"/>
      <c r="Q701"/>
      <c r="R701"/>
      <c r="S701"/>
      <c r="T701"/>
      <c r="U701"/>
    </row>
    <row r="702" ht="27.95" hidden="1" customHeight="1" spans="1:21">
      <c r="A702" s="64"/>
      <c r="B702" s="73" t="s">
        <v>1326</v>
      </c>
      <c r="C702" s="66" t="s">
        <v>1327</v>
      </c>
      <c r="D702" s="67">
        <v>0.6957</v>
      </c>
      <c r="E702" s="68"/>
      <c r="F702" s="69">
        <v>2.5</v>
      </c>
      <c r="G702" s="70"/>
      <c r="H702" s="71">
        <v>1.6</v>
      </c>
      <c r="I702" s="71">
        <v>0</v>
      </c>
      <c r="J702" s="71">
        <v>0</v>
      </c>
      <c r="M702"/>
      <c r="N702"/>
      <c r="O702"/>
      <c r="P702"/>
      <c r="Q702"/>
      <c r="R702"/>
      <c r="S702"/>
      <c r="T702"/>
      <c r="U702"/>
    </row>
    <row r="703" ht="27.95" hidden="1" customHeight="1" spans="1:21">
      <c r="A703" s="64"/>
      <c r="B703" s="73" t="s">
        <v>1328</v>
      </c>
      <c r="C703" s="66" t="s">
        <v>1329</v>
      </c>
      <c r="D703" s="67">
        <v>0.4348</v>
      </c>
      <c r="E703" s="68"/>
      <c r="F703" s="69">
        <v>1.5</v>
      </c>
      <c r="G703" s="70"/>
      <c r="H703" s="71">
        <v>1</v>
      </c>
      <c r="I703" s="71">
        <v>0</v>
      </c>
      <c r="J703" s="71">
        <v>0</v>
      </c>
      <c r="M703"/>
      <c r="N703"/>
      <c r="O703"/>
      <c r="P703"/>
      <c r="Q703"/>
      <c r="R703"/>
      <c r="S703"/>
      <c r="T703"/>
      <c r="U703"/>
    </row>
    <row r="704" ht="27.95" hidden="1" customHeight="1" spans="1:21">
      <c r="A704" s="64"/>
      <c r="B704" s="73" t="s">
        <v>1330</v>
      </c>
      <c r="C704" s="66" t="s">
        <v>1331</v>
      </c>
      <c r="D704" s="67">
        <v>0.1087</v>
      </c>
      <c r="E704" s="68"/>
      <c r="F704" s="69">
        <v>1</v>
      </c>
      <c r="G704" s="70"/>
      <c r="H704" s="71">
        <v>0.25</v>
      </c>
      <c r="I704" s="71">
        <v>0</v>
      </c>
      <c r="J704" s="71">
        <v>0</v>
      </c>
      <c r="M704"/>
      <c r="N704"/>
      <c r="O704"/>
      <c r="P704"/>
      <c r="Q704"/>
      <c r="R704"/>
      <c r="S704"/>
      <c r="T704"/>
      <c r="U704"/>
    </row>
    <row r="705" customFormat="1" ht="27.95" hidden="1" customHeight="1" spans="1:10">
      <c r="A705" s="64"/>
      <c r="B705" s="73" t="s">
        <v>1332</v>
      </c>
      <c r="C705" s="66" t="s">
        <v>1333</v>
      </c>
      <c r="D705" s="67">
        <v>0.1304</v>
      </c>
      <c r="E705" s="68"/>
      <c r="F705" s="69">
        <v>0.5</v>
      </c>
      <c r="G705" s="70"/>
      <c r="H705" s="71">
        <v>0.3</v>
      </c>
      <c r="I705" s="71">
        <v>0</v>
      </c>
      <c r="J705" s="71">
        <v>0</v>
      </c>
    </row>
    <row r="706" customFormat="1" ht="27.95" hidden="1" customHeight="1" spans="1:10">
      <c r="A706" s="64"/>
      <c r="B706" s="73" t="s">
        <v>1334</v>
      </c>
      <c r="C706" s="66" t="s">
        <v>1335</v>
      </c>
      <c r="D706" s="67">
        <v>0.1304</v>
      </c>
      <c r="E706" s="68"/>
      <c r="F706" s="69">
        <v>0.5</v>
      </c>
      <c r="G706" s="70"/>
      <c r="H706" s="71">
        <v>0.3</v>
      </c>
      <c r="I706" s="71">
        <v>0</v>
      </c>
      <c r="J706" s="71">
        <v>0</v>
      </c>
    </row>
    <row r="707" customFormat="1" ht="27.95" hidden="1" customHeight="1" spans="1:10">
      <c r="A707" s="64"/>
      <c r="B707" s="73" t="s">
        <v>1336</v>
      </c>
      <c r="C707" s="66" t="s">
        <v>1337</v>
      </c>
      <c r="D707" s="67">
        <v>6.1304</v>
      </c>
      <c r="E707" s="68"/>
      <c r="F707" s="79">
        <v>16.5</v>
      </c>
      <c r="G707" s="80"/>
      <c r="H707" s="71">
        <v>14.1</v>
      </c>
      <c r="I707" s="71">
        <v>0</v>
      </c>
      <c r="J707" s="71">
        <v>0</v>
      </c>
    </row>
    <row r="708" customFormat="1" ht="27.95" hidden="1" customHeight="1" spans="1:10">
      <c r="A708" s="64"/>
      <c r="B708" s="73" t="s">
        <v>1338</v>
      </c>
      <c r="C708" s="66" t="s">
        <v>1339</v>
      </c>
      <c r="D708" s="67">
        <v>0.3043</v>
      </c>
      <c r="E708" s="68"/>
      <c r="F708" s="69">
        <v>1</v>
      </c>
      <c r="G708" s="70"/>
      <c r="H708" s="71">
        <v>0.7</v>
      </c>
      <c r="I708" s="71">
        <v>0</v>
      </c>
      <c r="J708" s="71">
        <v>0</v>
      </c>
    </row>
    <row r="709" customFormat="1" ht="27.95" hidden="1" customHeight="1" spans="1:10">
      <c r="A709" s="64"/>
      <c r="B709" s="73" t="s">
        <v>1340</v>
      </c>
      <c r="C709" s="66" t="s">
        <v>1341</v>
      </c>
      <c r="D709" s="67">
        <v>0.3043</v>
      </c>
      <c r="E709" s="68"/>
      <c r="F709" s="69">
        <v>1.1</v>
      </c>
      <c r="G709" s="70"/>
      <c r="H709" s="71">
        <v>0.7</v>
      </c>
      <c r="I709" s="71">
        <v>0</v>
      </c>
      <c r="J709" s="71">
        <v>0</v>
      </c>
    </row>
    <row r="710" customFormat="1" ht="27.95" hidden="1" customHeight="1" spans="1:10">
      <c r="A710" s="64"/>
      <c r="B710" s="73" t="s">
        <v>1342</v>
      </c>
      <c r="C710" s="66" t="s">
        <v>1343</v>
      </c>
      <c r="D710" s="67">
        <v>0.9565</v>
      </c>
      <c r="E710" s="68"/>
      <c r="F710" s="69">
        <v>3.4</v>
      </c>
      <c r="G710" s="70"/>
      <c r="H710" s="71">
        <v>2.2</v>
      </c>
      <c r="I710" s="71">
        <v>0</v>
      </c>
      <c r="J710" s="71">
        <v>0</v>
      </c>
    </row>
    <row r="711" customFormat="1" ht="27.95" hidden="1" customHeight="1" spans="1:10">
      <c r="A711" s="64"/>
      <c r="B711" s="73" t="s">
        <v>1344</v>
      </c>
      <c r="C711" s="66" t="s">
        <v>1345</v>
      </c>
      <c r="D711" s="82">
        <v>24.7826</v>
      </c>
      <c r="E711" s="83"/>
      <c r="F711" s="79">
        <v>95</v>
      </c>
      <c r="G711" s="80"/>
      <c r="H711" s="71">
        <v>57</v>
      </c>
      <c r="I711" s="71">
        <v>0</v>
      </c>
      <c r="J711" s="71">
        <v>0</v>
      </c>
    </row>
    <row r="712" customFormat="1" ht="27.95" hidden="1" customHeight="1" spans="1:10">
      <c r="A712" s="64"/>
      <c r="B712" s="73" t="s">
        <v>1346</v>
      </c>
      <c r="C712" s="66" t="s">
        <v>1347</v>
      </c>
      <c r="D712" s="82">
        <v>40.8261</v>
      </c>
      <c r="E712" s="83"/>
      <c r="F712" s="79">
        <v>150.5</v>
      </c>
      <c r="G712" s="80"/>
      <c r="H712" s="71">
        <v>93.9</v>
      </c>
      <c r="I712" s="71">
        <v>0</v>
      </c>
      <c r="J712" s="71">
        <v>0</v>
      </c>
    </row>
    <row r="713" customFormat="1" ht="27.95" hidden="1" customHeight="1" spans="1:10">
      <c r="A713" s="64"/>
      <c r="B713" s="73" t="s">
        <v>1348</v>
      </c>
      <c r="C713" s="66" t="s">
        <v>1349</v>
      </c>
      <c r="D713" s="82">
        <v>41.5217</v>
      </c>
      <c r="E713" s="83"/>
      <c r="F713" s="79">
        <v>155</v>
      </c>
      <c r="G713" s="80"/>
      <c r="H713" s="71">
        <v>95.5</v>
      </c>
      <c r="I713" s="71">
        <v>0</v>
      </c>
      <c r="J713" s="71">
        <v>0</v>
      </c>
    </row>
    <row r="714" customFormat="1" ht="27.95" hidden="1" customHeight="1" spans="1:10">
      <c r="A714" s="64"/>
      <c r="B714" s="73" t="s">
        <v>1350</v>
      </c>
      <c r="C714" s="66" t="s">
        <v>1351</v>
      </c>
      <c r="D714" s="67">
        <v>0.6087</v>
      </c>
      <c r="E714" s="68"/>
      <c r="F714" s="69">
        <v>2.2</v>
      </c>
      <c r="G714" s="70"/>
      <c r="H714" s="71">
        <v>1.4</v>
      </c>
      <c r="I714" s="71">
        <v>0</v>
      </c>
      <c r="J714" s="71">
        <v>0</v>
      </c>
    </row>
    <row r="715" customFormat="1" ht="27.95" hidden="1" customHeight="1" spans="1:10">
      <c r="A715" s="64"/>
      <c r="B715" s="65">
        <v>6944723102563</v>
      </c>
      <c r="C715" s="66" t="s">
        <v>1352</v>
      </c>
      <c r="D715" s="67">
        <v>1.0435</v>
      </c>
      <c r="E715" s="68"/>
      <c r="F715" s="69">
        <v>4</v>
      </c>
      <c r="G715" s="70"/>
      <c r="H715" s="71">
        <v>2.4</v>
      </c>
      <c r="I715" s="71">
        <v>0</v>
      </c>
      <c r="J715" s="71">
        <v>0</v>
      </c>
    </row>
    <row r="716" customFormat="1" ht="27.95" hidden="1" customHeight="1" spans="1:10">
      <c r="A716" s="64"/>
      <c r="B716" s="73" t="s">
        <v>1353</v>
      </c>
      <c r="C716" s="66" t="s">
        <v>1354</v>
      </c>
      <c r="D716" s="67">
        <v>0.2174</v>
      </c>
      <c r="E716" s="68"/>
      <c r="F716" s="69">
        <v>1</v>
      </c>
      <c r="G716" s="70"/>
      <c r="H716" s="71">
        <v>0.5</v>
      </c>
      <c r="I716" s="71">
        <v>0</v>
      </c>
      <c r="J716" s="71">
        <v>0</v>
      </c>
    </row>
    <row r="717" customFormat="1" ht="27.95" hidden="1" customHeight="1" spans="1:10">
      <c r="A717" s="64"/>
      <c r="B717" s="73" t="s">
        <v>1355</v>
      </c>
      <c r="C717" s="66" t="s">
        <v>1356</v>
      </c>
      <c r="D717" s="67">
        <v>0.3478</v>
      </c>
      <c r="E717" s="68"/>
      <c r="F717" s="69">
        <v>1</v>
      </c>
      <c r="G717" s="70"/>
      <c r="H717" s="71">
        <v>0.8</v>
      </c>
      <c r="I717" s="71">
        <v>0</v>
      </c>
      <c r="J717" s="71">
        <v>0</v>
      </c>
    </row>
    <row r="718" customFormat="1" ht="27.95" hidden="1" customHeight="1" spans="1:10">
      <c r="A718" s="64"/>
      <c r="B718" s="73" t="s">
        <v>1357</v>
      </c>
      <c r="C718" s="66" t="s">
        <v>1358</v>
      </c>
      <c r="D718" s="67">
        <v>0.2174</v>
      </c>
      <c r="E718" s="68"/>
      <c r="F718" s="69">
        <v>0.7</v>
      </c>
      <c r="G718" s="70"/>
      <c r="H718" s="71">
        <v>0.5</v>
      </c>
      <c r="I718" s="71">
        <v>0</v>
      </c>
      <c r="J718" s="71">
        <v>0</v>
      </c>
    </row>
    <row r="719" customFormat="1" ht="27.95" hidden="1" customHeight="1" spans="1:10">
      <c r="A719" s="74"/>
      <c r="B719" s="73" t="s">
        <v>1359</v>
      </c>
      <c r="C719" s="66" t="s">
        <v>1360</v>
      </c>
      <c r="D719" s="67">
        <v>1.2609</v>
      </c>
      <c r="E719" s="68"/>
      <c r="F719" s="69">
        <v>4.5</v>
      </c>
      <c r="G719" s="70"/>
      <c r="H719" s="71">
        <v>2.9</v>
      </c>
      <c r="I719" s="71">
        <v>0</v>
      </c>
      <c r="J719" s="71">
        <v>0</v>
      </c>
    </row>
    <row r="720" customFormat="1" ht="27.95" hidden="1" customHeight="1" spans="1:10">
      <c r="A720" s="75"/>
      <c r="B720" s="73" t="s">
        <v>1361</v>
      </c>
      <c r="C720" s="66" t="s">
        <v>1360</v>
      </c>
      <c r="D720" s="67">
        <v>0.7826</v>
      </c>
      <c r="E720" s="68"/>
      <c r="F720" s="69">
        <v>2.8</v>
      </c>
      <c r="G720" s="70"/>
      <c r="H720" s="71">
        <v>1.8</v>
      </c>
      <c r="I720" s="71">
        <v>0</v>
      </c>
      <c r="J720" s="71">
        <v>0</v>
      </c>
    </row>
    <row r="721" customFormat="1" ht="27.95" hidden="1" customHeight="1" spans="1:10">
      <c r="A721" s="64"/>
      <c r="B721" s="73" t="s">
        <v>1362</v>
      </c>
      <c r="C721" s="66" t="s">
        <v>1363</v>
      </c>
      <c r="D721" s="67">
        <v>1.087</v>
      </c>
      <c r="E721" s="68"/>
      <c r="F721" s="69">
        <v>4</v>
      </c>
      <c r="G721" s="70"/>
      <c r="H721" s="71">
        <v>2.5</v>
      </c>
      <c r="I721" s="71">
        <v>0</v>
      </c>
      <c r="J721" s="71">
        <v>0</v>
      </c>
    </row>
    <row r="722" customFormat="1" ht="27.95" hidden="1" customHeight="1" spans="1:10">
      <c r="A722" s="64"/>
      <c r="B722" s="73" t="s">
        <v>1364</v>
      </c>
      <c r="C722" s="66" t="s">
        <v>1365</v>
      </c>
      <c r="D722" s="67">
        <v>1.2174</v>
      </c>
      <c r="E722" s="68"/>
      <c r="F722" s="69">
        <v>4.5</v>
      </c>
      <c r="G722" s="70"/>
      <c r="H722" s="71">
        <v>2.8</v>
      </c>
      <c r="I722" s="71">
        <v>0</v>
      </c>
      <c r="J722" s="71">
        <v>0</v>
      </c>
    </row>
    <row r="723" customFormat="1" ht="27.95" hidden="1" customHeight="1" spans="1:10">
      <c r="A723" s="64"/>
      <c r="B723" s="73" t="s">
        <v>1366</v>
      </c>
      <c r="C723" s="66" t="s">
        <v>1367</v>
      </c>
      <c r="D723" s="67">
        <v>1.4783</v>
      </c>
      <c r="E723" s="68"/>
      <c r="F723" s="69">
        <v>5.4</v>
      </c>
      <c r="G723" s="70"/>
      <c r="H723" s="71">
        <v>3.4</v>
      </c>
      <c r="I723" s="71">
        <v>0</v>
      </c>
      <c r="J723" s="71">
        <v>0</v>
      </c>
    </row>
    <row r="724" customFormat="1" ht="27.95" hidden="1" customHeight="1" spans="1:10">
      <c r="A724" s="64"/>
      <c r="B724" s="73" t="s">
        <v>1368</v>
      </c>
      <c r="C724" s="66" t="s">
        <v>1369</v>
      </c>
      <c r="D724" s="67">
        <v>1.6739</v>
      </c>
      <c r="E724" s="68"/>
      <c r="F724" s="69">
        <v>6</v>
      </c>
      <c r="G724" s="70"/>
      <c r="H724" s="71">
        <v>3.85</v>
      </c>
      <c r="I724" s="71">
        <v>0</v>
      </c>
      <c r="J724" s="71">
        <v>0</v>
      </c>
    </row>
    <row r="725" customFormat="1" ht="27.95" hidden="1" customHeight="1" spans="1:10">
      <c r="A725" s="64"/>
      <c r="B725" s="73" t="s">
        <v>1370</v>
      </c>
      <c r="C725" s="66" t="s">
        <v>1371</v>
      </c>
      <c r="D725" s="67">
        <v>1.3913</v>
      </c>
      <c r="E725" s="68"/>
      <c r="F725" s="69">
        <v>5</v>
      </c>
      <c r="G725" s="70"/>
      <c r="H725" s="71">
        <v>3.2</v>
      </c>
      <c r="I725" s="71">
        <v>0</v>
      </c>
      <c r="J725" s="71">
        <v>0</v>
      </c>
    </row>
    <row r="726" customFormat="1" ht="27.95" hidden="1" customHeight="1" spans="1:10">
      <c r="A726" s="64"/>
      <c r="B726" s="73" t="s">
        <v>1372</v>
      </c>
      <c r="C726" s="66" t="s">
        <v>1373</v>
      </c>
      <c r="D726" s="67">
        <v>1.5217</v>
      </c>
      <c r="E726" s="68"/>
      <c r="F726" s="69">
        <v>5.7</v>
      </c>
      <c r="G726" s="70"/>
      <c r="H726" s="71">
        <v>3.5</v>
      </c>
      <c r="I726" s="71">
        <v>0</v>
      </c>
      <c r="J726" s="71">
        <v>0</v>
      </c>
    </row>
    <row r="727" customFormat="1" ht="27.95" hidden="1" customHeight="1" spans="1:10">
      <c r="A727" s="64"/>
      <c r="B727" s="73" t="s">
        <v>1374</v>
      </c>
      <c r="C727" s="66" t="s">
        <v>1375</v>
      </c>
      <c r="D727" s="67">
        <v>1.5652</v>
      </c>
      <c r="E727" s="68"/>
      <c r="F727" s="69">
        <v>5.7</v>
      </c>
      <c r="G727" s="70"/>
      <c r="H727" s="71">
        <v>3.6</v>
      </c>
      <c r="I727" s="71">
        <v>0</v>
      </c>
      <c r="J727" s="71">
        <v>0</v>
      </c>
    </row>
    <row r="728" customFormat="1" ht="27.95" hidden="1" customHeight="1" spans="1:10">
      <c r="A728" s="64"/>
      <c r="B728" s="73" t="s">
        <v>1376</v>
      </c>
      <c r="C728" s="66" t="s">
        <v>1377</v>
      </c>
      <c r="D728" s="67">
        <v>1.1304</v>
      </c>
      <c r="E728" s="68"/>
      <c r="F728" s="69">
        <v>4</v>
      </c>
      <c r="G728" s="70"/>
      <c r="H728" s="71">
        <v>2.6</v>
      </c>
      <c r="I728" s="71">
        <v>0</v>
      </c>
      <c r="J728" s="71">
        <v>0</v>
      </c>
    </row>
    <row r="729" customFormat="1" ht="27.95" hidden="1" customHeight="1" spans="1:10">
      <c r="A729" s="64"/>
      <c r="B729" s="73" t="s">
        <v>1378</v>
      </c>
      <c r="C729" s="66" t="s">
        <v>1379</v>
      </c>
      <c r="D729" s="67">
        <v>0.5217</v>
      </c>
      <c r="E729" s="68"/>
      <c r="F729" s="69">
        <v>1.9</v>
      </c>
      <c r="G729" s="70"/>
      <c r="H729" s="71">
        <v>1.2</v>
      </c>
      <c r="I729" s="71">
        <v>0</v>
      </c>
      <c r="J729" s="71">
        <v>0</v>
      </c>
    </row>
    <row r="730" customFormat="1" ht="27.95" hidden="1" customHeight="1" spans="1:10">
      <c r="A730" s="64"/>
      <c r="B730" s="73" t="s">
        <v>1380</v>
      </c>
      <c r="C730" s="66" t="s">
        <v>1381</v>
      </c>
      <c r="D730" s="67">
        <v>0.6522</v>
      </c>
      <c r="E730" s="68"/>
      <c r="F730" s="69">
        <v>2.5</v>
      </c>
      <c r="G730" s="70"/>
      <c r="H730" s="71">
        <v>1.5</v>
      </c>
      <c r="I730" s="71">
        <v>0</v>
      </c>
      <c r="J730" s="71">
        <v>0</v>
      </c>
    </row>
    <row r="731" customFormat="1" ht="27.95" hidden="1" customHeight="1" spans="1:10">
      <c r="A731" s="64"/>
      <c r="B731" s="73" t="s">
        <v>1382</v>
      </c>
      <c r="C731" s="66" t="s">
        <v>1383</v>
      </c>
      <c r="D731" s="67">
        <v>0.8261</v>
      </c>
      <c r="E731" s="68"/>
      <c r="F731" s="69">
        <v>3</v>
      </c>
      <c r="G731" s="70"/>
      <c r="H731" s="71">
        <v>1.9</v>
      </c>
      <c r="I731" s="71">
        <v>0</v>
      </c>
      <c r="J731" s="71">
        <v>0</v>
      </c>
    </row>
    <row r="732" customFormat="1" ht="27.95" hidden="1" customHeight="1" spans="1:10">
      <c r="A732" s="64"/>
      <c r="B732" s="73" t="s">
        <v>1384</v>
      </c>
      <c r="C732" s="66" t="s">
        <v>1385</v>
      </c>
      <c r="D732" s="67">
        <v>1.087</v>
      </c>
      <c r="E732" s="68"/>
      <c r="F732" s="69">
        <v>3.9</v>
      </c>
      <c r="G732" s="70"/>
      <c r="H732" s="71">
        <v>2.5</v>
      </c>
      <c r="I732" s="71">
        <v>0</v>
      </c>
      <c r="J732" s="71">
        <v>0</v>
      </c>
    </row>
    <row r="733" customFormat="1" ht="27.95" hidden="1" customHeight="1" spans="1:10">
      <c r="A733" s="64"/>
      <c r="B733" s="73" t="s">
        <v>1386</v>
      </c>
      <c r="C733" s="66" t="s">
        <v>1387</v>
      </c>
      <c r="D733" s="67">
        <v>1.3043</v>
      </c>
      <c r="E733" s="68"/>
      <c r="F733" s="69">
        <v>5</v>
      </c>
      <c r="G733" s="70"/>
      <c r="H733" s="71">
        <v>3</v>
      </c>
      <c r="I733" s="71">
        <v>0</v>
      </c>
      <c r="J733" s="71">
        <v>0</v>
      </c>
    </row>
    <row r="734" customFormat="1" ht="27.95" hidden="1" customHeight="1" spans="1:10">
      <c r="A734" s="64"/>
      <c r="B734" s="73" t="s">
        <v>1388</v>
      </c>
      <c r="C734" s="66" t="s">
        <v>1389</v>
      </c>
      <c r="D734" s="67">
        <v>0.6522</v>
      </c>
      <c r="E734" s="68"/>
      <c r="F734" s="69">
        <v>5</v>
      </c>
      <c r="G734" s="70"/>
      <c r="H734" s="71">
        <v>2.5</v>
      </c>
      <c r="I734" s="71">
        <v>0</v>
      </c>
      <c r="J734" s="71">
        <v>0</v>
      </c>
    </row>
    <row r="735" customFormat="1" ht="27.95" hidden="1" customHeight="1" spans="1:10">
      <c r="A735" s="64"/>
      <c r="B735" s="73" t="s">
        <v>1390</v>
      </c>
      <c r="C735" s="66" t="s">
        <v>1391</v>
      </c>
      <c r="D735" s="67">
        <v>0.3913</v>
      </c>
      <c r="E735" s="68"/>
      <c r="F735" s="69">
        <v>1.5</v>
      </c>
      <c r="G735" s="70"/>
      <c r="H735" s="71">
        <v>0.9</v>
      </c>
      <c r="I735" s="71">
        <v>0</v>
      </c>
      <c r="J735" s="71">
        <v>0</v>
      </c>
    </row>
    <row r="736" customFormat="1" ht="27.95" hidden="1" customHeight="1" spans="1:10">
      <c r="A736" s="64"/>
      <c r="B736" s="73" t="s">
        <v>1392</v>
      </c>
      <c r="C736" s="66" t="s">
        <v>1393</v>
      </c>
      <c r="D736" s="67">
        <v>0.5217</v>
      </c>
      <c r="E736" s="68"/>
      <c r="F736" s="69">
        <v>2</v>
      </c>
      <c r="G736" s="70"/>
      <c r="H736" s="71">
        <v>1.2</v>
      </c>
      <c r="I736" s="71">
        <v>0</v>
      </c>
      <c r="J736" s="71">
        <v>0</v>
      </c>
    </row>
    <row r="737" ht="27.95" hidden="1" customHeight="1" spans="1:21">
      <c r="A737" s="64"/>
      <c r="B737" s="73" t="s">
        <v>1394</v>
      </c>
      <c r="C737" s="66" t="s">
        <v>1395</v>
      </c>
      <c r="D737" s="67">
        <v>0.1304</v>
      </c>
      <c r="E737" s="68"/>
      <c r="F737" s="69">
        <v>0.5</v>
      </c>
      <c r="G737" s="70"/>
      <c r="H737" s="71">
        <v>0.3</v>
      </c>
      <c r="I737" s="71">
        <v>0</v>
      </c>
      <c r="J737" s="71">
        <v>0</v>
      </c>
      <c r="M737"/>
      <c r="N737"/>
      <c r="O737"/>
      <c r="P737"/>
      <c r="Q737"/>
      <c r="R737"/>
      <c r="S737"/>
      <c r="T737"/>
      <c r="U737"/>
    </row>
    <row r="738" ht="27.95" hidden="1" customHeight="1" spans="1:21">
      <c r="A738" s="74"/>
      <c r="B738" s="73" t="s">
        <v>1396</v>
      </c>
      <c r="C738" s="66" t="s">
        <v>1397</v>
      </c>
      <c r="D738" s="67">
        <v>0.2174</v>
      </c>
      <c r="E738" s="68"/>
      <c r="F738" s="69">
        <v>1</v>
      </c>
      <c r="G738" s="70"/>
      <c r="H738" s="71">
        <v>0.5</v>
      </c>
      <c r="I738" s="71">
        <v>0</v>
      </c>
      <c r="J738" s="71">
        <v>0</v>
      </c>
      <c r="M738"/>
      <c r="N738"/>
      <c r="O738"/>
      <c r="P738"/>
      <c r="Q738"/>
      <c r="R738"/>
      <c r="S738"/>
      <c r="T738"/>
      <c r="U738"/>
    </row>
    <row r="739" ht="27.95" hidden="1" customHeight="1" spans="1:21">
      <c r="A739" s="75"/>
      <c r="B739" s="73" t="s">
        <v>1398</v>
      </c>
      <c r="C739" s="66" t="s">
        <v>1397</v>
      </c>
      <c r="D739" s="67">
        <v>0.087</v>
      </c>
      <c r="E739" s="68"/>
      <c r="F739" s="69">
        <v>0.5</v>
      </c>
      <c r="G739" s="70"/>
      <c r="H739" s="71">
        <v>0.2</v>
      </c>
      <c r="I739" s="71">
        <v>0</v>
      </c>
      <c r="J739" s="71">
        <v>0</v>
      </c>
      <c r="M739"/>
      <c r="N739"/>
      <c r="O739"/>
      <c r="P739"/>
      <c r="Q739"/>
      <c r="R739"/>
      <c r="S739"/>
      <c r="T739"/>
      <c r="U739"/>
    </row>
    <row r="740" ht="27.95" hidden="1" customHeight="1" spans="1:21">
      <c r="A740" s="64"/>
      <c r="B740" s="73" t="s">
        <v>1399</v>
      </c>
      <c r="C740" s="66" t="s">
        <v>1400</v>
      </c>
      <c r="D740" s="67">
        <v>0.1304</v>
      </c>
      <c r="E740" s="68"/>
      <c r="F740" s="69">
        <v>1</v>
      </c>
      <c r="G740" s="70"/>
      <c r="H740" s="71">
        <v>0.3</v>
      </c>
      <c r="I740" s="71">
        <v>0</v>
      </c>
      <c r="J740" s="71">
        <v>0</v>
      </c>
      <c r="M740"/>
      <c r="N740"/>
      <c r="O740"/>
      <c r="P740"/>
      <c r="Q740"/>
      <c r="R740"/>
      <c r="S740"/>
      <c r="T740"/>
      <c r="U740"/>
    </row>
    <row r="741" ht="27.95" hidden="1" customHeight="1" spans="1:21">
      <c r="A741" s="64"/>
      <c r="B741" s="73" t="s">
        <v>1401</v>
      </c>
      <c r="C741" s="66" t="s">
        <v>1402</v>
      </c>
      <c r="D741" s="67">
        <v>0.913</v>
      </c>
      <c r="E741" s="68"/>
      <c r="F741" s="69">
        <v>3.3</v>
      </c>
      <c r="G741" s="70"/>
      <c r="H741" s="71">
        <v>2.1</v>
      </c>
      <c r="I741" s="71">
        <v>0</v>
      </c>
      <c r="J741" s="71">
        <v>0</v>
      </c>
      <c r="M741"/>
      <c r="N741"/>
      <c r="O741"/>
      <c r="P741"/>
      <c r="Q741"/>
      <c r="R741"/>
      <c r="S741"/>
      <c r="T741"/>
      <c r="U741"/>
    </row>
    <row r="742" ht="27.95" hidden="1" customHeight="1" spans="1:21">
      <c r="A742" s="64"/>
      <c r="B742" s="73" t="s">
        <v>1403</v>
      </c>
      <c r="C742" s="66" t="s">
        <v>1404</v>
      </c>
      <c r="D742" s="67">
        <v>0.3043</v>
      </c>
      <c r="E742" s="68"/>
      <c r="F742" s="69">
        <v>1</v>
      </c>
      <c r="G742" s="70"/>
      <c r="H742" s="71">
        <v>0.7</v>
      </c>
      <c r="I742" s="71">
        <v>0</v>
      </c>
      <c r="J742" s="71">
        <v>0</v>
      </c>
      <c r="M742"/>
      <c r="N742"/>
      <c r="O742"/>
      <c r="P742"/>
      <c r="Q742"/>
      <c r="R742"/>
      <c r="S742"/>
      <c r="T742"/>
      <c r="U742"/>
    </row>
    <row r="743" ht="27.95" customHeight="1" spans="1:20">
      <c r="A743" s="72" t="s">
        <v>3773</v>
      </c>
      <c r="B743" s="73" t="s">
        <v>1405</v>
      </c>
      <c r="C743" s="66" t="s">
        <v>1406</v>
      </c>
      <c r="D743" s="67">
        <v>0.6522</v>
      </c>
      <c r="E743" s="68"/>
      <c r="F743" s="69">
        <v>2</v>
      </c>
      <c r="G743" s="70"/>
      <c r="H743" s="71">
        <v>1.5</v>
      </c>
      <c r="I743" s="71"/>
      <c r="J743" s="71"/>
      <c r="M743" s="32">
        <v>6</v>
      </c>
      <c r="N743" s="77">
        <f>+F743</f>
        <v>2</v>
      </c>
      <c r="O743" s="77">
        <f>+M743*N743</f>
        <v>12</v>
      </c>
      <c r="R743" s="3">
        <f>+M743</f>
        <v>6</v>
      </c>
      <c r="S743" s="49">
        <f>+H743</f>
        <v>1.5</v>
      </c>
      <c r="T743" s="49">
        <f>+R743*S743</f>
        <v>9</v>
      </c>
    </row>
    <row r="744" ht="27.95" hidden="1" customHeight="1" spans="1:21">
      <c r="A744" s="64"/>
      <c r="B744" s="73" t="s">
        <v>1407</v>
      </c>
      <c r="C744" s="66" t="s">
        <v>1408</v>
      </c>
      <c r="D744" s="67">
        <v>0.8696</v>
      </c>
      <c r="E744" s="68"/>
      <c r="F744" s="69">
        <v>3.5</v>
      </c>
      <c r="G744" s="70"/>
      <c r="H744" s="71">
        <v>2</v>
      </c>
      <c r="I744" s="71">
        <v>0</v>
      </c>
      <c r="J744" s="71">
        <v>0</v>
      </c>
      <c r="M744"/>
      <c r="N744"/>
      <c r="O744"/>
      <c r="P744"/>
      <c r="Q744"/>
      <c r="R744"/>
      <c r="S744"/>
      <c r="T744"/>
      <c r="U744"/>
    </row>
    <row r="745" ht="27.95" hidden="1" customHeight="1" spans="1:21">
      <c r="A745" s="64"/>
      <c r="B745" s="73" t="s">
        <v>1409</v>
      </c>
      <c r="C745" s="66" t="s">
        <v>1410</v>
      </c>
      <c r="D745" s="67">
        <v>0.7826</v>
      </c>
      <c r="E745" s="68"/>
      <c r="F745" s="69">
        <v>2.9</v>
      </c>
      <c r="G745" s="70"/>
      <c r="H745" s="71">
        <v>1.8</v>
      </c>
      <c r="I745" s="71">
        <v>0</v>
      </c>
      <c r="J745" s="71">
        <v>0</v>
      </c>
      <c r="M745"/>
      <c r="N745"/>
      <c r="O745"/>
      <c r="P745"/>
      <c r="Q745"/>
      <c r="R745"/>
      <c r="S745"/>
      <c r="T745"/>
      <c r="U745"/>
    </row>
    <row r="746" ht="27.95" hidden="1" customHeight="1" spans="1:21">
      <c r="A746" s="64"/>
      <c r="B746" s="73" t="s">
        <v>1411</v>
      </c>
      <c r="C746" s="66" t="s">
        <v>1412</v>
      </c>
      <c r="D746" s="67">
        <v>0.2174</v>
      </c>
      <c r="E746" s="68"/>
      <c r="F746" s="69">
        <v>1</v>
      </c>
      <c r="G746" s="70"/>
      <c r="H746" s="71">
        <v>0.5</v>
      </c>
      <c r="I746" s="71">
        <v>0</v>
      </c>
      <c r="J746" s="71">
        <v>0</v>
      </c>
      <c r="M746"/>
      <c r="N746"/>
      <c r="O746"/>
      <c r="P746"/>
      <c r="Q746"/>
      <c r="R746"/>
      <c r="S746"/>
      <c r="T746"/>
      <c r="U746"/>
    </row>
    <row r="747" ht="27.95" hidden="1" customHeight="1" spans="1:21">
      <c r="A747" s="64"/>
      <c r="B747" s="81" t="s">
        <v>1413</v>
      </c>
      <c r="C747" s="66" t="s">
        <v>1414</v>
      </c>
      <c r="D747" s="67">
        <v>0.1304</v>
      </c>
      <c r="E747" s="68"/>
      <c r="F747" s="69">
        <v>0.5</v>
      </c>
      <c r="G747" s="70"/>
      <c r="H747" s="71">
        <v>0.3</v>
      </c>
      <c r="I747" s="71">
        <v>0</v>
      </c>
      <c r="J747" s="71">
        <v>0</v>
      </c>
      <c r="M747"/>
      <c r="N747"/>
      <c r="O747"/>
      <c r="P747"/>
      <c r="Q747"/>
      <c r="R747"/>
      <c r="S747"/>
      <c r="T747"/>
      <c r="U747"/>
    </row>
    <row r="748" ht="27.95" hidden="1" customHeight="1" spans="1:21">
      <c r="A748" s="64"/>
      <c r="B748" s="73" t="s">
        <v>1415</v>
      </c>
      <c r="C748" s="66" t="s">
        <v>1416</v>
      </c>
      <c r="D748" s="67">
        <v>0.2609</v>
      </c>
      <c r="E748" s="68"/>
      <c r="F748" s="69">
        <v>1</v>
      </c>
      <c r="G748" s="70"/>
      <c r="H748" s="71">
        <v>0.6</v>
      </c>
      <c r="I748" s="71">
        <v>0</v>
      </c>
      <c r="J748" s="71">
        <v>0</v>
      </c>
      <c r="M748"/>
      <c r="N748"/>
      <c r="O748"/>
      <c r="P748"/>
      <c r="Q748"/>
      <c r="R748"/>
      <c r="S748"/>
      <c r="T748"/>
      <c r="U748"/>
    </row>
    <row r="749" ht="27.95" hidden="1" customHeight="1" spans="1:21">
      <c r="A749" s="64"/>
      <c r="B749" s="73" t="s">
        <v>1417</v>
      </c>
      <c r="C749" s="66" t="s">
        <v>1418</v>
      </c>
      <c r="D749" s="67">
        <v>0.5652</v>
      </c>
      <c r="E749" s="68"/>
      <c r="F749" s="69">
        <v>2.1</v>
      </c>
      <c r="G749" s="70"/>
      <c r="H749" s="71">
        <v>1.3</v>
      </c>
      <c r="I749" s="71">
        <v>0</v>
      </c>
      <c r="J749" s="71">
        <v>0</v>
      </c>
      <c r="M749"/>
      <c r="N749"/>
      <c r="O749"/>
      <c r="P749"/>
      <c r="Q749"/>
      <c r="R749"/>
      <c r="S749"/>
      <c r="T749"/>
      <c r="U749"/>
    </row>
    <row r="750" ht="12.75" hidden="1" spans="1:21">
      <c r="A750" s="64"/>
      <c r="B750" s="73" t="s">
        <v>1419</v>
      </c>
      <c r="C750" s="66" t="s">
        <v>1420</v>
      </c>
      <c r="D750" s="67">
        <v>0.7391</v>
      </c>
      <c r="E750" s="68"/>
      <c r="F750" s="69">
        <v>2.7</v>
      </c>
      <c r="G750" s="70"/>
      <c r="H750" s="71">
        <v>1.7</v>
      </c>
      <c r="I750" s="71">
        <v>0</v>
      </c>
      <c r="J750" s="71">
        <v>0</v>
      </c>
      <c r="M750"/>
      <c r="N750"/>
      <c r="O750"/>
      <c r="P750"/>
      <c r="Q750"/>
      <c r="R750"/>
      <c r="S750"/>
      <c r="T750"/>
      <c r="U750"/>
    </row>
    <row r="751" ht="12.75" hidden="1" spans="1:21">
      <c r="A751" s="64"/>
      <c r="B751" s="73" t="s">
        <v>1421</v>
      </c>
      <c r="C751" s="66" t="s">
        <v>1422</v>
      </c>
      <c r="D751" s="67">
        <v>0.4348</v>
      </c>
      <c r="E751" s="68"/>
      <c r="F751" s="69">
        <v>1.6</v>
      </c>
      <c r="G751" s="70"/>
      <c r="H751" s="71">
        <v>1</v>
      </c>
      <c r="I751" s="71">
        <v>0</v>
      </c>
      <c r="J751" s="71">
        <v>0</v>
      </c>
      <c r="M751"/>
      <c r="N751"/>
      <c r="O751"/>
      <c r="P751"/>
      <c r="Q751"/>
      <c r="R751"/>
      <c r="S751"/>
      <c r="T751"/>
      <c r="U751"/>
    </row>
    <row r="752" ht="12.75" hidden="1" spans="1:21">
      <c r="A752" s="64"/>
      <c r="B752" s="73" t="s">
        <v>1423</v>
      </c>
      <c r="C752" s="66" t="s">
        <v>1424</v>
      </c>
      <c r="D752" s="67">
        <v>0.8261</v>
      </c>
      <c r="E752" s="68"/>
      <c r="F752" s="69">
        <v>2.5</v>
      </c>
      <c r="G752" s="70"/>
      <c r="H752" s="71">
        <v>1.9</v>
      </c>
      <c r="I752" s="71">
        <v>0</v>
      </c>
      <c r="J752" s="71">
        <v>0</v>
      </c>
      <c r="M752"/>
      <c r="N752"/>
      <c r="O752"/>
      <c r="P752"/>
      <c r="Q752"/>
      <c r="R752"/>
      <c r="S752"/>
      <c r="T752"/>
      <c r="U752"/>
    </row>
    <row r="753" customFormat="1" ht="12.75" hidden="1" spans="1:10">
      <c r="A753" s="64"/>
      <c r="B753" s="73" t="s">
        <v>1425</v>
      </c>
      <c r="C753" s="66" t="s">
        <v>1426</v>
      </c>
      <c r="D753" s="67">
        <v>0.4348</v>
      </c>
      <c r="E753" s="68"/>
      <c r="F753" s="69">
        <v>1.7</v>
      </c>
      <c r="G753" s="70"/>
      <c r="H753" s="71">
        <v>1</v>
      </c>
      <c r="I753" s="71">
        <v>0</v>
      </c>
      <c r="J753" s="71">
        <v>0</v>
      </c>
    </row>
    <row r="754" customFormat="1" ht="12.75" hidden="1" spans="1:10">
      <c r="A754" s="64"/>
      <c r="B754" s="73" t="s">
        <v>1427</v>
      </c>
      <c r="C754" s="66" t="s">
        <v>1428</v>
      </c>
      <c r="D754" s="67">
        <v>0.2174</v>
      </c>
      <c r="E754" s="68"/>
      <c r="F754" s="69">
        <v>0.8</v>
      </c>
      <c r="G754" s="70"/>
      <c r="H754" s="71">
        <v>0.5</v>
      </c>
      <c r="I754" s="71">
        <v>0</v>
      </c>
      <c r="J754" s="71">
        <v>0</v>
      </c>
    </row>
    <row r="755" customFormat="1" ht="12.75" hidden="1" spans="1:10">
      <c r="A755" s="64"/>
      <c r="B755" s="73" t="s">
        <v>1429</v>
      </c>
      <c r="C755" s="66" t="s">
        <v>1430</v>
      </c>
      <c r="D755" s="67">
        <v>0.1739</v>
      </c>
      <c r="E755" s="68"/>
      <c r="F755" s="69">
        <v>1</v>
      </c>
      <c r="G755" s="70"/>
      <c r="H755" s="71">
        <v>0.4</v>
      </c>
      <c r="I755" s="71">
        <v>0</v>
      </c>
      <c r="J755" s="71">
        <v>0</v>
      </c>
    </row>
    <row r="756" customFormat="1" ht="12.75" hidden="1" spans="1:10">
      <c r="A756" s="64"/>
      <c r="B756" s="73" t="s">
        <v>1431</v>
      </c>
      <c r="C756" s="66" t="s">
        <v>1432</v>
      </c>
      <c r="D756" s="67">
        <v>0.1304</v>
      </c>
      <c r="E756" s="68"/>
      <c r="F756" s="69">
        <v>0.5</v>
      </c>
      <c r="G756" s="70"/>
      <c r="H756" s="71">
        <v>0.3</v>
      </c>
      <c r="I756" s="71">
        <v>0</v>
      </c>
      <c r="J756" s="71">
        <v>0</v>
      </c>
    </row>
    <row r="757" customFormat="1" ht="25.5" hidden="1" spans="1:10">
      <c r="A757" s="64"/>
      <c r="B757" s="73" t="s">
        <v>1433</v>
      </c>
      <c r="C757" s="66" t="s">
        <v>1434</v>
      </c>
      <c r="D757" s="67">
        <v>0.2174</v>
      </c>
      <c r="E757" s="68"/>
      <c r="F757" s="69">
        <v>1.5</v>
      </c>
      <c r="G757" s="70"/>
      <c r="H757" s="71">
        <v>0.5</v>
      </c>
      <c r="I757" s="71">
        <v>0</v>
      </c>
      <c r="J757" s="71">
        <v>0</v>
      </c>
    </row>
    <row r="758" customFormat="1" ht="12.75" hidden="1" spans="1:10">
      <c r="A758" s="64"/>
      <c r="B758" s="73" t="s">
        <v>1435</v>
      </c>
      <c r="C758" s="66" t="s">
        <v>1436</v>
      </c>
      <c r="D758" s="67">
        <v>0.2174</v>
      </c>
      <c r="E758" s="68"/>
      <c r="F758" s="69">
        <v>0.7</v>
      </c>
      <c r="G758" s="70"/>
      <c r="H758" s="71">
        <v>0.5</v>
      </c>
      <c r="I758" s="71">
        <v>0</v>
      </c>
      <c r="J758" s="71">
        <v>0</v>
      </c>
    </row>
    <row r="759" customFormat="1" ht="12.75" hidden="1" spans="1:10">
      <c r="A759" s="64"/>
      <c r="B759" s="73" t="s">
        <v>1437</v>
      </c>
      <c r="C759" s="66" t="s">
        <v>1438</v>
      </c>
      <c r="D759" s="67">
        <v>2</v>
      </c>
      <c r="E759" s="68"/>
      <c r="F759" s="69">
        <v>7.4</v>
      </c>
      <c r="G759" s="70"/>
      <c r="H759" s="71">
        <v>4.6</v>
      </c>
      <c r="I759" s="71">
        <v>0</v>
      </c>
      <c r="J759" s="71">
        <v>0</v>
      </c>
    </row>
    <row r="760" customFormat="1" ht="25.5" hidden="1" spans="1:10">
      <c r="A760" s="64"/>
      <c r="B760" s="73" t="s">
        <v>1439</v>
      </c>
      <c r="C760" s="66" t="s">
        <v>1440</v>
      </c>
      <c r="D760" s="67">
        <v>0.0435</v>
      </c>
      <c r="E760" s="68"/>
      <c r="F760" s="69">
        <v>0.5</v>
      </c>
      <c r="G760" s="70"/>
      <c r="H760" s="71">
        <v>0.3</v>
      </c>
      <c r="I760" s="71">
        <v>0</v>
      </c>
      <c r="J760" s="71">
        <v>0</v>
      </c>
    </row>
    <row r="761" customFormat="1" ht="12.75" hidden="1" spans="1:10">
      <c r="A761" s="64"/>
      <c r="B761" s="73" t="s">
        <v>1441</v>
      </c>
      <c r="C761" s="66" t="s">
        <v>1442</v>
      </c>
      <c r="D761" s="67">
        <v>0.913</v>
      </c>
      <c r="E761" s="68"/>
      <c r="F761" s="69">
        <v>3.5</v>
      </c>
      <c r="G761" s="70"/>
      <c r="H761" s="71">
        <v>2.1</v>
      </c>
      <c r="I761" s="71">
        <v>0</v>
      </c>
      <c r="J761" s="71">
        <v>0</v>
      </c>
    </row>
    <row r="762" customFormat="1" ht="12.75" hidden="1" spans="1:10">
      <c r="A762" s="64"/>
      <c r="B762" s="73" t="s">
        <v>1443</v>
      </c>
      <c r="C762" s="66" t="s">
        <v>1444</v>
      </c>
      <c r="D762" s="67">
        <v>0.2609</v>
      </c>
      <c r="E762" s="68"/>
      <c r="F762" s="69">
        <v>0.9</v>
      </c>
      <c r="G762" s="70"/>
      <c r="H762" s="71">
        <v>0.6</v>
      </c>
      <c r="I762" s="71">
        <v>0</v>
      </c>
      <c r="J762" s="71">
        <v>0</v>
      </c>
    </row>
    <row r="763" customFormat="1" ht="25.5" hidden="1" spans="1:10">
      <c r="A763" s="64"/>
      <c r="B763" s="73" t="s">
        <v>1445</v>
      </c>
      <c r="C763" s="66" t="s">
        <v>1446</v>
      </c>
      <c r="D763" s="67">
        <v>0.3478</v>
      </c>
      <c r="E763" s="68"/>
      <c r="F763" s="69">
        <v>1.5</v>
      </c>
      <c r="G763" s="70"/>
      <c r="H763" s="71">
        <v>0.8</v>
      </c>
      <c r="I763" s="71">
        <v>0</v>
      </c>
      <c r="J763" s="71">
        <v>0</v>
      </c>
    </row>
    <row r="764" customFormat="1" ht="12.75" hidden="1" spans="1:10">
      <c r="A764" s="64"/>
      <c r="B764" s="73" t="s">
        <v>1447</v>
      </c>
      <c r="C764" s="66" t="s">
        <v>1448</v>
      </c>
      <c r="D764" s="67">
        <v>0.45</v>
      </c>
      <c r="E764" s="68"/>
      <c r="F764" s="69">
        <v>0</v>
      </c>
      <c r="G764" s="70"/>
      <c r="H764" s="71">
        <v>0</v>
      </c>
      <c r="I764" s="71">
        <v>1</v>
      </c>
      <c r="J764" s="71">
        <v>0.65</v>
      </c>
    </row>
    <row r="765" customFormat="1" ht="12.75" hidden="1" spans="1:10">
      <c r="A765" s="64"/>
      <c r="B765" s="73" t="s">
        <v>1449</v>
      </c>
      <c r="C765" s="66" t="s">
        <v>1450</v>
      </c>
      <c r="D765" s="67">
        <v>1.3043</v>
      </c>
      <c r="E765" s="68"/>
      <c r="F765" s="69">
        <v>5</v>
      </c>
      <c r="G765" s="70"/>
      <c r="H765" s="71">
        <v>3</v>
      </c>
      <c r="I765" s="71">
        <v>0</v>
      </c>
      <c r="J765" s="71">
        <v>0</v>
      </c>
    </row>
    <row r="766" customFormat="1" ht="12.75" hidden="1" spans="1:10">
      <c r="A766" s="64"/>
      <c r="B766" s="73" t="s">
        <v>1451</v>
      </c>
      <c r="C766" s="66" t="s">
        <v>1452</v>
      </c>
      <c r="D766" s="67">
        <v>1.1739</v>
      </c>
      <c r="E766" s="68"/>
      <c r="F766" s="69">
        <v>5</v>
      </c>
      <c r="G766" s="70"/>
      <c r="H766" s="71">
        <v>2.7</v>
      </c>
      <c r="I766" s="71">
        <v>0</v>
      </c>
      <c r="J766" s="71">
        <v>0</v>
      </c>
    </row>
    <row r="767" customFormat="1" ht="12.75" hidden="1" spans="1:10">
      <c r="A767" s="64"/>
      <c r="B767" s="73" t="s">
        <v>1453</v>
      </c>
      <c r="C767" s="66" t="s">
        <v>1454</v>
      </c>
      <c r="D767" s="67">
        <v>1.3043</v>
      </c>
      <c r="E767" s="68"/>
      <c r="F767" s="69">
        <v>5</v>
      </c>
      <c r="G767" s="70"/>
      <c r="H767" s="71">
        <v>3</v>
      </c>
      <c r="I767" s="71">
        <v>0</v>
      </c>
      <c r="J767" s="71">
        <v>0</v>
      </c>
    </row>
    <row r="768" customFormat="1" ht="12.75" hidden="1" spans="1:10">
      <c r="A768" s="64"/>
      <c r="B768" s="73" t="s">
        <v>1455</v>
      </c>
      <c r="C768" s="66" t="s">
        <v>1456</v>
      </c>
      <c r="D768" s="67">
        <v>0.5652</v>
      </c>
      <c r="E768" s="68"/>
      <c r="F768" s="69">
        <v>2.1</v>
      </c>
      <c r="G768" s="70"/>
      <c r="H768" s="71">
        <v>1.3</v>
      </c>
      <c r="I768" s="71">
        <v>0</v>
      </c>
      <c r="J768" s="71">
        <v>0</v>
      </c>
    </row>
    <row r="769" ht="12.75" hidden="1" spans="1:21">
      <c r="A769" s="64"/>
      <c r="B769" s="73" t="s">
        <v>1457</v>
      </c>
      <c r="C769" s="66" t="s">
        <v>1458</v>
      </c>
      <c r="D769" s="67">
        <v>0.2174</v>
      </c>
      <c r="E769" s="68"/>
      <c r="F769" s="69">
        <v>1</v>
      </c>
      <c r="G769" s="70"/>
      <c r="H769" s="71">
        <v>0.5</v>
      </c>
      <c r="I769" s="71">
        <v>0</v>
      </c>
      <c r="J769" s="71">
        <v>0</v>
      </c>
      <c r="M769"/>
      <c r="N769"/>
      <c r="O769"/>
      <c r="P769"/>
      <c r="Q769"/>
      <c r="R769"/>
      <c r="S769"/>
      <c r="T769"/>
      <c r="U769"/>
    </row>
    <row r="770" ht="38.25" spans="1:20">
      <c r="A770" s="72" t="s">
        <v>3773</v>
      </c>
      <c r="B770" s="73" t="s">
        <v>1459</v>
      </c>
      <c r="C770" s="66" t="s">
        <v>1460</v>
      </c>
      <c r="D770" s="67">
        <v>0.2174</v>
      </c>
      <c r="E770" s="68"/>
      <c r="F770" s="69">
        <v>0.5</v>
      </c>
      <c r="G770" s="70"/>
      <c r="H770" s="71">
        <v>0.3</v>
      </c>
      <c r="I770" s="71"/>
      <c r="J770" s="71"/>
      <c r="M770" s="32">
        <v>12</v>
      </c>
      <c r="N770" s="77">
        <f>+F770</f>
        <v>0.5</v>
      </c>
      <c r="O770" s="77">
        <f>+M770*N770</f>
        <v>6</v>
      </c>
      <c r="R770" s="3">
        <f>+M770</f>
        <v>12</v>
      </c>
      <c r="S770" s="49">
        <f>+H770</f>
        <v>0.3</v>
      </c>
      <c r="T770" s="49">
        <f>+R770*S770</f>
        <v>3.6</v>
      </c>
    </row>
    <row r="771" ht="25.5" hidden="1" spans="1:21">
      <c r="A771" s="64"/>
      <c r="B771" s="73" t="s">
        <v>1461</v>
      </c>
      <c r="C771" s="66" t="s">
        <v>1462</v>
      </c>
      <c r="D771" s="67">
        <v>0.1304</v>
      </c>
      <c r="E771" s="68"/>
      <c r="F771" s="69">
        <v>0.4</v>
      </c>
      <c r="G771" s="70"/>
      <c r="H771" s="71">
        <v>0.3</v>
      </c>
      <c r="I771" s="71">
        <v>0</v>
      </c>
      <c r="J771" s="71">
        <v>0</v>
      </c>
      <c r="M771"/>
      <c r="N771"/>
      <c r="O771"/>
      <c r="P771"/>
      <c r="Q771"/>
      <c r="R771"/>
      <c r="S771"/>
      <c r="T771"/>
      <c r="U771"/>
    </row>
    <row r="772" ht="12.75" hidden="1" spans="1:21">
      <c r="A772" s="64"/>
      <c r="B772" s="73" t="s">
        <v>1463</v>
      </c>
      <c r="C772" s="66" t="s">
        <v>1464</v>
      </c>
      <c r="D772" s="67">
        <v>0.1304</v>
      </c>
      <c r="E772" s="68"/>
      <c r="F772" s="69">
        <v>0.4</v>
      </c>
      <c r="G772" s="70"/>
      <c r="H772" s="71">
        <v>0.3</v>
      </c>
      <c r="I772" s="71">
        <v>0</v>
      </c>
      <c r="J772" s="71">
        <v>0</v>
      </c>
      <c r="M772"/>
      <c r="N772"/>
      <c r="O772"/>
      <c r="P772"/>
      <c r="Q772"/>
      <c r="R772"/>
      <c r="S772"/>
      <c r="T772"/>
      <c r="U772"/>
    </row>
    <row r="773" ht="12.75" hidden="1" spans="1:21">
      <c r="A773" s="64"/>
      <c r="B773" s="73" t="s">
        <v>1465</v>
      </c>
      <c r="C773" s="66" t="s">
        <v>1466</v>
      </c>
      <c r="D773" s="67">
        <v>0.2174</v>
      </c>
      <c r="E773" s="68"/>
      <c r="F773" s="69">
        <v>0</v>
      </c>
      <c r="G773" s="70"/>
      <c r="H773" s="71">
        <v>0</v>
      </c>
      <c r="I773" s="71">
        <v>0.5</v>
      </c>
      <c r="J773" s="71">
        <v>0</v>
      </c>
      <c r="M773"/>
      <c r="N773"/>
      <c r="O773"/>
      <c r="P773"/>
      <c r="Q773"/>
      <c r="R773"/>
      <c r="S773"/>
      <c r="T773"/>
      <c r="U773"/>
    </row>
    <row r="774" ht="27.95" hidden="1" customHeight="1" spans="1:21">
      <c r="A774" s="64"/>
      <c r="B774" s="73" t="s">
        <v>1467</v>
      </c>
      <c r="C774" s="66" t="s">
        <v>1468</v>
      </c>
      <c r="D774" s="67">
        <v>0.1304</v>
      </c>
      <c r="E774" s="68"/>
      <c r="F774" s="69">
        <v>0.5</v>
      </c>
      <c r="G774" s="70"/>
      <c r="H774" s="71">
        <v>0.3</v>
      </c>
      <c r="I774" s="71">
        <v>0</v>
      </c>
      <c r="J774" s="71">
        <v>0</v>
      </c>
      <c r="M774"/>
      <c r="N774"/>
      <c r="O774"/>
      <c r="P774"/>
      <c r="Q774"/>
      <c r="R774"/>
      <c r="S774"/>
      <c r="T774"/>
      <c r="U774"/>
    </row>
    <row r="775" ht="27.95" hidden="1" customHeight="1" spans="1:21">
      <c r="A775" s="64"/>
      <c r="B775" s="73" t="s">
        <v>1469</v>
      </c>
      <c r="C775" s="66" t="s">
        <v>1470</v>
      </c>
      <c r="D775" s="67">
        <v>0.2174</v>
      </c>
      <c r="E775" s="68"/>
      <c r="F775" s="69">
        <v>1</v>
      </c>
      <c r="G775" s="70"/>
      <c r="H775" s="71">
        <v>0.5</v>
      </c>
      <c r="I775" s="71">
        <v>0</v>
      </c>
      <c r="J775" s="71">
        <v>0</v>
      </c>
      <c r="M775"/>
      <c r="N775"/>
      <c r="O775"/>
      <c r="P775"/>
      <c r="Q775"/>
      <c r="R775"/>
      <c r="S775"/>
      <c r="T775"/>
      <c r="U775"/>
    </row>
    <row r="776" ht="27.95" hidden="1" customHeight="1" spans="1:21">
      <c r="A776" s="64"/>
      <c r="B776" s="73" t="s">
        <v>1471</v>
      </c>
      <c r="C776" s="66" t="s">
        <v>1472</v>
      </c>
      <c r="D776" s="67">
        <v>0.0435</v>
      </c>
      <c r="E776" s="68"/>
      <c r="F776" s="69">
        <v>0.5</v>
      </c>
      <c r="G776" s="70"/>
      <c r="H776" s="71">
        <v>0.25</v>
      </c>
      <c r="I776" s="71">
        <v>0</v>
      </c>
      <c r="J776" s="71">
        <v>0</v>
      </c>
      <c r="M776"/>
      <c r="N776"/>
      <c r="O776"/>
      <c r="P776"/>
      <c r="Q776"/>
      <c r="R776"/>
      <c r="S776"/>
      <c r="T776"/>
      <c r="U776"/>
    </row>
    <row r="777" ht="27.95" hidden="1" customHeight="1" spans="1:21">
      <c r="A777" s="64"/>
      <c r="B777" s="73" t="s">
        <v>1473</v>
      </c>
      <c r="C777" s="66" t="s">
        <v>1474</v>
      </c>
      <c r="D777" s="67">
        <v>0.1304</v>
      </c>
      <c r="E777" s="68"/>
      <c r="F777" s="69">
        <v>0.5</v>
      </c>
      <c r="G777" s="70"/>
      <c r="H777" s="71">
        <v>0.3</v>
      </c>
      <c r="I777" s="71">
        <v>0</v>
      </c>
      <c r="J777" s="71">
        <v>0</v>
      </c>
      <c r="M777"/>
      <c r="N777"/>
      <c r="O777"/>
      <c r="P777"/>
      <c r="Q777"/>
      <c r="R777"/>
      <c r="S777"/>
      <c r="T777"/>
      <c r="U777"/>
    </row>
    <row r="778" ht="27.95" hidden="1" customHeight="1" spans="1:21">
      <c r="A778" s="64"/>
      <c r="B778" s="73" t="s">
        <v>1475</v>
      </c>
      <c r="C778" s="66" t="s">
        <v>1476</v>
      </c>
      <c r="D778" s="67">
        <v>0.1304</v>
      </c>
      <c r="E778" s="68"/>
      <c r="F778" s="69">
        <v>0.5</v>
      </c>
      <c r="G778" s="70"/>
      <c r="H778" s="71">
        <v>0.3</v>
      </c>
      <c r="I778" s="71">
        <v>0</v>
      </c>
      <c r="J778" s="71">
        <v>0</v>
      </c>
      <c r="M778"/>
      <c r="N778"/>
      <c r="O778"/>
      <c r="P778"/>
      <c r="Q778"/>
      <c r="R778"/>
      <c r="S778"/>
      <c r="T778"/>
      <c r="U778"/>
    </row>
    <row r="779" ht="27.95" hidden="1" customHeight="1" spans="1:21">
      <c r="A779" s="64"/>
      <c r="B779" s="73" t="s">
        <v>1477</v>
      </c>
      <c r="C779" s="66" t="s">
        <v>1478</v>
      </c>
      <c r="D779" s="67">
        <v>0.1739</v>
      </c>
      <c r="E779" s="68"/>
      <c r="F779" s="69">
        <v>0.6</v>
      </c>
      <c r="G779" s="70"/>
      <c r="H779" s="71">
        <v>0.4</v>
      </c>
      <c r="I779" s="71">
        <v>0</v>
      </c>
      <c r="J779" s="71">
        <v>0</v>
      </c>
      <c r="M779"/>
      <c r="N779"/>
      <c r="O779"/>
      <c r="P779"/>
      <c r="Q779"/>
      <c r="R779"/>
      <c r="S779"/>
      <c r="T779"/>
      <c r="U779"/>
    </row>
    <row r="780" ht="27.95" hidden="1" customHeight="1" spans="1:21">
      <c r="A780" s="64"/>
      <c r="B780" s="73" t="s">
        <v>1479</v>
      </c>
      <c r="C780" s="66" t="s">
        <v>1480</v>
      </c>
      <c r="D780" s="67">
        <v>0.1304</v>
      </c>
      <c r="E780" s="68"/>
      <c r="F780" s="69">
        <v>0.6</v>
      </c>
      <c r="G780" s="70"/>
      <c r="H780" s="71">
        <v>0.3</v>
      </c>
      <c r="I780" s="71">
        <v>0</v>
      </c>
      <c r="J780" s="71">
        <v>0</v>
      </c>
      <c r="M780"/>
      <c r="N780"/>
      <c r="O780"/>
      <c r="P780"/>
      <c r="Q780"/>
      <c r="R780"/>
      <c r="S780"/>
      <c r="T780"/>
      <c r="U780"/>
    </row>
    <row r="781" ht="27.95" hidden="1" customHeight="1" spans="1:21">
      <c r="A781" s="64"/>
      <c r="B781" s="73" t="s">
        <v>1481</v>
      </c>
      <c r="C781" s="66" t="s">
        <v>1482</v>
      </c>
      <c r="D781" s="67">
        <v>0.1304</v>
      </c>
      <c r="E781" s="68"/>
      <c r="F781" s="69">
        <v>0.5</v>
      </c>
      <c r="G781" s="70"/>
      <c r="H781" s="71">
        <v>0.3</v>
      </c>
      <c r="I781" s="71">
        <v>0</v>
      </c>
      <c r="J781" s="71">
        <v>0</v>
      </c>
      <c r="M781"/>
      <c r="N781"/>
      <c r="O781"/>
      <c r="P781"/>
      <c r="Q781"/>
      <c r="R781"/>
      <c r="S781"/>
      <c r="T781"/>
      <c r="U781"/>
    </row>
    <row r="782" ht="27.95" hidden="1" customHeight="1" spans="1:21">
      <c r="A782" s="64"/>
      <c r="B782" s="73" t="s">
        <v>1483</v>
      </c>
      <c r="C782" s="66" t="s">
        <v>1484</v>
      </c>
      <c r="D782" s="67">
        <v>0.1304</v>
      </c>
      <c r="E782" s="68"/>
      <c r="F782" s="69">
        <v>0.5</v>
      </c>
      <c r="G782" s="70"/>
      <c r="H782" s="71">
        <v>0.3</v>
      </c>
      <c r="I782" s="71">
        <v>0</v>
      </c>
      <c r="J782" s="71">
        <v>0</v>
      </c>
      <c r="M782"/>
      <c r="N782"/>
      <c r="O782"/>
      <c r="P782"/>
      <c r="Q782"/>
      <c r="R782"/>
      <c r="S782"/>
      <c r="T782"/>
      <c r="U782"/>
    </row>
    <row r="783" ht="27.95" hidden="1" customHeight="1" spans="1:21">
      <c r="A783" s="64"/>
      <c r="B783" s="73" t="s">
        <v>1485</v>
      </c>
      <c r="C783" s="66" t="s">
        <v>1486</v>
      </c>
      <c r="D783" s="67">
        <v>0.1739</v>
      </c>
      <c r="E783" s="68"/>
      <c r="F783" s="69">
        <v>0.5</v>
      </c>
      <c r="G783" s="70"/>
      <c r="H783" s="71">
        <v>0.4</v>
      </c>
      <c r="I783" s="71">
        <v>0</v>
      </c>
      <c r="J783" s="71">
        <v>0</v>
      </c>
      <c r="M783"/>
      <c r="N783"/>
      <c r="O783"/>
      <c r="P783"/>
      <c r="Q783"/>
      <c r="R783"/>
      <c r="S783"/>
      <c r="T783"/>
      <c r="U783"/>
    </row>
    <row r="784" ht="27.95" hidden="1" customHeight="1" spans="1:21">
      <c r="A784" s="64"/>
      <c r="B784" s="73" t="s">
        <v>1487</v>
      </c>
      <c r="C784" s="66" t="s">
        <v>1488</v>
      </c>
      <c r="D784" s="67">
        <v>0.1304</v>
      </c>
      <c r="E784" s="68"/>
      <c r="F784" s="69">
        <v>0.5</v>
      </c>
      <c r="G784" s="70"/>
      <c r="H784" s="71">
        <v>0.3</v>
      </c>
      <c r="I784" s="71">
        <v>0</v>
      </c>
      <c r="J784" s="71">
        <v>0</v>
      </c>
      <c r="M784"/>
      <c r="N784"/>
      <c r="O784"/>
      <c r="P784"/>
      <c r="Q784"/>
      <c r="R784"/>
      <c r="S784"/>
      <c r="T784"/>
      <c r="U784"/>
    </row>
    <row r="785" customFormat="1" ht="27.95" hidden="1" customHeight="1" spans="1:10">
      <c r="A785" s="64"/>
      <c r="B785" s="73" t="s">
        <v>1489</v>
      </c>
      <c r="C785" s="66" t="s">
        <v>1490</v>
      </c>
      <c r="D785" s="67">
        <v>0.1304</v>
      </c>
      <c r="E785" s="68"/>
      <c r="F785" s="69">
        <v>0.5</v>
      </c>
      <c r="G785" s="70"/>
      <c r="H785" s="71">
        <v>0.3</v>
      </c>
      <c r="I785" s="71">
        <v>0</v>
      </c>
      <c r="J785" s="71">
        <v>0</v>
      </c>
    </row>
    <row r="786" customFormat="1" ht="27.95" hidden="1" customHeight="1" spans="1:10">
      <c r="A786" s="64"/>
      <c r="B786" s="73" t="s">
        <v>1491</v>
      </c>
      <c r="C786" s="66" t="s">
        <v>1492</v>
      </c>
      <c r="D786" s="67">
        <v>0.1739</v>
      </c>
      <c r="E786" s="68"/>
      <c r="F786" s="69">
        <v>0.5</v>
      </c>
      <c r="G786" s="70"/>
      <c r="H786" s="71">
        <v>0.4</v>
      </c>
      <c r="I786" s="71">
        <v>0</v>
      </c>
      <c r="J786" s="71">
        <v>0</v>
      </c>
    </row>
    <row r="787" customFormat="1" ht="27.95" hidden="1" customHeight="1" spans="1:10">
      <c r="A787" s="64"/>
      <c r="B787" s="73" t="s">
        <v>1493</v>
      </c>
      <c r="C787" s="66" t="s">
        <v>1494</v>
      </c>
      <c r="D787" s="67">
        <v>0.3478</v>
      </c>
      <c r="E787" s="68"/>
      <c r="F787" s="69">
        <v>1.2</v>
      </c>
      <c r="G787" s="70"/>
      <c r="H787" s="71">
        <v>0.8</v>
      </c>
      <c r="I787" s="71">
        <v>0</v>
      </c>
      <c r="J787" s="71">
        <v>0</v>
      </c>
    </row>
    <row r="788" customFormat="1" ht="27.95" hidden="1" customHeight="1" spans="1:10">
      <c r="A788" s="64"/>
      <c r="B788" s="73" t="s">
        <v>1495</v>
      </c>
      <c r="C788" s="66" t="s">
        <v>1496</v>
      </c>
      <c r="D788" s="67">
        <v>0.6522</v>
      </c>
      <c r="E788" s="68"/>
      <c r="F788" s="69">
        <v>2.5</v>
      </c>
      <c r="G788" s="70"/>
      <c r="H788" s="71">
        <v>1.5</v>
      </c>
      <c r="I788" s="71">
        <v>0</v>
      </c>
      <c r="J788" s="71">
        <v>0</v>
      </c>
    </row>
    <row r="789" customFormat="1" ht="27.95" hidden="1" customHeight="1" spans="1:10">
      <c r="A789" s="64"/>
      <c r="B789" s="73" t="s">
        <v>1497</v>
      </c>
      <c r="C789" s="66" t="s">
        <v>1498</v>
      </c>
      <c r="D789" s="67">
        <v>0.6522</v>
      </c>
      <c r="E789" s="68"/>
      <c r="F789" s="69">
        <v>2.5</v>
      </c>
      <c r="G789" s="70"/>
      <c r="H789" s="71">
        <v>1.5</v>
      </c>
      <c r="I789" s="71">
        <v>0</v>
      </c>
      <c r="J789" s="71">
        <v>0</v>
      </c>
    </row>
    <row r="790" customFormat="1" ht="27.95" hidden="1" customHeight="1" spans="1:10">
      <c r="A790" s="64"/>
      <c r="B790" s="73" t="s">
        <v>1499</v>
      </c>
      <c r="C790" s="66" t="s">
        <v>1500</v>
      </c>
      <c r="D790" s="67">
        <v>0.5652</v>
      </c>
      <c r="E790" s="68"/>
      <c r="F790" s="69">
        <v>2.1</v>
      </c>
      <c r="G790" s="70"/>
      <c r="H790" s="71">
        <v>1.3</v>
      </c>
      <c r="I790" s="71">
        <v>0</v>
      </c>
      <c r="J790" s="71">
        <v>0</v>
      </c>
    </row>
    <row r="791" customFormat="1" ht="27.95" hidden="1" customHeight="1" spans="1:10">
      <c r="A791" s="64"/>
      <c r="B791" s="73" t="s">
        <v>1501</v>
      </c>
      <c r="C791" s="66" t="s">
        <v>1502</v>
      </c>
      <c r="D791" s="67">
        <v>0.6522</v>
      </c>
      <c r="E791" s="68"/>
      <c r="F791" s="69">
        <v>2.5</v>
      </c>
      <c r="G791" s="70"/>
      <c r="H791" s="71">
        <v>1.5</v>
      </c>
      <c r="I791" s="71">
        <v>0</v>
      </c>
      <c r="J791" s="71">
        <v>0</v>
      </c>
    </row>
    <row r="792" customFormat="1" ht="27.95" hidden="1" customHeight="1" spans="1:10">
      <c r="A792" s="74"/>
      <c r="B792" s="73" t="s">
        <v>1503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  <c r="I792" s="71">
        <v>0</v>
      </c>
      <c r="J792" s="71">
        <v>0</v>
      </c>
    </row>
    <row r="793" customFormat="1" ht="27.95" hidden="1" customHeight="1" spans="1:10">
      <c r="A793" s="75"/>
      <c r="B793" s="73" t="s">
        <v>1505</v>
      </c>
      <c r="C793" s="66" t="s">
        <v>1504</v>
      </c>
      <c r="D793" s="67">
        <v>0.4348</v>
      </c>
      <c r="E793" s="68"/>
      <c r="F793" s="69">
        <v>1.6</v>
      </c>
      <c r="G793" s="70"/>
      <c r="H793" s="71">
        <v>1</v>
      </c>
      <c r="I793" s="71">
        <v>0</v>
      </c>
      <c r="J793" s="71">
        <v>0</v>
      </c>
    </row>
    <row r="794" customFormat="1" ht="27.95" hidden="1" customHeight="1" spans="1:10">
      <c r="A794" s="64"/>
      <c r="B794" s="73" t="s">
        <v>1506</v>
      </c>
      <c r="C794" s="66" t="s">
        <v>1507</v>
      </c>
      <c r="D794" s="67">
        <v>0.7826</v>
      </c>
      <c r="E794" s="68"/>
      <c r="F794" s="69">
        <v>2.8</v>
      </c>
      <c r="G794" s="70"/>
      <c r="H794" s="71">
        <v>1.8</v>
      </c>
      <c r="I794" s="71">
        <v>0</v>
      </c>
      <c r="J794" s="71">
        <v>0</v>
      </c>
    </row>
    <row r="795" customFormat="1" ht="27.95" hidden="1" customHeight="1" spans="1:10">
      <c r="A795" s="64"/>
      <c r="B795" s="73" t="s">
        <v>1508</v>
      </c>
      <c r="C795" s="66" t="s">
        <v>1509</v>
      </c>
      <c r="D795" s="67">
        <v>0.8696</v>
      </c>
      <c r="E795" s="68"/>
      <c r="F795" s="69">
        <v>3.3</v>
      </c>
      <c r="G795" s="70"/>
      <c r="H795" s="71">
        <v>2</v>
      </c>
      <c r="I795" s="71">
        <v>0</v>
      </c>
      <c r="J795" s="71">
        <v>0</v>
      </c>
    </row>
    <row r="796" customFormat="1" ht="27.95" hidden="1" customHeight="1" spans="1:10">
      <c r="A796" s="64"/>
      <c r="B796" s="73" t="s">
        <v>1510</v>
      </c>
      <c r="C796" s="66" t="s">
        <v>1511</v>
      </c>
      <c r="D796" s="67">
        <v>2.6087</v>
      </c>
      <c r="E796" s="68"/>
      <c r="F796" s="69">
        <v>9.6</v>
      </c>
      <c r="G796" s="70"/>
      <c r="H796" s="71">
        <v>6</v>
      </c>
      <c r="I796" s="71">
        <v>0</v>
      </c>
      <c r="J796" s="71">
        <v>0</v>
      </c>
    </row>
    <row r="797" customFormat="1" ht="27.95" hidden="1" customHeight="1" spans="1:10">
      <c r="A797" s="64"/>
      <c r="B797" s="73" t="s">
        <v>1512</v>
      </c>
      <c r="C797" s="66" t="s">
        <v>1513</v>
      </c>
      <c r="D797" s="67">
        <v>0.4348</v>
      </c>
      <c r="E797" s="68"/>
      <c r="F797" s="69">
        <v>1.6</v>
      </c>
      <c r="G797" s="70"/>
      <c r="H797" s="71">
        <v>1</v>
      </c>
      <c r="I797" s="71">
        <v>0</v>
      </c>
      <c r="J797" s="71">
        <v>0</v>
      </c>
    </row>
    <row r="798" customFormat="1" ht="27.95" hidden="1" customHeight="1" spans="1:10">
      <c r="A798" s="64"/>
      <c r="B798" s="73" t="s">
        <v>1514</v>
      </c>
      <c r="C798" s="66" t="s">
        <v>1515</v>
      </c>
      <c r="D798" s="67">
        <v>0.4348</v>
      </c>
      <c r="E798" s="68"/>
      <c r="F798" s="69">
        <v>1.7</v>
      </c>
      <c r="G798" s="70"/>
      <c r="H798" s="71">
        <v>1</v>
      </c>
      <c r="I798" s="71">
        <v>0</v>
      </c>
      <c r="J798" s="71">
        <v>0</v>
      </c>
    </row>
    <row r="799" customFormat="1" ht="27.95" hidden="1" customHeight="1" spans="1:10">
      <c r="A799" s="64"/>
      <c r="B799" s="73" t="s">
        <v>1516</v>
      </c>
      <c r="C799" s="66" t="s">
        <v>1517</v>
      </c>
      <c r="D799" s="67">
        <v>0.1739</v>
      </c>
      <c r="E799" s="68"/>
      <c r="F799" s="69">
        <v>0.6</v>
      </c>
      <c r="G799" s="70"/>
      <c r="H799" s="71">
        <v>0.4</v>
      </c>
      <c r="I799" s="71">
        <v>0</v>
      </c>
      <c r="J799" s="71">
        <v>0</v>
      </c>
    </row>
    <row r="800" customFormat="1" ht="27.95" hidden="1" customHeight="1" spans="1:10">
      <c r="A800" s="64"/>
      <c r="B800" s="73" t="s">
        <v>1518</v>
      </c>
      <c r="C800" s="66" t="s">
        <v>1519</v>
      </c>
      <c r="D800" s="67">
        <v>0.1739</v>
      </c>
      <c r="E800" s="68"/>
      <c r="F800" s="69">
        <v>0.6</v>
      </c>
      <c r="G800" s="70"/>
      <c r="H800" s="71">
        <v>0.4</v>
      </c>
      <c r="I800" s="71">
        <v>0</v>
      </c>
      <c r="J800" s="71">
        <v>0</v>
      </c>
    </row>
    <row r="801" customFormat="1" ht="27.95" hidden="1" customHeight="1" spans="1:10">
      <c r="A801" s="64"/>
      <c r="B801" s="73" t="s">
        <v>1520</v>
      </c>
      <c r="C801" s="66" t="s">
        <v>1521</v>
      </c>
      <c r="D801" s="67">
        <v>0.1739</v>
      </c>
      <c r="E801" s="68"/>
      <c r="F801" s="69">
        <v>0.6</v>
      </c>
      <c r="G801" s="70"/>
      <c r="H801" s="71">
        <v>0.4</v>
      </c>
      <c r="I801" s="71">
        <v>0</v>
      </c>
      <c r="J801" s="71">
        <v>0</v>
      </c>
    </row>
    <row r="802" customFormat="1" ht="27.95" hidden="1" customHeight="1" spans="1:10">
      <c r="A802" s="64"/>
      <c r="B802" s="73" t="s">
        <v>1522</v>
      </c>
      <c r="C802" s="66" t="s">
        <v>1523</v>
      </c>
      <c r="D802" s="67">
        <v>0.1739</v>
      </c>
      <c r="E802" s="68"/>
      <c r="F802" s="69">
        <v>0.6</v>
      </c>
      <c r="G802" s="70"/>
      <c r="H802" s="71">
        <v>0.4</v>
      </c>
      <c r="I802" s="71">
        <v>0</v>
      </c>
      <c r="J802" s="71">
        <v>0</v>
      </c>
    </row>
    <row r="803" customFormat="1" ht="27.95" hidden="1" customHeight="1" spans="1:10">
      <c r="A803" s="64"/>
      <c r="B803" s="73" t="s">
        <v>1524</v>
      </c>
      <c r="C803" s="66" t="s">
        <v>1525</v>
      </c>
      <c r="D803" s="67">
        <v>0.2609</v>
      </c>
      <c r="E803" s="68"/>
      <c r="F803" s="69">
        <v>1</v>
      </c>
      <c r="G803" s="70"/>
      <c r="H803" s="71">
        <v>0.6</v>
      </c>
      <c r="I803" s="71">
        <v>0</v>
      </c>
      <c r="J803" s="71">
        <v>0</v>
      </c>
    </row>
    <row r="804" customFormat="1" ht="27.95" hidden="1" customHeight="1" spans="1:10">
      <c r="A804" s="64"/>
      <c r="B804" s="73" t="s">
        <v>1526</v>
      </c>
      <c r="C804" s="66" t="s">
        <v>1527</v>
      </c>
      <c r="D804" s="67">
        <v>0.2609</v>
      </c>
      <c r="E804" s="68"/>
      <c r="F804" s="69">
        <v>1</v>
      </c>
      <c r="G804" s="70"/>
      <c r="H804" s="71">
        <v>0.6</v>
      </c>
      <c r="I804" s="71">
        <v>0</v>
      </c>
      <c r="J804" s="71">
        <v>0</v>
      </c>
    </row>
    <row r="805" customFormat="1" ht="27.95" hidden="1" customHeight="1" spans="1:10">
      <c r="A805" s="64"/>
      <c r="B805" s="73" t="s">
        <v>1528</v>
      </c>
      <c r="C805" s="66" t="s">
        <v>1529</v>
      </c>
      <c r="D805" s="67">
        <v>0.2609</v>
      </c>
      <c r="E805" s="68"/>
      <c r="F805" s="69">
        <v>1</v>
      </c>
      <c r="G805" s="70"/>
      <c r="H805" s="71">
        <v>0.6</v>
      </c>
      <c r="I805" s="71">
        <v>0</v>
      </c>
      <c r="J805" s="71">
        <v>0</v>
      </c>
    </row>
    <row r="806" customFormat="1" ht="27.95" hidden="1" customHeight="1" spans="1:10">
      <c r="A806" s="64"/>
      <c r="B806" s="73" t="s">
        <v>1530</v>
      </c>
      <c r="C806" s="66" t="s">
        <v>1531</v>
      </c>
      <c r="D806" s="67">
        <v>0.1739</v>
      </c>
      <c r="E806" s="68"/>
      <c r="F806" s="69">
        <v>1</v>
      </c>
      <c r="G806" s="70"/>
      <c r="H806" s="71">
        <v>0.5</v>
      </c>
      <c r="I806" s="71">
        <v>0</v>
      </c>
      <c r="J806" s="71">
        <v>0</v>
      </c>
    </row>
    <row r="807" customFormat="1" ht="27.95" hidden="1" customHeight="1" spans="1:10">
      <c r="A807" s="64"/>
      <c r="B807" s="73" t="s">
        <v>1532</v>
      </c>
      <c r="C807" s="66" t="s">
        <v>1533</v>
      </c>
      <c r="D807" s="67">
        <v>1.2609</v>
      </c>
      <c r="E807" s="68"/>
      <c r="F807" s="69">
        <v>5</v>
      </c>
      <c r="G807" s="70"/>
      <c r="H807" s="71">
        <v>2.9</v>
      </c>
      <c r="I807" s="71">
        <v>0</v>
      </c>
      <c r="J807" s="71">
        <v>0</v>
      </c>
    </row>
    <row r="808" customFormat="1" ht="27.95" hidden="1" customHeight="1" spans="1:10">
      <c r="A808" s="64"/>
      <c r="B808" s="73" t="s">
        <v>1534</v>
      </c>
      <c r="C808" s="66" t="s">
        <v>1535</v>
      </c>
      <c r="D808" s="67">
        <v>1.087</v>
      </c>
      <c r="E808" s="68"/>
      <c r="F808" s="69">
        <v>3.5</v>
      </c>
      <c r="G808" s="70"/>
      <c r="H808" s="71">
        <v>2.5</v>
      </c>
      <c r="I808" s="71">
        <v>0</v>
      </c>
      <c r="J808" s="71">
        <v>0</v>
      </c>
    </row>
    <row r="809" customFormat="1" ht="27.95" hidden="1" customHeight="1" spans="1:10">
      <c r="A809" s="74"/>
      <c r="B809" s="73" t="s">
        <v>1536</v>
      </c>
      <c r="C809" s="66" t="s">
        <v>1537</v>
      </c>
      <c r="D809" s="67">
        <v>0.6522</v>
      </c>
      <c r="E809" s="68"/>
      <c r="F809" s="69">
        <v>3</v>
      </c>
      <c r="G809" s="70"/>
      <c r="H809" s="71">
        <v>1.5</v>
      </c>
      <c r="I809" s="71">
        <v>0</v>
      </c>
      <c r="J809" s="71">
        <v>0</v>
      </c>
    </row>
    <row r="810" customFormat="1" ht="27.95" hidden="1" customHeight="1" spans="1:10">
      <c r="A810" s="75"/>
      <c r="B810" s="73" t="s">
        <v>1538</v>
      </c>
      <c r="C810" s="66" t="s">
        <v>1537</v>
      </c>
      <c r="D810" s="67">
        <v>1.087</v>
      </c>
      <c r="E810" s="68"/>
      <c r="F810" s="69">
        <v>4</v>
      </c>
      <c r="G810" s="70"/>
      <c r="H810" s="71">
        <v>2.5</v>
      </c>
      <c r="I810" s="71">
        <v>0</v>
      </c>
      <c r="J810" s="71">
        <v>0</v>
      </c>
    </row>
    <row r="811" customFormat="1" ht="27.95" hidden="1" customHeight="1" spans="1:10">
      <c r="A811" s="74"/>
      <c r="B811" s="73" t="s">
        <v>1539</v>
      </c>
      <c r="C811" s="66" t="s">
        <v>1540</v>
      </c>
      <c r="D811" s="67">
        <v>2.3043</v>
      </c>
      <c r="E811" s="68"/>
      <c r="F811" s="69">
        <v>8</v>
      </c>
      <c r="G811" s="70"/>
      <c r="H811" s="71">
        <v>5.3</v>
      </c>
      <c r="I811" s="71">
        <v>0</v>
      </c>
      <c r="J811" s="71">
        <v>0</v>
      </c>
    </row>
    <row r="812" customFormat="1" ht="27.95" hidden="1" customHeight="1" spans="1:10">
      <c r="A812" s="75"/>
      <c r="B812" s="73" t="s">
        <v>1541</v>
      </c>
      <c r="C812" s="66" t="s">
        <v>1540</v>
      </c>
      <c r="D812" s="67">
        <v>2.1739</v>
      </c>
      <c r="E812" s="68"/>
      <c r="F812" s="69">
        <v>7.9</v>
      </c>
      <c r="G812" s="70"/>
      <c r="H812" s="71">
        <v>5</v>
      </c>
      <c r="I812" s="71">
        <v>0</v>
      </c>
      <c r="J812" s="71">
        <v>0</v>
      </c>
    </row>
    <row r="813" customFormat="1" ht="27.95" hidden="1" customHeight="1" spans="1:10">
      <c r="A813" s="64"/>
      <c r="B813" s="73" t="s">
        <v>1542</v>
      </c>
      <c r="C813" s="66" t="s">
        <v>1543</v>
      </c>
      <c r="D813" s="67">
        <v>1.8696</v>
      </c>
      <c r="E813" s="68"/>
      <c r="F813" s="69">
        <v>6</v>
      </c>
      <c r="G813" s="70"/>
      <c r="H813" s="71">
        <v>4.3</v>
      </c>
      <c r="I813" s="71">
        <v>0</v>
      </c>
      <c r="J813" s="71">
        <v>0</v>
      </c>
    </row>
    <row r="814" customFormat="1" ht="27.95" hidden="1" customHeight="1" spans="1:10">
      <c r="A814" s="64"/>
      <c r="B814" s="65">
        <v>6901023647118</v>
      </c>
      <c r="C814" s="66" t="s">
        <v>1544</v>
      </c>
      <c r="D814" s="67">
        <v>0.3261</v>
      </c>
      <c r="E814" s="68"/>
      <c r="F814" s="69">
        <v>1.5</v>
      </c>
      <c r="G814" s="70"/>
      <c r="H814" s="71">
        <v>0.75</v>
      </c>
      <c r="I814" s="71">
        <v>0</v>
      </c>
      <c r="J814" s="71">
        <v>0</v>
      </c>
    </row>
    <row r="815" customFormat="1" ht="27.95" hidden="1" customHeight="1" spans="1:10">
      <c r="A815" s="64"/>
      <c r="B815" s="73" t="s">
        <v>1545</v>
      </c>
      <c r="C815" s="66" t="s">
        <v>1546</v>
      </c>
      <c r="D815" s="67">
        <v>0.087</v>
      </c>
      <c r="E815" s="68"/>
      <c r="F815" s="69">
        <v>0.25</v>
      </c>
      <c r="G815" s="70"/>
      <c r="H815" s="71">
        <v>0.2</v>
      </c>
      <c r="I815" s="71">
        <v>0</v>
      </c>
      <c r="J815" s="71">
        <v>0</v>
      </c>
    </row>
    <row r="816" customFormat="1" ht="27.95" hidden="1" customHeight="1" spans="1:10">
      <c r="A816" s="64"/>
      <c r="B816" s="73" t="s">
        <v>1547</v>
      </c>
      <c r="C816" s="66" t="s">
        <v>1548</v>
      </c>
      <c r="D816" s="67">
        <v>0.0435</v>
      </c>
      <c r="E816" s="68"/>
      <c r="F816" s="69">
        <v>0.2</v>
      </c>
      <c r="G816" s="70"/>
      <c r="H816" s="71">
        <v>0.1</v>
      </c>
      <c r="I816" s="71">
        <v>0</v>
      </c>
      <c r="J816" s="71">
        <v>0</v>
      </c>
    </row>
    <row r="817" customFormat="1" ht="27.95" hidden="1" customHeight="1" spans="1:10">
      <c r="A817" s="64"/>
      <c r="B817" s="73" t="s">
        <v>1549</v>
      </c>
      <c r="C817" s="66" t="s">
        <v>1550</v>
      </c>
      <c r="D817" s="67">
        <v>0.9565</v>
      </c>
      <c r="E817" s="68"/>
      <c r="F817" s="69">
        <v>3.5</v>
      </c>
      <c r="G817" s="70"/>
      <c r="H817" s="71">
        <v>2.2</v>
      </c>
      <c r="I817" s="71">
        <v>0</v>
      </c>
      <c r="J817" s="71">
        <v>0</v>
      </c>
    </row>
    <row r="818" customFormat="1" ht="27.95" hidden="1" customHeight="1" spans="1:10">
      <c r="A818" s="64"/>
      <c r="B818" s="65">
        <v>690209888</v>
      </c>
      <c r="C818" s="66" t="s">
        <v>1551</v>
      </c>
      <c r="D818" s="67">
        <v>0.1087</v>
      </c>
      <c r="E818" s="68"/>
      <c r="F818" s="69">
        <v>0</v>
      </c>
      <c r="G818" s="70"/>
      <c r="H818" s="71">
        <v>0</v>
      </c>
      <c r="I818" s="71">
        <v>0.25</v>
      </c>
      <c r="J818" s="71">
        <v>0.15</v>
      </c>
    </row>
    <row r="819" customFormat="1" ht="27.95" hidden="1" customHeight="1" spans="1:10">
      <c r="A819" s="64"/>
      <c r="B819" s="73" t="s">
        <v>1552</v>
      </c>
      <c r="C819" s="66" t="s">
        <v>1553</v>
      </c>
      <c r="D819" s="67">
        <v>2.4348</v>
      </c>
      <c r="E819" s="68"/>
      <c r="F819" s="69">
        <v>9</v>
      </c>
      <c r="G819" s="70"/>
      <c r="H819" s="71">
        <v>5.6</v>
      </c>
      <c r="I819" s="71">
        <v>0</v>
      </c>
      <c r="J819" s="71">
        <v>0</v>
      </c>
    </row>
    <row r="820" customFormat="1" ht="27.95" hidden="1" customHeight="1" spans="1:10">
      <c r="A820" s="64"/>
      <c r="B820" s="73" t="s">
        <v>1554</v>
      </c>
      <c r="C820" s="66" t="s">
        <v>1555</v>
      </c>
      <c r="D820" s="67">
        <v>1.6957</v>
      </c>
      <c r="E820" s="68"/>
      <c r="F820" s="69">
        <v>6.2</v>
      </c>
      <c r="G820" s="70"/>
      <c r="H820" s="71">
        <v>3.9</v>
      </c>
      <c r="I820" s="71">
        <v>0</v>
      </c>
      <c r="J820" s="71">
        <v>0</v>
      </c>
    </row>
    <row r="821" customFormat="1" ht="27.95" hidden="1" customHeight="1" spans="1:10">
      <c r="A821" s="64"/>
      <c r="B821" s="65">
        <v>6970932052313</v>
      </c>
      <c r="C821" s="66" t="s">
        <v>1556</v>
      </c>
      <c r="D821" s="67">
        <v>0.8696</v>
      </c>
      <c r="E821" s="68"/>
      <c r="F821" s="69">
        <v>0</v>
      </c>
      <c r="G821" s="70"/>
      <c r="H821" s="71">
        <v>0</v>
      </c>
      <c r="I821" s="71">
        <v>2</v>
      </c>
      <c r="J821" s="71">
        <v>1.5</v>
      </c>
    </row>
    <row r="822" customFormat="1" ht="27.95" hidden="1" customHeight="1" spans="1:10">
      <c r="A822" s="64"/>
      <c r="B822" s="65">
        <v>6939585590146</v>
      </c>
      <c r="C822" s="66" t="s">
        <v>1557</v>
      </c>
      <c r="D822" s="67">
        <v>0.5435</v>
      </c>
      <c r="E822" s="68"/>
      <c r="F822" s="69">
        <v>0</v>
      </c>
      <c r="G822" s="70"/>
      <c r="H822" s="71">
        <v>0</v>
      </c>
      <c r="I822" s="71">
        <v>1.25</v>
      </c>
      <c r="J822" s="71">
        <v>1</v>
      </c>
    </row>
    <row r="823" customFormat="1" ht="27.95" hidden="1" customHeight="1" spans="1:10">
      <c r="A823" s="64"/>
      <c r="B823" s="73" t="s">
        <v>1558</v>
      </c>
      <c r="C823" s="66" t="s">
        <v>1559</v>
      </c>
      <c r="D823" s="67">
        <v>1.1304</v>
      </c>
      <c r="E823" s="68"/>
      <c r="F823" s="69">
        <v>4.1</v>
      </c>
      <c r="G823" s="70"/>
      <c r="H823" s="71">
        <v>2.6</v>
      </c>
      <c r="I823" s="71">
        <v>0</v>
      </c>
      <c r="J823" s="71">
        <v>0</v>
      </c>
    </row>
    <row r="824" customFormat="1" ht="27.95" hidden="1" customHeight="1" spans="1:10">
      <c r="A824" s="64"/>
      <c r="B824" s="73" t="s">
        <v>1560</v>
      </c>
      <c r="C824" s="66" t="s">
        <v>1561</v>
      </c>
      <c r="D824" s="67">
        <v>1.2174</v>
      </c>
      <c r="E824" s="68"/>
      <c r="F824" s="69">
        <v>5</v>
      </c>
      <c r="G824" s="70"/>
      <c r="H824" s="71">
        <v>2.8</v>
      </c>
      <c r="I824" s="71">
        <v>0</v>
      </c>
      <c r="J824" s="71">
        <v>0</v>
      </c>
    </row>
    <row r="825" customFormat="1" ht="27.95" hidden="1" customHeight="1" spans="1:10">
      <c r="A825" s="64"/>
      <c r="B825" s="73" t="s">
        <v>1562</v>
      </c>
      <c r="C825" s="66" t="s">
        <v>1563</v>
      </c>
      <c r="D825" s="67">
        <v>0.2174</v>
      </c>
      <c r="E825" s="68"/>
      <c r="F825" s="69">
        <v>2</v>
      </c>
      <c r="G825" s="70"/>
      <c r="H825" s="71">
        <v>1</v>
      </c>
      <c r="I825" s="71">
        <v>0</v>
      </c>
      <c r="J825" s="71">
        <v>0</v>
      </c>
    </row>
    <row r="826" customFormat="1" ht="27.95" hidden="1" customHeight="1" spans="1:10">
      <c r="A826" s="74"/>
      <c r="B826" s="81" t="s">
        <v>1564</v>
      </c>
      <c r="C826" s="66" t="s">
        <v>1565</v>
      </c>
      <c r="D826" s="67">
        <v>0.2174</v>
      </c>
      <c r="E826" s="68"/>
      <c r="F826" s="69">
        <v>0</v>
      </c>
      <c r="G826" s="70"/>
      <c r="H826" s="71">
        <v>0</v>
      </c>
      <c r="I826" s="71">
        <v>0.5</v>
      </c>
      <c r="J826" s="71">
        <v>0.3</v>
      </c>
    </row>
    <row r="827" customFormat="1" ht="27.95" hidden="1" customHeight="1" spans="1:10">
      <c r="A827" s="84"/>
      <c r="B827" s="73" t="s">
        <v>1566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  <c r="I827" s="71">
        <v>0</v>
      </c>
      <c r="J827" s="71">
        <v>0</v>
      </c>
    </row>
    <row r="828" customFormat="1" ht="27.95" hidden="1" customHeight="1" spans="1:10">
      <c r="A828" s="75"/>
      <c r="B828" s="73" t="s">
        <v>1567</v>
      </c>
      <c r="C828" s="66" t="s">
        <v>1565</v>
      </c>
      <c r="D828" s="67">
        <v>0.1304</v>
      </c>
      <c r="E828" s="68"/>
      <c r="F828" s="69">
        <v>0.4</v>
      </c>
      <c r="G828" s="70"/>
      <c r="H828" s="71">
        <v>0.3</v>
      </c>
      <c r="I828" s="71">
        <v>0</v>
      </c>
      <c r="J828" s="71">
        <v>0</v>
      </c>
    </row>
    <row r="829" customFormat="1" ht="27.95" hidden="1" customHeight="1" spans="1:10">
      <c r="A829" s="64"/>
      <c r="B829" s="73" t="s">
        <v>1568</v>
      </c>
      <c r="C829" s="66" t="s">
        <v>1569</v>
      </c>
      <c r="D829" s="67">
        <v>0.1739</v>
      </c>
      <c r="E829" s="68"/>
      <c r="F829" s="69">
        <v>0.6</v>
      </c>
      <c r="G829" s="70"/>
      <c r="H829" s="71">
        <v>0.4</v>
      </c>
      <c r="I829" s="71">
        <v>0</v>
      </c>
      <c r="J829" s="71">
        <v>0</v>
      </c>
    </row>
    <row r="830" customFormat="1" ht="27.95" hidden="1" customHeight="1" spans="1:10">
      <c r="A830" s="64"/>
      <c r="B830" s="73" t="s">
        <v>1570</v>
      </c>
      <c r="C830" s="66" t="s">
        <v>1571</v>
      </c>
      <c r="D830" s="67">
        <v>0.087</v>
      </c>
      <c r="E830" s="68"/>
      <c r="F830" s="69">
        <v>0.5</v>
      </c>
      <c r="G830" s="70"/>
      <c r="H830" s="71">
        <v>0.2</v>
      </c>
      <c r="I830" s="71">
        <v>0</v>
      </c>
      <c r="J830" s="71">
        <v>0</v>
      </c>
    </row>
    <row r="831" customFormat="1" ht="27.95" hidden="1" customHeight="1" spans="1:10">
      <c r="A831" s="64"/>
      <c r="B831" s="73" t="s">
        <v>1572</v>
      </c>
      <c r="C831" s="66" t="s">
        <v>1573</v>
      </c>
      <c r="D831" s="67">
        <v>0.2609</v>
      </c>
      <c r="E831" s="68"/>
      <c r="F831" s="69">
        <v>1</v>
      </c>
      <c r="G831" s="70"/>
      <c r="H831" s="71">
        <v>0.6</v>
      </c>
      <c r="I831" s="71">
        <v>0</v>
      </c>
      <c r="J831" s="71">
        <v>0</v>
      </c>
    </row>
    <row r="832" customFormat="1" ht="27.95" hidden="1" customHeight="1" spans="1:10">
      <c r="A832" s="64"/>
      <c r="B832" s="73" t="s">
        <v>1574</v>
      </c>
      <c r="C832" s="66" t="s">
        <v>1575</v>
      </c>
      <c r="D832" s="67">
        <v>0.087</v>
      </c>
      <c r="E832" s="68"/>
      <c r="F832" s="69">
        <v>0.4</v>
      </c>
      <c r="G832" s="70"/>
      <c r="H832" s="71">
        <v>0.2</v>
      </c>
      <c r="I832" s="71">
        <v>0</v>
      </c>
      <c r="J832" s="71">
        <v>0</v>
      </c>
    </row>
    <row r="833" customFormat="1" ht="27.95" hidden="1" customHeight="1" spans="1:10">
      <c r="A833" s="64"/>
      <c r="B833" s="73" t="s">
        <v>1576</v>
      </c>
      <c r="C833" s="66" t="s">
        <v>1577</v>
      </c>
      <c r="D833" s="67">
        <v>0.1739</v>
      </c>
      <c r="E833" s="68"/>
      <c r="F833" s="69">
        <v>0.5</v>
      </c>
      <c r="G833" s="70"/>
      <c r="H833" s="71">
        <v>0.4</v>
      </c>
      <c r="I833" s="71">
        <v>0</v>
      </c>
      <c r="J833" s="71">
        <v>0</v>
      </c>
    </row>
    <row r="834" customFormat="1" ht="27.95" hidden="1" customHeight="1" spans="1:10">
      <c r="A834" s="64"/>
      <c r="B834" s="65">
        <v>6936146707913</v>
      </c>
      <c r="C834" s="66" t="s">
        <v>1578</v>
      </c>
      <c r="D834" s="67">
        <v>0.087</v>
      </c>
      <c r="E834" s="68"/>
      <c r="F834" s="69">
        <v>0.5</v>
      </c>
      <c r="G834" s="70"/>
      <c r="H834" s="71">
        <v>0.25</v>
      </c>
      <c r="I834" s="71">
        <v>0</v>
      </c>
      <c r="J834" s="71">
        <v>0</v>
      </c>
    </row>
    <row r="835" customFormat="1" ht="27.95" hidden="1" customHeight="1" spans="1:10">
      <c r="A835" s="64"/>
      <c r="B835" s="73" t="s">
        <v>1579</v>
      </c>
      <c r="C835" s="66" t="s">
        <v>1580</v>
      </c>
      <c r="D835" s="67">
        <v>0.1304</v>
      </c>
      <c r="E835" s="68"/>
      <c r="F835" s="69">
        <v>0.5</v>
      </c>
      <c r="G835" s="70"/>
      <c r="H835" s="71">
        <v>0.3</v>
      </c>
      <c r="I835" s="71">
        <v>0</v>
      </c>
      <c r="J835" s="71">
        <v>0</v>
      </c>
    </row>
    <row r="836" customFormat="1" ht="27.95" hidden="1" customHeight="1" spans="1:10">
      <c r="A836" s="64"/>
      <c r="B836" s="73" t="s">
        <v>1581</v>
      </c>
      <c r="C836" s="66" t="s">
        <v>1582</v>
      </c>
      <c r="D836" s="67">
        <v>0.1304</v>
      </c>
      <c r="E836" s="68"/>
      <c r="F836" s="69">
        <v>0.5</v>
      </c>
      <c r="G836" s="70"/>
      <c r="H836" s="71">
        <v>0.3</v>
      </c>
      <c r="I836" s="71">
        <v>0</v>
      </c>
      <c r="J836" s="71">
        <v>0</v>
      </c>
    </row>
    <row r="837" customFormat="1" ht="27.95" hidden="1" customHeight="1" spans="1:10">
      <c r="A837" s="64"/>
      <c r="B837" s="73" t="s">
        <v>1583</v>
      </c>
      <c r="C837" s="66" t="s">
        <v>1584</v>
      </c>
      <c r="D837" s="67">
        <v>0.1739</v>
      </c>
      <c r="E837" s="68"/>
      <c r="F837" s="69">
        <v>0.5</v>
      </c>
      <c r="G837" s="70"/>
      <c r="H837" s="71">
        <v>0.4</v>
      </c>
      <c r="I837" s="71">
        <v>0</v>
      </c>
      <c r="J837" s="71">
        <v>0</v>
      </c>
    </row>
    <row r="838" customFormat="1" ht="27.95" hidden="1" customHeight="1" spans="1:10">
      <c r="A838" s="64"/>
      <c r="B838" s="73" t="s">
        <v>1585</v>
      </c>
      <c r="C838" s="66" t="s">
        <v>1586</v>
      </c>
      <c r="D838" s="67">
        <v>0.2174</v>
      </c>
      <c r="E838" s="68"/>
      <c r="F838" s="69">
        <v>0.7</v>
      </c>
      <c r="G838" s="70"/>
      <c r="H838" s="71">
        <v>0.5</v>
      </c>
      <c r="I838" s="71">
        <v>0</v>
      </c>
      <c r="J838" s="71">
        <v>0</v>
      </c>
    </row>
    <row r="839" customFormat="1" ht="27.95" hidden="1" customHeight="1" spans="1:10">
      <c r="A839" s="64"/>
      <c r="B839" s="73" t="s">
        <v>1587</v>
      </c>
      <c r="C839" s="66" t="s">
        <v>1588</v>
      </c>
      <c r="D839" s="67">
        <v>6.087</v>
      </c>
      <c r="E839" s="68"/>
      <c r="F839" s="79">
        <v>15</v>
      </c>
      <c r="G839" s="80"/>
      <c r="H839" s="71">
        <v>14</v>
      </c>
      <c r="I839" s="71">
        <v>0</v>
      </c>
      <c r="J839" s="71">
        <v>0</v>
      </c>
    </row>
    <row r="840" customFormat="1" ht="27.95" hidden="1" customHeight="1" spans="1:10">
      <c r="A840" s="64"/>
      <c r="B840" s="73" t="s">
        <v>1589</v>
      </c>
      <c r="C840" s="66" t="s">
        <v>1590</v>
      </c>
      <c r="D840" s="67">
        <v>8.6957</v>
      </c>
      <c r="E840" s="68"/>
      <c r="F840" s="69">
        <v>0</v>
      </c>
      <c r="G840" s="70"/>
      <c r="H840" s="71">
        <v>0</v>
      </c>
      <c r="I840" s="71">
        <v>20</v>
      </c>
      <c r="J840" s="71">
        <v>16.67</v>
      </c>
    </row>
    <row r="841" customFormat="1" ht="27.95" hidden="1" customHeight="1" spans="1:10">
      <c r="A841" s="64"/>
      <c r="B841" s="73" t="s">
        <v>1591</v>
      </c>
      <c r="C841" s="66" t="s">
        <v>1592</v>
      </c>
      <c r="D841" s="67">
        <v>5.4348</v>
      </c>
      <c r="E841" s="68"/>
      <c r="F841" s="79">
        <v>20</v>
      </c>
      <c r="G841" s="80"/>
      <c r="H841" s="71">
        <v>12.5</v>
      </c>
      <c r="I841" s="71">
        <v>0</v>
      </c>
      <c r="J841" s="71">
        <v>0</v>
      </c>
    </row>
    <row r="842" customFormat="1" ht="27.95" hidden="1" customHeight="1" spans="1:10">
      <c r="A842" s="64"/>
      <c r="B842" s="73" t="s">
        <v>1593</v>
      </c>
      <c r="C842" s="66" t="s">
        <v>1594</v>
      </c>
      <c r="D842" s="67">
        <v>8.6957</v>
      </c>
      <c r="E842" s="68"/>
      <c r="F842" s="69">
        <v>0</v>
      </c>
      <c r="G842" s="70"/>
      <c r="H842" s="71">
        <v>0</v>
      </c>
      <c r="I842" s="71">
        <v>20</v>
      </c>
      <c r="J842" s="71">
        <v>15</v>
      </c>
    </row>
    <row r="843" customFormat="1" ht="27.95" hidden="1" customHeight="1" spans="1:10">
      <c r="A843" s="64"/>
      <c r="B843" s="73" t="s">
        <v>1595</v>
      </c>
      <c r="C843" s="66" t="s">
        <v>1596</v>
      </c>
      <c r="D843" s="67">
        <v>2.7826</v>
      </c>
      <c r="E843" s="68"/>
      <c r="F843" s="79">
        <v>10.5</v>
      </c>
      <c r="G843" s="80"/>
      <c r="H843" s="71">
        <v>6.4</v>
      </c>
      <c r="I843" s="71">
        <v>0</v>
      </c>
      <c r="J843" s="71">
        <v>0</v>
      </c>
    </row>
    <row r="844" customFormat="1" ht="27.95" hidden="1" customHeight="1" spans="1:10">
      <c r="A844" s="64"/>
      <c r="B844" s="73" t="s">
        <v>1597</v>
      </c>
      <c r="C844" s="66" t="s">
        <v>1598</v>
      </c>
      <c r="D844" s="67">
        <v>2</v>
      </c>
      <c r="E844" s="68"/>
      <c r="F844" s="69">
        <v>7.5</v>
      </c>
      <c r="G844" s="70"/>
      <c r="H844" s="71">
        <v>4.6</v>
      </c>
      <c r="I844" s="71">
        <v>0</v>
      </c>
      <c r="J844" s="71">
        <v>0</v>
      </c>
    </row>
    <row r="845" customFormat="1" ht="27.95" hidden="1" customHeight="1" spans="1:10">
      <c r="A845" s="64"/>
      <c r="B845" s="73" t="s">
        <v>1599</v>
      </c>
      <c r="C845" s="66" t="s">
        <v>1600</v>
      </c>
      <c r="D845" s="67">
        <v>3.8261</v>
      </c>
      <c r="E845" s="68"/>
      <c r="F845" s="79">
        <v>14</v>
      </c>
      <c r="G845" s="80"/>
      <c r="H845" s="71">
        <v>8.8</v>
      </c>
      <c r="I845" s="71">
        <v>0</v>
      </c>
      <c r="J845" s="71">
        <v>0</v>
      </c>
    </row>
    <row r="846" customFormat="1" ht="27.95" hidden="1" customHeight="1" spans="1:10">
      <c r="A846" s="64"/>
      <c r="B846" s="73" t="s">
        <v>1601</v>
      </c>
      <c r="C846" s="66" t="s">
        <v>1602</v>
      </c>
      <c r="D846" s="67">
        <v>2.7391</v>
      </c>
      <c r="E846" s="68"/>
      <c r="F846" s="79">
        <v>15</v>
      </c>
      <c r="G846" s="80"/>
      <c r="H846" s="71">
        <v>6.3</v>
      </c>
      <c r="I846" s="71">
        <v>0</v>
      </c>
      <c r="J846" s="71">
        <v>0</v>
      </c>
    </row>
    <row r="847" customFormat="1" ht="27.95" hidden="1" customHeight="1" spans="1:10">
      <c r="A847" s="64"/>
      <c r="B847" s="73" t="s">
        <v>1603</v>
      </c>
      <c r="C847" s="66" t="s">
        <v>1604</v>
      </c>
      <c r="D847" s="67">
        <v>4.5652</v>
      </c>
      <c r="E847" s="68"/>
      <c r="F847" s="79">
        <v>16.8</v>
      </c>
      <c r="G847" s="80"/>
      <c r="H847" s="71">
        <v>10.5</v>
      </c>
      <c r="I847" s="71">
        <v>0</v>
      </c>
      <c r="J847" s="71">
        <v>0</v>
      </c>
    </row>
    <row r="848" customFormat="1" ht="27.95" hidden="1" customHeight="1" spans="1:10">
      <c r="A848" s="64"/>
      <c r="B848" s="73" t="s">
        <v>1605</v>
      </c>
      <c r="C848" s="66" t="s">
        <v>1606</v>
      </c>
      <c r="D848" s="67">
        <v>4.8696</v>
      </c>
      <c r="E848" s="68"/>
      <c r="F848" s="79">
        <v>18</v>
      </c>
      <c r="G848" s="80"/>
      <c r="H848" s="71">
        <v>11.2</v>
      </c>
      <c r="I848" s="71">
        <v>0</v>
      </c>
      <c r="J848" s="71">
        <v>0</v>
      </c>
    </row>
    <row r="849" customFormat="1" ht="27.95" hidden="1" customHeight="1" spans="1:10">
      <c r="A849" s="64"/>
      <c r="B849" s="73" t="s">
        <v>1607</v>
      </c>
      <c r="C849" s="66" t="s">
        <v>1608</v>
      </c>
      <c r="D849" s="67">
        <v>4.1739</v>
      </c>
      <c r="E849" s="68"/>
      <c r="F849" s="79">
        <v>15.4</v>
      </c>
      <c r="G849" s="80"/>
      <c r="H849" s="71">
        <v>9.6</v>
      </c>
      <c r="I849" s="71">
        <v>0</v>
      </c>
      <c r="J849" s="71">
        <v>0</v>
      </c>
    </row>
    <row r="850" customFormat="1" ht="27.95" hidden="1" customHeight="1" spans="1:10">
      <c r="A850" s="64"/>
      <c r="B850" s="73" t="s">
        <v>1609</v>
      </c>
      <c r="C850" s="66" t="s">
        <v>1610</v>
      </c>
      <c r="D850" s="67">
        <v>6.4783</v>
      </c>
      <c r="E850" s="68"/>
      <c r="F850" s="79">
        <v>20</v>
      </c>
      <c r="G850" s="80"/>
      <c r="H850" s="71">
        <v>14.9</v>
      </c>
      <c r="I850" s="71">
        <v>0</v>
      </c>
      <c r="J850" s="71">
        <v>0</v>
      </c>
    </row>
    <row r="851" customFormat="1" ht="27.95" hidden="1" customHeight="1" spans="1:10">
      <c r="A851" s="64"/>
      <c r="B851" s="73" t="s">
        <v>1611</v>
      </c>
      <c r="C851" s="66" t="s">
        <v>1612</v>
      </c>
      <c r="D851" s="67">
        <v>8.4348</v>
      </c>
      <c r="E851" s="68"/>
      <c r="F851" s="79">
        <v>19</v>
      </c>
      <c r="G851" s="80"/>
      <c r="H851" s="71">
        <v>19.4</v>
      </c>
      <c r="I851" s="71">
        <v>0</v>
      </c>
      <c r="J851" s="71">
        <v>0</v>
      </c>
    </row>
    <row r="852" customFormat="1" ht="27.95" hidden="1" customHeight="1" spans="1:10">
      <c r="A852" s="64"/>
      <c r="B852" s="73" t="s">
        <v>1613</v>
      </c>
      <c r="C852" s="66" t="s">
        <v>1614</v>
      </c>
      <c r="D852" s="67">
        <v>6.7826</v>
      </c>
      <c r="E852" s="68"/>
      <c r="F852" s="79">
        <v>25</v>
      </c>
      <c r="G852" s="80"/>
      <c r="H852" s="71">
        <v>15.6</v>
      </c>
      <c r="I852" s="71">
        <v>0</v>
      </c>
      <c r="J852" s="71">
        <v>0</v>
      </c>
    </row>
    <row r="853" customFormat="1" ht="27.95" hidden="1" customHeight="1" spans="1:10">
      <c r="A853" s="64"/>
      <c r="B853" s="73" t="s">
        <v>1615</v>
      </c>
      <c r="C853" s="66" t="s">
        <v>1616</v>
      </c>
      <c r="D853" s="67">
        <v>1.4783</v>
      </c>
      <c r="E853" s="68"/>
      <c r="F853" s="69">
        <v>5.5</v>
      </c>
      <c r="G853" s="70"/>
      <c r="H853" s="71">
        <v>3.4</v>
      </c>
      <c r="I853" s="71">
        <v>0</v>
      </c>
      <c r="J853" s="71">
        <v>0</v>
      </c>
    </row>
    <row r="854" customFormat="1" ht="27.95" hidden="1" customHeight="1" spans="1:10">
      <c r="A854" s="74"/>
      <c r="B854" s="73" t="s">
        <v>1617</v>
      </c>
      <c r="C854" s="66" t="s">
        <v>1618</v>
      </c>
      <c r="D854" s="67">
        <v>1.1739</v>
      </c>
      <c r="E854" s="68"/>
      <c r="F854" s="69">
        <v>4.5</v>
      </c>
      <c r="G854" s="70"/>
      <c r="H854" s="71">
        <v>2.7</v>
      </c>
      <c r="I854" s="71">
        <v>0</v>
      </c>
      <c r="J854" s="71">
        <v>0</v>
      </c>
    </row>
    <row r="855" customFormat="1" ht="27.95" hidden="1" customHeight="1" spans="1:10">
      <c r="A855" s="75"/>
      <c r="B855" s="73" t="s">
        <v>1619</v>
      </c>
      <c r="C855" s="66" t="s">
        <v>1618</v>
      </c>
      <c r="D855" s="67">
        <v>1.1739</v>
      </c>
      <c r="E855" s="68"/>
      <c r="F855" s="69">
        <v>4.3</v>
      </c>
      <c r="G855" s="70"/>
      <c r="H855" s="71">
        <v>2.7</v>
      </c>
      <c r="I855" s="71">
        <v>0</v>
      </c>
      <c r="J855" s="71">
        <v>0</v>
      </c>
    </row>
    <row r="856" customFormat="1" ht="27.95" hidden="1" customHeight="1" spans="1:10">
      <c r="A856" s="64"/>
      <c r="B856" s="73" t="s">
        <v>1620</v>
      </c>
      <c r="C856" s="66" t="s">
        <v>1621</v>
      </c>
      <c r="D856" s="82">
        <v>13.0435</v>
      </c>
      <c r="E856" s="83"/>
      <c r="F856" s="69">
        <v>0</v>
      </c>
      <c r="G856" s="70"/>
      <c r="H856" s="71">
        <v>0</v>
      </c>
      <c r="I856" s="71">
        <v>25</v>
      </c>
      <c r="J856" s="71">
        <v>20</v>
      </c>
    </row>
    <row r="857" customFormat="1" ht="27.95" hidden="1" customHeight="1" spans="1:10">
      <c r="A857" s="64"/>
      <c r="B857" s="73" t="s">
        <v>1622</v>
      </c>
      <c r="C857" s="66" t="s">
        <v>1623</v>
      </c>
      <c r="D857" s="67">
        <v>0.45</v>
      </c>
      <c r="E857" s="68"/>
      <c r="F857" s="69">
        <v>0</v>
      </c>
      <c r="G857" s="70"/>
      <c r="H857" s="71">
        <v>0</v>
      </c>
      <c r="I857" s="71">
        <v>0.53</v>
      </c>
      <c r="J857" s="71">
        <v>0.65</v>
      </c>
    </row>
    <row r="858" customFormat="1" ht="27.95" hidden="1" customHeight="1" spans="1:10">
      <c r="A858" s="64"/>
      <c r="B858" s="73" t="s">
        <v>1624</v>
      </c>
      <c r="C858" s="66" t="s">
        <v>1625</v>
      </c>
      <c r="D858" s="67">
        <v>0.1739</v>
      </c>
      <c r="E858" s="68"/>
      <c r="F858" s="69">
        <v>0.6</v>
      </c>
      <c r="G858" s="70"/>
      <c r="H858" s="71">
        <v>0.4</v>
      </c>
      <c r="I858" s="71">
        <v>0</v>
      </c>
      <c r="J858" s="71">
        <v>0</v>
      </c>
    </row>
    <row r="859" customFormat="1" ht="27.95" hidden="1" customHeight="1" spans="1:10">
      <c r="A859" s="64"/>
      <c r="B859" s="73" t="s">
        <v>1626</v>
      </c>
      <c r="C859" s="66" t="s">
        <v>1627</v>
      </c>
      <c r="D859" s="67">
        <v>0.2174</v>
      </c>
      <c r="E859" s="68"/>
      <c r="F859" s="69">
        <v>1</v>
      </c>
      <c r="G859" s="70"/>
      <c r="H859" s="71">
        <v>0.5</v>
      </c>
      <c r="I859" s="71">
        <v>0</v>
      </c>
      <c r="J859" s="71">
        <v>0</v>
      </c>
    </row>
    <row r="860" customFormat="1" ht="27.95" hidden="1" customHeight="1" spans="1:10">
      <c r="A860" s="64"/>
      <c r="B860" s="73" t="s">
        <v>1628</v>
      </c>
      <c r="C860" s="66" t="s">
        <v>1629</v>
      </c>
      <c r="D860" s="67">
        <v>1</v>
      </c>
      <c r="E860" s="68"/>
      <c r="F860" s="69">
        <v>3.5</v>
      </c>
      <c r="G860" s="70"/>
      <c r="H860" s="71">
        <v>2.3</v>
      </c>
      <c r="I860" s="71">
        <v>0</v>
      </c>
      <c r="J860" s="71">
        <v>0</v>
      </c>
    </row>
    <row r="861" customFormat="1" ht="27.95" hidden="1" customHeight="1" spans="1:10">
      <c r="A861" s="64"/>
      <c r="B861" s="73" t="s">
        <v>1630</v>
      </c>
      <c r="C861" s="66" t="s">
        <v>1631</v>
      </c>
      <c r="D861" s="67">
        <v>1.3913</v>
      </c>
      <c r="E861" s="68"/>
      <c r="F861" s="79">
        <v>10</v>
      </c>
      <c r="G861" s="80"/>
      <c r="H861" s="71">
        <v>3.2</v>
      </c>
      <c r="I861" s="71">
        <v>0</v>
      </c>
      <c r="J861" s="71">
        <v>0</v>
      </c>
    </row>
    <row r="862" customFormat="1" ht="27.95" hidden="1" customHeight="1" spans="1:10">
      <c r="A862" s="64"/>
      <c r="B862" s="73" t="s">
        <v>1632</v>
      </c>
      <c r="C862" s="66" t="s">
        <v>1633</v>
      </c>
      <c r="D862" s="67">
        <v>0.5652</v>
      </c>
      <c r="E862" s="68"/>
      <c r="F862" s="69">
        <v>2</v>
      </c>
      <c r="G862" s="70"/>
      <c r="H862" s="71">
        <v>1.3</v>
      </c>
      <c r="I862" s="71">
        <v>0</v>
      </c>
      <c r="J862" s="71">
        <v>0</v>
      </c>
    </row>
    <row r="863" customFormat="1" ht="27.95" hidden="1" customHeight="1" spans="1:10">
      <c r="A863" s="64"/>
      <c r="B863" s="73" t="s">
        <v>1634</v>
      </c>
      <c r="C863" s="66" t="s">
        <v>1635</v>
      </c>
      <c r="D863" s="67">
        <v>1.2174</v>
      </c>
      <c r="E863" s="68"/>
      <c r="F863" s="69">
        <v>4.5</v>
      </c>
      <c r="G863" s="70"/>
      <c r="H863" s="71">
        <v>2.8</v>
      </c>
      <c r="I863" s="71">
        <v>0</v>
      </c>
      <c r="J863" s="71">
        <v>0</v>
      </c>
    </row>
    <row r="864" customFormat="1" ht="27.95" hidden="1" customHeight="1" spans="1:10">
      <c r="A864" s="64"/>
      <c r="B864" s="73" t="s">
        <v>1636</v>
      </c>
      <c r="C864" s="66" t="s">
        <v>1637</v>
      </c>
      <c r="D864" s="67">
        <v>0.1304</v>
      </c>
      <c r="E864" s="68"/>
      <c r="F864" s="69">
        <v>0.5</v>
      </c>
      <c r="G864" s="70"/>
      <c r="H864" s="71">
        <v>0.3</v>
      </c>
      <c r="I864" s="71">
        <v>0</v>
      </c>
      <c r="J864" s="71">
        <v>0</v>
      </c>
    </row>
    <row r="865" ht="27.95" customHeight="1" spans="1:20">
      <c r="A865" s="72" t="s">
        <v>3773</v>
      </c>
      <c r="B865" s="73" t="s">
        <v>1638</v>
      </c>
      <c r="C865" s="66" t="s">
        <v>1639</v>
      </c>
      <c r="D865" s="67">
        <v>0.4348</v>
      </c>
      <c r="E865" s="68"/>
      <c r="F865" s="69">
        <v>1</v>
      </c>
      <c r="G865" s="70"/>
      <c r="H865" s="71">
        <v>0.5</v>
      </c>
      <c r="I865" s="71"/>
      <c r="J865" s="71"/>
      <c r="M865" s="32">
        <v>24</v>
      </c>
      <c r="N865" s="77">
        <f>+F865</f>
        <v>1</v>
      </c>
      <c r="O865" s="77">
        <f>+M865*N865</f>
        <v>24</v>
      </c>
      <c r="R865" s="3">
        <f>+M865</f>
        <v>24</v>
      </c>
      <c r="S865" s="49">
        <f>+H865</f>
        <v>0.5</v>
      </c>
      <c r="T865" s="49">
        <f>+R865*S865</f>
        <v>12</v>
      </c>
    </row>
    <row r="866" ht="27.95" hidden="1" customHeight="1" spans="1:21">
      <c r="A866" s="64"/>
      <c r="B866" s="73" t="s">
        <v>1640</v>
      </c>
      <c r="C866" s="66" t="s">
        <v>1641</v>
      </c>
      <c r="D866" s="67">
        <v>0.2609</v>
      </c>
      <c r="E866" s="68"/>
      <c r="F866" s="69">
        <v>1</v>
      </c>
      <c r="G866" s="70"/>
      <c r="H866" s="71">
        <v>0.6</v>
      </c>
      <c r="I866" s="71">
        <v>0</v>
      </c>
      <c r="J866" s="71">
        <v>0</v>
      </c>
      <c r="M866"/>
      <c r="N866"/>
      <c r="O866"/>
      <c r="P866"/>
      <c r="Q866"/>
      <c r="R866"/>
      <c r="S866"/>
      <c r="T866"/>
      <c r="U866"/>
    </row>
    <row r="867" ht="27.95" hidden="1" customHeight="1" spans="1:21">
      <c r="A867" s="64"/>
      <c r="B867" s="73" t="s">
        <v>1642</v>
      </c>
      <c r="C867" s="66" t="s">
        <v>1643</v>
      </c>
      <c r="D867" s="67">
        <v>0.2174</v>
      </c>
      <c r="E867" s="68"/>
      <c r="F867" s="69">
        <v>1</v>
      </c>
      <c r="G867" s="70"/>
      <c r="H867" s="71">
        <v>0.5</v>
      </c>
      <c r="I867" s="71">
        <v>0</v>
      </c>
      <c r="J867" s="71">
        <v>0</v>
      </c>
      <c r="M867"/>
      <c r="N867"/>
      <c r="O867"/>
      <c r="P867"/>
      <c r="Q867"/>
      <c r="R867"/>
      <c r="S867"/>
      <c r="T867"/>
      <c r="U867"/>
    </row>
    <row r="868" ht="27.95" hidden="1" customHeight="1" spans="1:21">
      <c r="A868" s="64"/>
      <c r="B868" s="73" t="s">
        <v>1644</v>
      </c>
      <c r="C868" s="66" t="s">
        <v>1645</v>
      </c>
      <c r="D868" s="67">
        <v>0.2174</v>
      </c>
      <c r="E868" s="68"/>
      <c r="F868" s="69">
        <v>0.9</v>
      </c>
      <c r="G868" s="70"/>
      <c r="H868" s="71">
        <v>0.5</v>
      </c>
      <c r="I868" s="71">
        <v>0</v>
      </c>
      <c r="J868" s="71">
        <v>0</v>
      </c>
      <c r="M868"/>
      <c r="N868"/>
      <c r="O868"/>
      <c r="P868"/>
      <c r="Q868"/>
      <c r="R868"/>
      <c r="S868"/>
      <c r="T868"/>
      <c r="U868"/>
    </row>
    <row r="869" ht="27.95" hidden="1" customHeight="1" spans="1:21">
      <c r="A869" s="64"/>
      <c r="B869" s="73" t="s">
        <v>1646</v>
      </c>
      <c r="C869" s="66" t="s">
        <v>1647</v>
      </c>
      <c r="D869" s="67">
        <v>0.2174</v>
      </c>
      <c r="E869" s="68"/>
      <c r="F869" s="69">
        <v>1</v>
      </c>
      <c r="G869" s="70"/>
      <c r="H869" s="71">
        <v>0.5</v>
      </c>
      <c r="I869" s="71">
        <v>0</v>
      </c>
      <c r="J869" s="71">
        <v>0</v>
      </c>
      <c r="M869"/>
      <c r="N869"/>
      <c r="O869"/>
      <c r="P869"/>
      <c r="Q869"/>
      <c r="R869"/>
      <c r="S869"/>
      <c r="T869"/>
      <c r="U869"/>
    </row>
    <row r="870" ht="27.95" hidden="1" customHeight="1" spans="1:21">
      <c r="A870" s="64"/>
      <c r="B870" s="73" t="s">
        <v>1648</v>
      </c>
      <c r="C870" s="66" t="s">
        <v>1649</v>
      </c>
      <c r="D870" s="67">
        <v>1.2609</v>
      </c>
      <c r="E870" s="68"/>
      <c r="F870" s="69">
        <v>4</v>
      </c>
      <c r="G870" s="70"/>
      <c r="H870" s="71">
        <v>2.9</v>
      </c>
      <c r="I870" s="71">
        <v>0</v>
      </c>
      <c r="J870" s="71">
        <v>0</v>
      </c>
      <c r="M870"/>
      <c r="N870"/>
      <c r="O870"/>
      <c r="P870"/>
      <c r="Q870"/>
      <c r="R870"/>
      <c r="S870"/>
      <c r="T870"/>
      <c r="U870"/>
    </row>
    <row r="871" ht="27.95" hidden="1" customHeight="1" spans="1:21">
      <c r="A871" s="64"/>
      <c r="B871" s="73" t="s">
        <v>1650</v>
      </c>
      <c r="C871" s="66" t="s">
        <v>1651</v>
      </c>
      <c r="D871" s="67">
        <v>1.6087</v>
      </c>
      <c r="E871" s="68"/>
      <c r="F871" s="69">
        <v>5</v>
      </c>
      <c r="G871" s="70"/>
      <c r="H871" s="71">
        <v>3.7</v>
      </c>
      <c r="I871" s="71">
        <v>0</v>
      </c>
      <c r="J871" s="71">
        <v>0</v>
      </c>
      <c r="M871"/>
      <c r="N871"/>
      <c r="O871"/>
      <c r="P871"/>
      <c r="Q871"/>
      <c r="R871"/>
      <c r="S871"/>
      <c r="T871"/>
      <c r="U871"/>
    </row>
    <row r="872" ht="27.95" hidden="1" customHeight="1" spans="1:21">
      <c r="A872" s="64"/>
      <c r="B872" s="73" t="s">
        <v>1652</v>
      </c>
      <c r="C872" s="66" t="s">
        <v>1653</v>
      </c>
      <c r="D872" s="67">
        <v>1.3043</v>
      </c>
      <c r="E872" s="68"/>
      <c r="F872" s="69">
        <v>4</v>
      </c>
      <c r="G872" s="70"/>
      <c r="H872" s="71">
        <v>3</v>
      </c>
      <c r="I872" s="71">
        <v>0</v>
      </c>
      <c r="J872" s="71">
        <v>0</v>
      </c>
      <c r="M872"/>
      <c r="N872"/>
      <c r="O872"/>
      <c r="P872"/>
      <c r="Q872"/>
      <c r="R872"/>
      <c r="S872"/>
      <c r="T872"/>
      <c r="U872"/>
    </row>
    <row r="873" ht="27.95" hidden="1" customHeight="1" spans="1:21">
      <c r="A873" s="64"/>
      <c r="B873" s="73" t="s">
        <v>1654</v>
      </c>
      <c r="C873" s="66" t="s">
        <v>1655</v>
      </c>
      <c r="D873" s="67">
        <v>0.913</v>
      </c>
      <c r="E873" s="68"/>
      <c r="F873" s="69">
        <v>3.5</v>
      </c>
      <c r="G873" s="70"/>
      <c r="H873" s="71">
        <v>2.1</v>
      </c>
      <c r="I873" s="71">
        <v>0</v>
      </c>
      <c r="J873" s="71">
        <v>0</v>
      </c>
      <c r="M873"/>
      <c r="N873"/>
      <c r="O873"/>
      <c r="P873"/>
      <c r="Q873"/>
      <c r="R873"/>
      <c r="S873"/>
      <c r="T873"/>
      <c r="U873"/>
    </row>
    <row r="874" ht="27.95" hidden="1" customHeight="1" spans="1:21">
      <c r="A874" s="64"/>
      <c r="B874" s="73" t="s">
        <v>1656</v>
      </c>
      <c r="C874" s="66" t="s">
        <v>1657</v>
      </c>
      <c r="D874" s="67">
        <v>0.2174</v>
      </c>
      <c r="E874" s="68"/>
      <c r="F874" s="69">
        <v>1</v>
      </c>
      <c r="G874" s="70"/>
      <c r="H874" s="71">
        <v>0.5</v>
      </c>
      <c r="I874" s="71">
        <v>0</v>
      </c>
      <c r="J874" s="71">
        <v>0</v>
      </c>
      <c r="M874"/>
      <c r="N874"/>
      <c r="O874"/>
      <c r="P874"/>
      <c r="Q874"/>
      <c r="R874"/>
      <c r="S874"/>
      <c r="T874"/>
      <c r="U874"/>
    </row>
    <row r="875" ht="27.95" hidden="1" customHeight="1" spans="1:21">
      <c r="A875" s="64"/>
      <c r="B875" s="73" t="s">
        <v>1658</v>
      </c>
      <c r="C875" s="66" t="s">
        <v>1659</v>
      </c>
      <c r="D875" s="67">
        <v>0.3043</v>
      </c>
      <c r="E875" s="68"/>
      <c r="F875" s="69">
        <v>1.1</v>
      </c>
      <c r="G875" s="70"/>
      <c r="H875" s="71">
        <v>0.7</v>
      </c>
      <c r="I875" s="71">
        <v>0</v>
      </c>
      <c r="J875" s="71">
        <v>0</v>
      </c>
      <c r="M875"/>
      <c r="N875"/>
      <c r="O875"/>
      <c r="P875"/>
      <c r="Q875"/>
      <c r="R875"/>
      <c r="S875"/>
      <c r="T875"/>
      <c r="U875"/>
    </row>
    <row r="876" ht="27.95" hidden="1" customHeight="1" spans="1:21">
      <c r="A876" s="64"/>
      <c r="B876" s="73" t="s">
        <v>1660</v>
      </c>
      <c r="C876" s="66" t="s">
        <v>1661</v>
      </c>
      <c r="D876" s="67">
        <v>0.2174</v>
      </c>
      <c r="E876" s="68"/>
      <c r="F876" s="69">
        <v>3</v>
      </c>
      <c r="G876" s="70"/>
      <c r="H876" s="71">
        <v>1.5</v>
      </c>
      <c r="I876" s="71">
        <v>0</v>
      </c>
      <c r="J876" s="71">
        <v>0</v>
      </c>
      <c r="M876"/>
      <c r="N876"/>
      <c r="O876"/>
      <c r="P876"/>
      <c r="Q876"/>
      <c r="R876"/>
      <c r="S876"/>
      <c r="T876"/>
      <c r="U876"/>
    </row>
    <row r="877" ht="27.95" hidden="1" customHeight="1" spans="1:21">
      <c r="A877" s="74"/>
      <c r="B877" s="73" t="s">
        <v>1662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  <c r="I877" s="71">
        <v>0</v>
      </c>
      <c r="J877" s="71">
        <v>0</v>
      </c>
      <c r="M877"/>
      <c r="N877"/>
      <c r="O877"/>
      <c r="P877"/>
      <c r="Q877"/>
      <c r="R877"/>
      <c r="S877"/>
      <c r="T877"/>
      <c r="U877"/>
    </row>
    <row r="878" ht="27.95" hidden="1" customHeight="1" spans="1:21">
      <c r="A878" s="84"/>
      <c r="B878" s="73" t="s">
        <v>1664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  <c r="I878" s="71">
        <v>0</v>
      </c>
      <c r="J878" s="71">
        <v>0</v>
      </c>
      <c r="M878"/>
      <c r="N878"/>
      <c r="O878"/>
      <c r="P878"/>
      <c r="Q878"/>
      <c r="R878"/>
      <c r="S878"/>
      <c r="T878"/>
      <c r="U878"/>
    </row>
    <row r="879" ht="27.95" hidden="1" customHeight="1" spans="1:21">
      <c r="A879" s="75"/>
      <c r="B879" s="73" t="s">
        <v>1665</v>
      </c>
      <c r="C879" s="66" t="s">
        <v>1663</v>
      </c>
      <c r="D879" s="67">
        <v>0.6957</v>
      </c>
      <c r="E879" s="68"/>
      <c r="F879" s="69">
        <v>2.6</v>
      </c>
      <c r="G879" s="70"/>
      <c r="H879" s="71">
        <v>1.6</v>
      </c>
      <c r="I879" s="71">
        <v>0</v>
      </c>
      <c r="J879" s="71">
        <v>0</v>
      </c>
      <c r="M879"/>
      <c r="N879"/>
      <c r="O879"/>
      <c r="P879"/>
      <c r="Q879"/>
      <c r="R879"/>
      <c r="S879"/>
      <c r="T879"/>
      <c r="U879"/>
    </row>
    <row r="880" ht="27.95" hidden="1" customHeight="1" spans="1:21">
      <c r="A880" s="64"/>
      <c r="B880" s="73" t="s">
        <v>1666</v>
      </c>
      <c r="C880" s="66" t="s">
        <v>1667</v>
      </c>
      <c r="D880" s="67">
        <v>3.913</v>
      </c>
      <c r="E880" s="68"/>
      <c r="F880" s="69">
        <v>0</v>
      </c>
      <c r="G880" s="70"/>
      <c r="H880" s="71">
        <v>0</v>
      </c>
      <c r="I880" s="71">
        <v>9</v>
      </c>
      <c r="J880" s="71">
        <v>6</v>
      </c>
      <c r="M880"/>
      <c r="N880"/>
      <c r="O880"/>
      <c r="P880"/>
      <c r="Q880"/>
      <c r="R880"/>
      <c r="S880"/>
      <c r="T880"/>
      <c r="U880"/>
    </row>
    <row r="881" customFormat="1" ht="27.95" hidden="1" customHeight="1" spans="1:10">
      <c r="A881" s="64"/>
      <c r="B881" s="73" t="s">
        <v>1668</v>
      </c>
      <c r="C881" s="66" t="s">
        <v>1669</v>
      </c>
      <c r="D881" s="67">
        <v>0.7391</v>
      </c>
      <c r="E881" s="68"/>
      <c r="F881" s="69">
        <v>2.5</v>
      </c>
      <c r="G881" s="70"/>
      <c r="H881" s="71">
        <v>1.7</v>
      </c>
      <c r="I881" s="71">
        <v>0</v>
      </c>
      <c r="J881" s="71">
        <v>0</v>
      </c>
    </row>
    <row r="882" customFormat="1" ht="27.95" hidden="1" customHeight="1" spans="1:10">
      <c r="A882" s="64"/>
      <c r="B882" s="73" t="s">
        <v>1670</v>
      </c>
      <c r="C882" s="66" t="s">
        <v>1671</v>
      </c>
      <c r="D882" s="67">
        <v>0.6522</v>
      </c>
      <c r="E882" s="68"/>
      <c r="F882" s="69">
        <v>2</v>
      </c>
      <c r="G882" s="70"/>
      <c r="H882" s="71">
        <v>1.5</v>
      </c>
      <c r="I882" s="71">
        <v>0</v>
      </c>
      <c r="J882" s="71">
        <v>0</v>
      </c>
    </row>
    <row r="883" customFormat="1" ht="27.95" hidden="1" customHeight="1" spans="1:10">
      <c r="A883" s="64"/>
      <c r="B883" s="73" t="s">
        <v>1672</v>
      </c>
      <c r="C883" s="66" t="s">
        <v>1673</v>
      </c>
      <c r="D883" s="67">
        <v>0.5435</v>
      </c>
      <c r="E883" s="68"/>
      <c r="F883" s="69">
        <v>2</v>
      </c>
      <c r="G883" s="70"/>
      <c r="H883" s="71">
        <v>1.25</v>
      </c>
      <c r="I883" s="71">
        <v>0</v>
      </c>
      <c r="J883" s="71">
        <v>0</v>
      </c>
    </row>
    <row r="884" customFormat="1" ht="27.95" hidden="1" customHeight="1" spans="1:10">
      <c r="A884" s="64"/>
      <c r="B884" s="73" t="s">
        <v>1674</v>
      </c>
      <c r="C884" s="66" t="s">
        <v>1675</v>
      </c>
      <c r="D884" s="67">
        <v>0.2174</v>
      </c>
      <c r="E884" s="68"/>
      <c r="F884" s="69">
        <v>0.8</v>
      </c>
      <c r="G884" s="70"/>
      <c r="H884" s="71">
        <v>0.5</v>
      </c>
      <c r="I884" s="71">
        <v>0</v>
      </c>
      <c r="J884" s="71">
        <v>0</v>
      </c>
    </row>
    <row r="885" customFormat="1" ht="27.95" hidden="1" customHeight="1" spans="1:10">
      <c r="A885" s="64"/>
      <c r="B885" s="73" t="s">
        <v>1676</v>
      </c>
      <c r="C885" s="66" t="s">
        <v>1677</v>
      </c>
      <c r="D885" s="67">
        <v>1.3478</v>
      </c>
      <c r="E885" s="68"/>
      <c r="F885" s="69">
        <v>5</v>
      </c>
      <c r="G885" s="70"/>
      <c r="H885" s="71">
        <v>3.1</v>
      </c>
      <c r="I885" s="71">
        <v>0</v>
      </c>
      <c r="J885" s="71">
        <v>0</v>
      </c>
    </row>
    <row r="886" customFormat="1" ht="27.95" hidden="1" customHeight="1" spans="1:10">
      <c r="A886" s="74"/>
      <c r="B886" s="73" t="s">
        <v>1678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  <c r="I886" s="71">
        <v>0</v>
      </c>
      <c r="J886" s="71">
        <v>0</v>
      </c>
    </row>
    <row r="887" customFormat="1" ht="27.95" hidden="1" customHeight="1" spans="1:10">
      <c r="A887" s="84"/>
      <c r="B887" s="73" t="s">
        <v>1680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  <c r="I887" s="71">
        <v>0</v>
      </c>
      <c r="J887" s="71">
        <v>0</v>
      </c>
    </row>
    <row r="888" customFormat="1" ht="27.95" hidden="1" customHeight="1" spans="1:10">
      <c r="A888" s="84"/>
      <c r="B888" s="73" t="s">
        <v>1681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  <c r="I888" s="71">
        <v>0</v>
      </c>
      <c r="J888" s="71">
        <v>0</v>
      </c>
    </row>
    <row r="889" customFormat="1" ht="27.95" hidden="1" customHeight="1" spans="1:10">
      <c r="A889" s="75"/>
      <c r="B889" s="73" t="s">
        <v>1682</v>
      </c>
      <c r="C889" s="66" t="s">
        <v>1679</v>
      </c>
      <c r="D889" s="67">
        <v>0.1739</v>
      </c>
      <c r="E889" s="68"/>
      <c r="F889" s="69">
        <v>0.6</v>
      </c>
      <c r="G889" s="70"/>
      <c r="H889" s="71">
        <v>0.4</v>
      </c>
      <c r="I889" s="71">
        <v>0</v>
      </c>
      <c r="J889" s="71">
        <v>0</v>
      </c>
    </row>
    <row r="890" customFormat="1" ht="27.95" hidden="1" customHeight="1" spans="1:10">
      <c r="A890" s="64"/>
      <c r="B890" s="73" t="s">
        <v>1683</v>
      </c>
      <c r="C890" s="66" t="s">
        <v>1684</v>
      </c>
      <c r="D890" s="67">
        <v>0.0435</v>
      </c>
      <c r="E890" s="68"/>
      <c r="F890" s="69">
        <v>0.2</v>
      </c>
      <c r="G890" s="70"/>
      <c r="H890" s="71">
        <v>0.1</v>
      </c>
      <c r="I890" s="71">
        <v>0</v>
      </c>
      <c r="J890" s="71">
        <v>0</v>
      </c>
    </row>
    <row r="891" customFormat="1" ht="27.95" hidden="1" customHeight="1" spans="1:10">
      <c r="A891" s="64"/>
      <c r="B891" s="73" t="s">
        <v>1685</v>
      </c>
      <c r="C891" s="66" t="s">
        <v>1686</v>
      </c>
      <c r="D891" s="67">
        <v>0.0435</v>
      </c>
      <c r="E891" s="68"/>
      <c r="F891" s="69">
        <v>0.2</v>
      </c>
      <c r="G891" s="70"/>
      <c r="H891" s="71">
        <v>0.1</v>
      </c>
      <c r="I891" s="71">
        <v>0</v>
      </c>
      <c r="J891" s="71">
        <v>0</v>
      </c>
    </row>
    <row r="892" customFormat="1" ht="27.95" hidden="1" customHeight="1" spans="1:10">
      <c r="A892" s="64"/>
      <c r="B892" s="73" t="s">
        <v>1687</v>
      </c>
      <c r="C892" s="66" t="s">
        <v>1688</v>
      </c>
      <c r="D892" s="67">
        <v>0.0435</v>
      </c>
      <c r="E892" s="68"/>
      <c r="F892" s="69">
        <v>0.2</v>
      </c>
      <c r="G892" s="70"/>
      <c r="H892" s="71">
        <v>0.1</v>
      </c>
      <c r="I892" s="71">
        <v>0</v>
      </c>
      <c r="J892" s="71">
        <v>0</v>
      </c>
    </row>
    <row r="893" customFormat="1" ht="27.95" hidden="1" customHeight="1" spans="1:10">
      <c r="A893" s="64"/>
      <c r="B893" s="73" t="s">
        <v>1689</v>
      </c>
      <c r="C893" s="66" t="s">
        <v>1690</v>
      </c>
      <c r="D893" s="67">
        <v>0.0435</v>
      </c>
      <c r="E893" s="68"/>
      <c r="F893" s="69">
        <v>0.2</v>
      </c>
      <c r="G893" s="70"/>
      <c r="H893" s="71">
        <v>0.1</v>
      </c>
      <c r="I893" s="71">
        <v>0</v>
      </c>
      <c r="J893" s="71">
        <v>0</v>
      </c>
    </row>
    <row r="894" customFormat="1" ht="27.95" hidden="1" customHeight="1" spans="1:10">
      <c r="A894" s="64"/>
      <c r="B894" s="73" t="s">
        <v>1691</v>
      </c>
      <c r="C894" s="66" t="s">
        <v>1692</v>
      </c>
      <c r="D894" s="67">
        <v>1.7826</v>
      </c>
      <c r="E894" s="68"/>
      <c r="F894" s="69">
        <v>7</v>
      </c>
      <c r="G894" s="70"/>
      <c r="H894" s="71">
        <v>4.1</v>
      </c>
      <c r="I894" s="71">
        <v>0</v>
      </c>
      <c r="J894" s="71">
        <v>0</v>
      </c>
    </row>
    <row r="895" customFormat="1" ht="27.95" hidden="1" customHeight="1" spans="1:10">
      <c r="A895" s="64"/>
      <c r="B895" s="73" t="s">
        <v>1693</v>
      </c>
      <c r="C895" s="66" t="s">
        <v>1694</v>
      </c>
      <c r="D895" s="67">
        <v>2.4783</v>
      </c>
      <c r="E895" s="68"/>
      <c r="F895" s="69">
        <v>7</v>
      </c>
      <c r="G895" s="70"/>
      <c r="H895" s="71">
        <v>5.7</v>
      </c>
      <c r="I895" s="71">
        <v>0</v>
      </c>
      <c r="J895" s="71">
        <v>0</v>
      </c>
    </row>
    <row r="896" customFormat="1" ht="27.95" hidden="1" customHeight="1" spans="1:10">
      <c r="A896" s="64"/>
      <c r="B896" s="73" t="s">
        <v>1695</v>
      </c>
      <c r="C896" s="66" t="s">
        <v>1696</v>
      </c>
      <c r="D896" s="67">
        <v>0.4348</v>
      </c>
      <c r="E896" s="68"/>
      <c r="F896" s="69">
        <v>2</v>
      </c>
      <c r="G896" s="70"/>
      <c r="H896" s="71">
        <v>1</v>
      </c>
      <c r="I896" s="71">
        <v>0</v>
      </c>
      <c r="J896" s="71">
        <v>0</v>
      </c>
    </row>
    <row r="897" customFormat="1" ht="27.95" hidden="1" customHeight="1" spans="1:10">
      <c r="A897" s="64"/>
      <c r="B897" s="73" t="s">
        <v>1697</v>
      </c>
      <c r="C897" s="66" t="s">
        <v>1698</v>
      </c>
      <c r="D897" s="67">
        <v>0.0435</v>
      </c>
      <c r="E897" s="68"/>
      <c r="F897" s="69">
        <v>0.5</v>
      </c>
      <c r="G897" s="70"/>
      <c r="H897" s="71">
        <v>0.1</v>
      </c>
      <c r="I897" s="71">
        <v>0</v>
      </c>
      <c r="J897" s="71">
        <v>0</v>
      </c>
    </row>
    <row r="898" customFormat="1" ht="27.95" hidden="1" customHeight="1" spans="1:10">
      <c r="A898" s="64"/>
      <c r="B898" s="73" t="s">
        <v>1699</v>
      </c>
      <c r="C898" s="66" t="s">
        <v>1700</v>
      </c>
      <c r="D898" s="67">
        <v>0.6087</v>
      </c>
      <c r="E898" s="68"/>
      <c r="F898" s="69">
        <v>2.5</v>
      </c>
      <c r="G898" s="70"/>
      <c r="H898" s="71">
        <v>1.4</v>
      </c>
      <c r="I898" s="71">
        <v>0</v>
      </c>
      <c r="J898" s="71">
        <v>0</v>
      </c>
    </row>
    <row r="899" customFormat="1" ht="27.95" hidden="1" customHeight="1" spans="1:10">
      <c r="A899" s="64"/>
      <c r="B899" s="73" t="s">
        <v>1701</v>
      </c>
      <c r="C899" s="66" t="s">
        <v>1702</v>
      </c>
      <c r="D899" s="67">
        <v>0.2609</v>
      </c>
      <c r="E899" s="68"/>
      <c r="F899" s="69">
        <v>1</v>
      </c>
      <c r="G899" s="70"/>
      <c r="H899" s="71">
        <v>0.6</v>
      </c>
      <c r="I899" s="71">
        <v>0</v>
      </c>
      <c r="J899" s="71">
        <v>0</v>
      </c>
    </row>
    <row r="900" customFormat="1" ht="27.95" hidden="1" customHeight="1" spans="1:10">
      <c r="A900" s="64"/>
      <c r="B900" s="73" t="s">
        <v>1703</v>
      </c>
      <c r="C900" s="66" t="s">
        <v>1704</v>
      </c>
      <c r="D900" s="67">
        <v>0.2609</v>
      </c>
      <c r="E900" s="68"/>
      <c r="F900" s="69">
        <v>2.5</v>
      </c>
      <c r="G900" s="70"/>
      <c r="H900" s="71">
        <v>0.6</v>
      </c>
      <c r="I900" s="71">
        <v>0</v>
      </c>
      <c r="J900" s="71">
        <v>0</v>
      </c>
    </row>
    <row r="901" customFormat="1" ht="27.95" hidden="1" customHeight="1" spans="1:10">
      <c r="A901" s="64"/>
      <c r="B901" s="73" t="s">
        <v>1705</v>
      </c>
      <c r="C901" s="66" t="s">
        <v>1706</v>
      </c>
      <c r="D901" s="67">
        <v>0.1304</v>
      </c>
      <c r="E901" s="68"/>
      <c r="F901" s="69">
        <v>0.5</v>
      </c>
      <c r="G901" s="70"/>
      <c r="H901" s="71">
        <v>0.3</v>
      </c>
      <c r="I901" s="71">
        <v>0</v>
      </c>
      <c r="J901" s="71">
        <v>0</v>
      </c>
    </row>
    <row r="902" customFormat="1" ht="27.95" hidden="1" customHeight="1" spans="1:10">
      <c r="A902" s="64"/>
      <c r="B902" s="73" t="s">
        <v>1707</v>
      </c>
      <c r="C902" s="66" t="s">
        <v>1708</v>
      </c>
      <c r="D902" s="67">
        <v>0.4348</v>
      </c>
      <c r="E902" s="68"/>
      <c r="F902" s="69">
        <v>2.5</v>
      </c>
      <c r="G902" s="70"/>
      <c r="H902" s="71">
        <v>1</v>
      </c>
      <c r="I902" s="71">
        <v>0</v>
      </c>
      <c r="J902" s="71">
        <v>0</v>
      </c>
    </row>
    <row r="903" customFormat="1" ht="27.95" hidden="1" customHeight="1" spans="1:10">
      <c r="A903" s="64"/>
      <c r="B903" s="73" t="s">
        <v>1709</v>
      </c>
      <c r="C903" s="66" t="s">
        <v>1710</v>
      </c>
      <c r="D903" s="67">
        <v>0.3913</v>
      </c>
      <c r="E903" s="68"/>
      <c r="F903" s="69">
        <v>2</v>
      </c>
      <c r="G903" s="70"/>
      <c r="H903" s="71">
        <v>0.9</v>
      </c>
      <c r="I903" s="71">
        <v>0</v>
      </c>
      <c r="J903" s="71">
        <v>0</v>
      </c>
    </row>
    <row r="904" customFormat="1" ht="27.95" hidden="1" customHeight="1" spans="1:10">
      <c r="A904" s="64"/>
      <c r="B904" s="73" t="s">
        <v>1711</v>
      </c>
      <c r="C904" s="66" t="s">
        <v>1712</v>
      </c>
      <c r="D904" s="67">
        <v>0.3913</v>
      </c>
      <c r="E904" s="68"/>
      <c r="F904" s="69">
        <v>1.4</v>
      </c>
      <c r="G904" s="70"/>
      <c r="H904" s="71">
        <v>0.9</v>
      </c>
      <c r="I904" s="71">
        <v>0</v>
      </c>
      <c r="J904" s="71">
        <v>0</v>
      </c>
    </row>
    <row r="905" customFormat="1" ht="27.95" hidden="1" customHeight="1" spans="1:10">
      <c r="A905" s="64"/>
      <c r="B905" s="73" t="s">
        <v>1713</v>
      </c>
      <c r="C905" s="66" t="s">
        <v>1714</v>
      </c>
      <c r="D905" s="67">
        <v>0.1304</v>
      </c>
      <c r="E905" s="68"/>
      <c r="F905" s="69">
        <v>1</v>
      </c>
      <c r="G905" s="70"/>
      <c r="H905" s="71">
        <v>0.5</v>
      </c>
      <c r="I905" s="71">
        <v>0</v>
      </c>
      <c r="J905" s="71">
        <v>0</v>
      </c>
    </row>
    <row r="906" customFormat="1" ht="27.95" hidden="1" customHeight="1" spans="1:10">
      <c r="A906" s="64"/>
      <c r="B906" s="73" t="s">
        <v>1715</v>
      </c>
      <c r="C906" s="66" t="s">
        <v>1716</v>
      </c>
      <c r="D906" s="67">
        <v>0.2174</v>
      </c>
      <c r="E906" s="68"/>
      <c r="F906" s="69">
        <v>0.8</v>
      </c>
      <c r="G906" s="70"/>
      <c r="H906" s="71">
        <v>0.5</v>
      </c>
      <c r="I906" s="71">
        <v>0</v>
      </c>
      <c r="J906" s="71">
        <v>0</v>
      </c>
    </row>
    <row r="907" customFormat="1" ht="27.95" hidden="1" customHeight="1" spans="1:10">
      <c r="A907" s="64"/>
      <c r="B907" s="73" t="s">
        <v>1717</v>
      </c>
      <c r="C907" s="66" t="s">
        <v>1718</v>
      </c>
      <c r="D907" s="67">
        <v>0.2174</v>
      </c>
      <c r="E907" s="68"/>
      <c r="F907" s="69">
        <v>0.8</v>
      </c>
      <c r="G907" s="70"/>
      <c r="H907" s="71">
        <v>0.5</v>
      </c>
      <c r="I907" s="71">
        <v>0</v>
      </c>
      <c r="J907" s="71">
        <v>0</v>
      </c>
    </row>
    <row r="908" customFormat="1" ht="27.95" hidden="1" customHeight="1" spans="1:10">
      <c r="A908" s="64"/>
      <c r="B908" s="73" t="s">
        <v>1719</v>
      </c>
      <c r="C908" s="66" t="s">
        <v>1720</v>
      </c>
      <c r="D908" s="67">
        <v>0.4348</v>
      </c>
      <c r="E908" s="68"/>
      <c r="F908" s="69">
        <v>1</v>
      </c>
      <c r="G908" s="70"/>
      <c r="H908" s="71">
        <v>1</v>
      </c>
      <c r="I908" s="71">
        <v>0</v>
      </c>
      <c r="J908" s="71">
        <v>0</v>
      </c>
    </row>
    <row r="909" customFormat="1" ht="27.95" hidden="1" customHeight="1" spans="1:10">
      <c r="A909" s="64"/>
      <c r="B909" s="73" t="s">
        <v>1721</v>
      </c>
      <c r="C909" s="66" t="s">
        <v>1722</v>
      </c>
      <c r="D909" s="67">
        <v>0.3913</v>
      </c>
      <c r="E909" s="68"/>
      <c r="F909" s="69">
        <v>1.4</v>
      </c>
      <c r="G909" s="70"/>
      <c r="H909" s="71">
        <v>0.9</v>
      </c>
      <c r="I909" s="71">
        <v>0</v>
      </c>
      <c r="J909" s="71">
        <v>0</v>
      </c>
    </row>
    <row r="910" customFormat="1" ht="27.95" hidden="1" customHeight="1" spans="1:10">
      <c r="A910" s="64"/>
      <c r="B910" s="73" t="s">
        <v>1723</v>
      </c>
      <c r="C910" s="66" t="s">
        <v>1724</v>
      </c>
      <c r="D910" s="67">
        <v>0.7391</v>
      </c>
      <c r="E910" s="68"/>
      <c r="F910" s="69">
        <v>3</v>
      </c>
      <c r="G910" s="70"/>
      <c r="H910" s="71">
        <v>1.7</v>
      </c>
      <c r="I910" s="71">
        <v>0</v>
      </c>
      <c r="J910" s="71">
        <v>0</v>
      </c>
    </row>
    <row r="911" customFormat="1" ht="27.95" hidden="1" customHeight="1" spans="1:10">
      <c r="A911" s="64"/>
      <c r="B911" s="73" t="s">
        <v>1725</v>
      </c>
      <c r="C911" s="66" t="s">
        <v>1726</v>
      </c>
      <c r="D911" s="67">
        <v>0.7826</v>
      </c>
      <c r="E911" s="68"/>
      <c r="F911" s="69">
        <v>3</v>
      </c>
      <c r="G911" s="70"/>
      <c r="H911" s="71">
        <v>1.8</v>
      </c>
      <c r="I911" s="71">
        <v>0</v>
      </c>
      <c r="J911" s="71">
        <v>0</v>
      </c>
    </row>
    <row r="912" customFormat="1" ht="27.95" hidden="1" customHeight="1" spans="1:10">
      <c r="A912" s="64"/>
      <c r="B912" s="73" t="s">
        <v>1727</v>
      </c>
      <c r="C912" s="66" t="s">
        <v>1728</v>
      </c>
      <c r="D912" s="67">
        <v>0.7826</v>
      </c>
      <c r="E912" s="68"/>
      <c r="F912" s="69">
        <v>3</v>
      </c>
      <c r="G912" s="70"/>
      <c r="H912" s="71">
        <v>1.8</v>
      </c>
      <c r="I912" s="71">
        <v>0</v>
      </c>
      <c r="J912" s="71">
        <v>0</v>
      </c>
    </row>
    <row r="913" customFormat="1" ht="27.95" hidden="1" customHeight="1" spans="1:10">
      <c r="A913" s="64"/>
      <c r="B913" s="73" t="s">
        <v>1729</v>
      </c>
      <c r="C913" s="66" t="s">
        <v>1730</v>
      </c>
      <c r="D913" s="67">
        <v>0.6522</v>
      </c>
      <c r="E913" s="68"/>
      <c r="F913" s="69">
        <v>3</v>
      </c>
      <c r="G913" s="70"/>
      <c r="H913" s="71">
        <v>1.5</v>
      </c>
      <c r="I913" s="71">
        <v>0</v>
      </c>
      <c r="J913" s="71">
        <v>0</v>
      </c>
    </row>
    <row r="914" customFormat="1" ht="27.95" hidden="1" customHeight="1" spans="1:10">
      <c r="A914" s="64"/>
      <c r="B914" s="73" t="s">
        <v>1731</v>
      </c>
      <c r="C914" s="66" t="s">
        <v>1732</v>
      </c>
      <c r="D914" s="67">
        <v>0.6522</v>
      </c>
      <c r="E914" s="68"/>
      <c r="F914" s="69">
        <v>3</v>
      </c>
      <c r="G914" s="70"/>
      <c r="H914" s="71">
        <v>1.5</v>
      </c>
      <c r="I914" s="71">
        <v>0</v>
      </c>
      <c r="J914" s="71">
        <v>0</v>
      </c>
    </row>
    <row r="915" customFormat="1" ht="27.95" hidden="1" customHeight="1" spans="1:10">
      <c r="A915" s="64"/>
      <c r="B915" s="73" t="s">
        <v>1733</v>
      </c>
      <c r="C915" s="66" t="s">
        <v>1734</v>
      </c>
      <c r="D915" s="67">
        <v>0.6522</v>
      </c>
      <c r="E915" s="68"/>
      <c r="F915" s="69">
        <v>3</v>
      </c>
      <c r="G915" s="70"/>
      <c r="H915" s="71">
        <v>1.5</v>
      </c>
      <c r="I915" s="71">
        <v>0</v>
      </c>
      <c r="J915" s="71">
        <v>0</v>
      </c>
    </row>
    <row r="916" customFormat="1" ht="27.95" hidden="1" customHeight="1" spans="1:10">
      <c r="A916" s="64"/>
      <c r="B916" s="73" t="s">
        <v>1735</v>
      </c>
      <c r="C916" s="66" t="s">
        <v>1736</v>
      </c>
      <c r="D916" s="67">
        <v>0.6522</v>
      </c>
      <c r="E916" s="68"/>
      <c r="F916" s="69">
        <v>3</v>
      </c>
      <c r="G916" s="70"/>
      <c r="H916" s="71">
        <v>1.5</v>
      </c>
      <c r="I916" s="71">
        <v>0</v>
      </c>
      <c r="J916" s="71">
        <v>0</v>
      </c>
    </row>
    <row r="917" customFormat="1" ht="27.95" hidden="1" customHeight="1" spans="1:10">
      <c r="A917" s="64"/>
      <c r="B917" s="73" t="s">
        <v>1737</v>
      </c>
      <c r="C917" s="66" t="s">
        <v>1738</v>
      </c>
      <c r="D917" s="67">
        <v>1.087</v>
      </c>
      <c r="E917" s="68"/>
      <c r="F917" s="69">
        <v>3</v>
      </c>
      <c r="G917" s="70"/>
      <c r="H917" s="71">
        <v>2.5</v>
      </c>
      <c r="I917" s="71">
        <v>0</v>
      </c>
      <c r="J917" s="71">
        <v>0</v>
      </c>
    </row>
    <row r="918" customFormat="1" ht="12.75" hidden="1" spans="1:10">
      <c r="A918" s="64"/>
      <c r="B918" s="73" t="s">
        <v>1739</v>
      </c>
      <c r="C918" s="66" t="s">
        <v>1740</v>
      </c>
      <c r="D918" s="67">
        <v>0.6522</v>
      </c>
      <c r="E918" s="68"/>
      <c r="F918" s="69">
        <v>3</v>
      </c>
      <c r="G918" s="70"/>
      <c r="H918" s="71">
        <v>1.5</v>
      </c>
      <c r="I918" s="71">
        <v>0</v>
      </c>
      <c r="J918" s="71">
        <v>0</v>
      </c>
    </row>
    <row r="919" customFormat="1" ht="12.75" hidden="1" spans="1:10">
      <c r="A919" s="64"/>
      <c r="B919" s="73" t="s">
        <v>1741</v>
      </c>
      <c r="C919" s="66" t="s">
        <v>1742</v>
      </c>
      <c r="D919" s="67">
        <v>0.6522</v>
      </c>
      <c r="E919" s="68"/>
      <c r="F919" s="69">
        <v>2.3</v>
      </c>
      <c r="G919" s="70"/>
      <c r="H919" s="71">
        <v>1.5</v>
      </c>
      <c r="I919" s="71">
        <v>0</v>
      </c>
      <c r="J919" s="71">
        <v>0</v>
      </c>
    </row>
    <row r="920" customFormat="1" ht="12.75" hidden="1" spans="1:10">
      <c r="A920" s="64"/>
      <c r="B920" s="73" t="s">
        <v>1743</v>
      </c>
      <c r="C920" s="66" t="s">
        <v>1744</v>
      </c>
      <c r="D920" s="67">
        <v>0.6522</v>
      </c>
      <c r="E920" s="68"/>
      <c r="F920" s="69">
        <v>2.3</v>
      </c>
      <c r="G920" s="70"/>
      <c r="H920" s="71">
        <v>1.5</v>
      </c>
      <c r="I920" s="71">
        <v>0</v>
      </c>
      <c r="J920" s="71">
        <v>0</v>
      </c>
    </row>
    <row r="921" customFormat="1" ht="12.75" hidden="1" spans="1:10">
      <c r="A921" s="64"/>
      <c r="B921" s="73" t="s">
        <v>1745</v>
      </c>
      <c r="C921" s="66" t="s">
        <v>1746</v>
      </c>
      <c r="D921" s="67">
        <v>0.6522</v>
      </c>
      <c r="E921" s="68"/>
      <c r="F921" s="69">
        <v>3</v>
      </c>
      <c r="G921" s="70"/>
      <c r="H921" s="71">
        <v>1.5</v>
      </c>
      <c r="I921" s="71">
        <v>0</v>
      </c>
      <c r="J921" s="71">
        <v>0</v>
      </c>
    </row>
    <row r="922" customFormat="1" ht="12.75" hidden="1" spans="1:10">
      <c r="A922" s="64"/>
      <c r="B922" s="73" t="s">
        <v>1747</v>
      </c>
      <c r="C922" s="66" t="s">
        <v>1748</v>
      </c>
      <c r="D922" s="67">
        <v>0.6087</v>
      </c>
      <c r="E922" s="68"/>
      <c r="F922" s="69">
        <v>3</v>
      </c>
      <c r="G922" s="70"/>
      <c r="H922" s="71">
        <v>1.4</v>
      </c>
      <c r="I922" s="71">
        <v>0</v>
      </c>
      <c r="J922" s="71">
        <v>0</v>
      </c>
    </row>
    <row r="923" customFormat="1" ht="12.75" hidden="1" spans="1:10">
      <c r="A923" s="64"/>
      <c r="B923" s="73" t="s">
        <v>1749</v>
      </c>
      <c r="C923" s="66" t="s">
        <v>1750</v>
      </c>
      <c r="D923" s="67">
        <v>0.6522</v>
      </c>
      <c r="E923" s="68"/>
      <c r="F923" s="69">
        <v>3</v>
      </c>
      <c r="G923" s="70"/>
      <c r="H923" s="71">
        <v>1.5</v>
      </c>
      <c r="I923" s="71">
        <v>0</v>
      </c>
      <c r="J923" s="71">
        <v>0</v>
      </c>
    </row>
    <row r="924" customFormat="1" ht="12.75" hidden="1" spans="1:10">
      <c r="A924" s="64"/>
      <c r="B924" s="73" t="s">
        <v>1751</v>
      </c>
      <c r="C924" s="66" t="s">
        <v>1752</v>
      </c>
      <c r="D924" s="67">
        <v>0.5652</v>
      </c>
      <c r="E924" s="68"/>
      <c r="F924" s="69">
        <v>3</v>
      </c>
      <c r="G924" s="70"/>
      <c r="H924" s="71">
        <v>1.3</v>
      </c>
      <c r="I924" s="71">
        <v>0</v>
      </c>
      <c r="J924" s="71">
        <v>0</v>
      </c>
    </row>
    <row r="925" customFormat="1" ht="12.75" hidden="1" spans="1:10">
      <c r="A925" s="64"/>
      <c r="B925" s="73" t="s">
        <v>1753</v>
      </c>
      <c r="C925" s="66" t="s">
        <v>1754</v>
      </c>
      <c r="D925" s="67">
        <v>0.4348</v>
      </c>
      <c r="E925" s="68"/>
      <c r="F925" s="69">
        <v>3</v>
      </c>
      <c r="G925" s="70"/>
      <c r="H925" s="71">
        <v>1</v>
      </c>
      <c r="I925" s="71">
        <v>0</v>
      </c>
      <c r="J925" s="71">
        <v>0</v>
      </c>
    </row>
    <row r="926" customFormat="1" ht="12.75" hidden="1" spans="1:10">
      <c r="A926" s="64"/>
      <c r="B926" s="73" t="s">
        <v>1755</v>
      </c>
      <c r="C926" s="66" t="s">
        <v>1756</v>
      </c>
      <c r="D926" s="67">
        <v>0.6522</v>
      </c>
      <c r="E926" s="68"/>
      <c r="F926" s="69">
        <v>3</v>
      </c>
      <c r="G926" s="70"/>
      <c r="H926" s="71">
        <v>1.5</v>
      </c>
      <c r="I926" s="71">
        <v>0</v>
      </c>
      <c r="J926" s="71">
        <v>0</v>
      </c>
    </row>
    <row r="927" customFormat="1" ht="12.75" hidden="1" spans="1:10">
      <c r="A927" s="64"/>
      <c r="B927" s="73" t="s">
        <v>1757</v>
      </c>
      <c r="C927" s="66" t="s">
        <v>1758</v>
      </c>
      <c r="D927" s="67">
        <v>0.4348</v>
      </c>
      <c r="E927" s="68"/>
      <c r="F927" s="69">
        <v>2.5</v>
      </c>
      <c r="G927" s="70"/>
      <c r="H927" s="71">
        <v>1</v>
      </c>
      <c r="I927" s="71">
        <v>0</v>
      </c>
      <c r="J927" s="71">
        <v>0</v>
      </c>
    </row>
    <row r="928" customFormat="1" ht="12.75" hidden="1" spans="1:10">
      <c r="A928" s="64"/>
      <c r="B928" s="73" t="s">
        <v>1759</v>
      </c>
      <c r="C928" s="66" t="s">
        <v>1760</v>
      </c>
      <c r="D928" s="67">
        <v>0.0652</v>
      </c>
      <c r="E928" s="68"/>
      <c r="F928" s="69">
        <v>0.5</v>
      </c>
      <c r="G928" s="70"/>
      <c r="H928" s="71">
        <v>0.15</v>
      </c>
      <c r="I928" s="71">
        <v>0</v>
      </c>
      <c r="J928" s="71">
        <v>0</v>
      </c>
    </row>
    <row r="929" ht="12.75" hidden="1" spans="1:21">
      <c r="A929" s="64"/>
      <c r="B929" s="73" t="s">
        <v>1761</v>
      </c>
      <c r="C929" s="66" t="s">
        <v>1762</v>
      </c>
      <c r="D929" s="67">
        <v>0.2174</v>
      </c>
      <c r="E929" s="68"/>
      <c r="F929" s="69">
        <v>1.5</v>
      </c>
      <c r="G929" s="70"/>
      <c r="H929" s="71">
        <v>0.5</v>
      </c>
      <c r="I929" s="71">
        <v>0</v>
      </c>
      <c r="J929" s="71">
        <v>0</v>
      </c>
      <c r="M929"/>
      <c r="N929"/>
      <c r="O929"/>
      <c r="P929"/>
      <c r="Q929"/>
      <c r="R929"/>
      <c r="S929"/>
      <c r="T929"/>
      <c r="U929"/>
    </row>
    <row r="930" ht="12.75" hidden="1" spans="1:21">
      <c r="A930" s="64"/>
      <c r="B930" s="73" t="s">
        <v>1763</v>
      </c>
      <c r="C930" s="66" t="s">
        <v>1764</v>
      </c>
      <c r="D930" s="67">
        <v>0.1739</v>
      </c>
      <c r="E930" s="68"/>
      <c r="F930" s="69">
        <v>1.5</v>
      </c>
      <c r="G930" s="70"/>
      <c r="H930" s="71">
        <v>0.4</v>
      </c>
      <c r="I930" s="71">
        <v>0</v>
      </c>
      <c r="J930" s="71">
        <v>0</v>
      </c>
      <c r="M930"/>
      <c r="N930"/>
      <c r="O930"/>
      <c r="P930"/>
      <c r="Q930"/>
      <c r="R930"/>
      <c r="S930"/>
      <c r="T930"/>
      <c r="U930"/>
    </row>
    <row r="931" ht="12.75" hidden="1" spans="1:21">
      <c r="A931" s="64"/>
      <c r="B931" s="73" t="s">
        <v>1765</v>
      </c>
      <c r="C931" s="66" t="s">
        <v>1766</v>
      </c>
      <c r="D931" s="67">
        <v>0.1304</v>
      </c>
      <c r="E931" s="68"/>
      <c r="F931" s="69">
        <v>1</v>
      </c>
      <c r="G931" s="70"/>
      <c r="H931" s="71">
        <v>0.5</v>
      </c>
      <c r="I931" s="71">
        <v>0</v>
      </c>
      <c r="J931" s="71">
        <v>0</v>
      </c>
      <c r="M931"/>
      <c r="N931"/>
      <c r="O931"/>
      <c r="P931"/>
      <c r="Q931"/>
      <c r="R931"/>
      <c r="S931"/>
      <c r="T931"/>
      <c r="U931"/>
    </row>
    <row r="932" ht="12.75" hidden="1" spans="1:21">
      <c r="A932" s="64"/>
      <c r="B932" s="73" t="s">
        <v>1767</v>
      </c>
      <c r="C932" s="66" t="s">
        <v>1768</v>
      </c>
      <c r="D932" s="67">
        <v>0.1304</v>
      </c>
      <c r="E932" s="68"/>
      <c r="F932" s="69">
        <v>0.5</v>
      </c>
      <c r="G932" s="70"/>
      <c r="H932" s="71">
        <v>0.3</v>
      </c>
      <c r="I932" s="71">
        <v>0</v>
      </c>
      <c r="J932" s="71">
        <v>0</v>
      </c>
      <c r="M932"/>
      <c r="N932"/>
      <c r="O932"/>
      <c r="P932"/>
      <c r="Q932"/>
      <c r="R932"/>
      <c r="S932"/>
      <c r="T932"/>
      <c r="U932"/>
    </row>
    <row r="933" ht="12.75" hidden="1" spans="1:21">
      <c r="A933" s="64"/>
      <c r="B933" s="73" t="s">
        <v>1769</v>
      </c>
      <c r="C933" s="66" t="s">
        <v>1770</v>
      </c>
      <c r="D933" s="67">
        <v>0.1304</v>
      </c>
      <c r="E933" s="68"/>
      <c r="F933" s="69">
        <v>0.5</v>
      </c>
      <c r="G933" s="70"/>
      <c r="H933" s="71">
        <v>0.3</v>
      </c>
      <c r="I933" s="71">
        <v>0</v>
      </c>
      <c r="J933" s="71">
        <v>0</v>
      </c>
      <c r="M933"/>
      <c r="N933"/>
      <c r="O933"/>
      <c r="P933"/>
      <c r="Q933"/>
      <c r="R933"/>
      <c r="S933"/>
      <c r="T933"/>
      <c r="U933"/>
    </row>
    <row r="934" ht="12.75" hidden="1" spans="1:21">
      <c r="A934" s="64"/>
      <c r="B934" s="73" t="s">
        <v>1771</v>
      </c>
      <c r="C934" s="66" t="s">
        <v>1772</v>
      </c>
      <c r="D934" s="67">
        <v>0.1304</v>
      </c>
      <c r="E934" s="68"/>
      <c r="F934" s="69">
        <v>0.5</v>
      </c>
      <c r="G934" s="70"/>
      <c r="H934" s="71">
        <v>0.3</v>
      </c>
      <c r="I934" s="71">
        <v>0</v>
      </c>
      <c r="J934" s="71">
        <v>0</v>
      </c>
      <c r="M934"/>
      <c r="N934"/>
      <c r="O934"/>
      <c r="P934"/>
      <c r="Q934"/>
      <c r="R934"/>
      <c r="S934"/>
      <c r="T934"/>
      <c r="U934"/>
    </row>
    <row r="935" ht="12.75" hidden="1" spans="1:21">
      <c r="A935" s="64"/>
      <c r="B935" s="73" t="s">
        <v>1773</v>
      </c>
      <c r="C935" s="66" t="s">
        <v>1774</v>
      </c>
      <c r="D935" s="67">
        <v>0.1304</v>
      </c>
      <c r="E935" s="68"/>
      <c r="F935" s="69">
        <v>1</v>
      </c>
      <c r="G935" s="70"/>
      <c r="H935" s="71">
        <v>0.5</v>
      </c>
      <c r="I935" s="71">
        <v>0</v>
      </c>
      <c r="J935" s="71">
        <v>0</v>
      </c>
      <c r="M935"/>
      <c r="N935"/>
      <c r="O935"/>
      <c r="P935"/>
      <c r="Q935"/>
      <c r="R935"/>
      <c r="S935"/>
      <c r="T935"/>
      <c r="U935"/>
    </row>
    <row r="936" ht="25.5" hidden="1" spans="1:21">
      <c r="A936" s="64"/>
      <c r="B936" s="73" t="s">
        <v>1775</v>
      </c>
      <c r="C936" s="66" t="s">
        <v>1776</v>
      </c>
      <c r="D936" s="67">
        <v>1.1304</v>
      </c>
      <c r="E936" s="68"/>
      <c r="F936" s="69">
        <v>3.5</v>
      </c>
      <c r="G936" s="70"/>
      <c r="H936" s="71">
        <v>2.6</v>
      </c>
      <c r="I936" s="71">
        <v>0</v>
      </c>
      <c r="J936" s="71">
        <v>0</v>
      </c>
      <c r="M936"/>
      <c r="N936"/>
      <c r="O936"/>
      <c r="P936"/>
      <c r="Q936"/>
      <c r="R936"/>
      <c r="S936"/>
      <c r="T936"/>
      <c r="U936"/>
    </row>
    <row r="937" ht="12.75" hidden="1" spans="1:21">
      <c r="A937" s="74"/>
      <c r="B937" s="65">
        <v>168168001573</v>
      </c>
      <c r="C937" s="66" t="s">
        <v>1777</v>
      </c>
      <c r="D937" s="67">
        <v>1.087</v>
      </c>
      <c r="E937" s="68"/>
      <c r="F937" s="69">
        <v>0</v>
      </c>
      <c r="G937" s="70"/>
      <c r="H937" s="71">
        <v>0</v>
      </c>
      <c r="I937" s="71">
        <v>2.5</v>
      </c>
      <c r="J937" s="71">
        <v>1.8</v>
      </c>
      <c r="M937"/>
      <c r="N937"/>
      <c r="O937"/>
      <c r="P937"/>
      <c r="Q937"/>
      <c r="R937"/>
      <c r="S937"/>
      <c r="T937"/>
      <c r="U937"/>
    </row>
    <row r="938" ht="12.75" hidden="1" spans="1:21">
      <c r="A938" s="84"/>
      <c r="B938" s="65">
        <v>7861038062353</v>
      </c>
      <c r="C938" s="66" t="s">
        <v>1777</v>
      </c>
      <c r="D938" s="67">
        <v>1.1957</v>
      </c>
      <c r="E938" s="68"/>
      <c r="F938" s="69">
        <v>0</v>
      </c>
      <c r="G938" s="70"/>
      <c r="H938" s="71">
        <v>0</v>
      </c>
      <c r="I938" s="71">
        <v>2.75</v>
      </c>
      <c r="J938" s="71">
        <v>1.9</v>
      </c>
      <c r="M938"/>
      <c r="N938"/>
      <c r="O938"/>
      <c r="P938"/>
      <c r="Q938"/>
      <c r="R938"/>
      <c r="S938"/>
      <c r="T938"/>
      <c r="U938"/>
    </row>
    <row r="939" ht="12.75" hidden="1" spans="1:21">
      <c r="A939" s="75"/>
      <c r="B939" s="65">
        <v>7861038062490</v>
      </c>
      <c r="C939" s="66" t="s">
        <v>1777</v>
      </c>
      <c r="D939" s="67">
        <v>1.9565</v>
      </c>
      <c r="E939" s="68"/>
      <c r="F939" s="69">
        <v>0</v>
      </c>
      <c r="G939" s="70"/>
      <c r="H939" s="71">
        <v>0</v>
      </c>
      <c r="I939" s="71">
        <v>4.5</v>
      </c>
      <c r="J939" s="71">
        <v>3.25</v>
      </c>
      <c r="M939"/>
      <c r="N939"/>
      <c r="O939"/>
      <c r="P939"/>
      <c r="Q939"/>
      <c r="R939"/>
      <c r="S939"/>
      <c r="T939"/>
      <c r="U939"/>
    </row>
    <row r="940" ht="12.75" hidden="1" spans="1:21">
      <c r="A940" s="64"/>
      <c r="B940" s="73" t="s">
        <v>1778</v>
      </c>
      <c r="C940" s="66" t="s">
        <v>1779</v>
      </c>
      <c r="D940" s="67">
        <v>0.087</v>
      </c>
      <c r="E940" s="68"/>
      <c r="F940" s="69">
        <v>1</v>
      </c>
      <c r="G940" s="70"/>
      <c r="H940" s="71">
        <v>0.2</v>
      </c>
      <c r="I940" s="71">
        <v>0</v>
      </c>
      <c r="J940" s="71">
        <v>0</v>
      </c>
      <c r="M940"/>
      <c r="N940"/>
      <c r="O940"/>
      <c r="P940"/>
      <c r="Q940"/>
      <c r="R940"/>
      <c r="S940"/>
      <c r="T940"/>
      <c r="U940"/>
    </row>
    <row r="941" ht="38.25" spans="1:20">
      <c r="A941" s="72" t="s">
        <v>3773</v>
      </c>
      <c r="B941" s="73" t="s">
        <v>1780</v>
      </c>
      <c r="C941" s="66" t="s">
        <v>1781</v>
      </c>
      <c r="D941" s="67">
        <v>0.4348</v>
      </c>
      <c r="E941" s="68"/>
      <c r="F941" s="69">
        <v>1</v>
      </c>
      <c r="G941" s="70"/>
      <c r="H941" s="71">
        <v>0.5</v>
      </c>
      <c r="I941" s="71"/>
      <c r="J941" s="71"/>
      <c r="M941" s="32">
        <v>6</v>
      </c>
      <c r="N941" s="77">
        <f>+F941</f>
        <v>1</v>
      </c>
      <c r="O941" s="77">
        <f>+M941*N941</f>
        <v>6</v>
      </c>
      <c r="R941" s="3">
        <f>+M941</f>
        <v>6</v>
      </c>
      <c r="S941" s="49">
        <f>+H941</f>
        <v>0.5</v>
      </c>
      <c r="T941" s="49">
        <f>+R941*S941</f>
        <v>3</v>
      </c>
    </row>
    <row r="942" ht="12.75" hidden="1" spans="1:21">
      <c r="A942" s="64"/>
      <c r="B942" s="73" t="s">
        <v>1782</v>
      </c>
      <c r="C942" s="66" t="s">
        <v>1783</v>
      </c>
      <c r="D942" s="67">
        <v>0.1304</v>
      </c>
      <c r="E942" s="68"/>
      <c r="F942" s="69">
        <v>0.5</v>
      </c>
      <c r="G942" s="70"/>
      <c r="H942" s="71">
        <v>0.3</v>
      </c>
      <c r="I942" s="71">
        <v>0</v>
      </c>
      <c r="J942" s="71">
        <v>0</v>
      </c>
      <c r="M942"/>
      <c r="N942"/>
      <c r="O942"/>
      <c r="P942"/>
      <c r="Q942"/>
      <c r="R942"/>
      <c r="S942"/>
      <c r="T942"/>
      <c r="U942"/>
    </row>
    <row r="943" ht="12.75" hidden="1" spans="1:21">
      <c r="A943" s="64"/>
      <c r="B943" s="73" t="s">
        <v>1784</v>
      </c>
      <c r="C943" s="66" t="s">
        <v>1785</v>
      </c>
      <c r="D943" s="67">
        <v>0.2609</v>
      </c>
      <c r="E943" s="68"/>
      <c r="F943" s="69">
        <v>1</v>
      </c>
      <c r="G943" s="70"/>
      <c r="H943" s="71">
        <v>0.6</v>
      </c>
      <c r="I943" s="71">
        <v>0</v>
      </c>
      <c r="J943" s="71">
        <v>0</v>
      </c>
      <c r="M943"/>
      <c r="N943"/>
      <c r="O943"/>
      <c r="P943"/>
      <c r="Q943"/>
      <c r="R943"/>
      <c r="S943"/>
      <c r="T943"/>
      <c r="U943"/>
    </row>
    <row r="944" ht="12.75" hidden="1" spans="1:21">
      <c r="A944" s="64"/>
      <c r="B944" s="73" t="s">
        <v>1786</v>
      </c>
      <c r="C944" s="66" t="s">
        <v>1787</v>
      </c>
      <c r="D944" s="67">
        <v>0.6957</v>
      </c>
      <c r="E944" s="68"/>
      <c r="F944" s="69">
        <v>2.5</v>
      </c>
      <c r="G944" s="70"/>
      <c r="H944" s="71">
        <v>1.6</v>
      </c>
      <c r="I944" s="71">
        <v>0</v>
      </c>
      <c r="J944" s="71">
        <v>0</v>
      </c>
      <c r="M944"/>
      <c r="N944"/>
      <c r="O944"/>
      <c r="P944"/>
      <c r="Q944"/>
      <c r="R944"/>
      <c r="S944"/>
      <c r="T944"/>
      <c r="U944"/>
    </row>
    <row r="945" customFormat="1" ht="12.75" hidden="1" spans="1:10">
      <c r="A945" s="64"/>
      <c r="B945" s="73" t="s">
        <v>1788</v>
      </c>
      <c r="C945" s="66" t="s">
        <v>1789</v>
      </c>
      <c r="D945" s="67">
        <v>0.1304</v>
      </c>
      <c r="E945" s="68"/>
      <c r="F945" s="69">
        <v>1</v>
      </c>
      <c r="G945" s="70"/>
      <c r="H945" s="71">
        <v>0.3</v>
      </c>
      <c r="I945" s="71">
        <v>0</v>
      </c>
      <c r="J945" s="71">
        <v>0</v>
      </c>
    </row>
    <row r="946" customFormat="1" ht="12.75" hidden="1" spans="1:10">
      <c r="A946" s="64"/>
      <c r="B946" s="73" t="s">
        <v>1790</v>
      </c>
      <c r="C946" s="66" t="s">
        <v>1791</v>
      </c>
      <c r="D946" s="67">
        <v>0.3913</v>
      </c>
      <c r="E946" s="68"/>
      <c r="F946" s="69">
        <v>1.5</v>
      </c>
      <c r="G946" s="70"/>
      <c r="H946" s="71">
        <v>0.9</v>
      </c>
      <c r="I946" s="71">
        <v>0</v>
      </c>
      <c r="J946" s="71">
        <v>0</v>
      </c>
    </row>
    <row r="947" customFormat="1" ht="12.75" hidden="1" spans="1:10">
      <c r="A947" s="64"/>
      <c r="B947" s="73" t="s">
        <v>1792</v>
      </c>
      <c r="C947" s="66" t="s">
        <v>1793</v>
      </c>
      <c r="D947" s="67">
        <v>0.4348</v>
      </c>
      <c r="E947" s="68"/>
      <c r="F947" s="69">
        <v>1.5</v>
      </c>
      <c r="G947" s="70"/>
      <c r="H947" s="71">
        <v>1</v>
      </c>
      <c r="I947" s="71">
        <v>0</v>
      </c>
      <c r="J947" s="71">
        <v>0</v>
      </c>
    </row>
    <row r="948" customFormat="1" ht="12.75" hidden="1" spans="1:10">
      <c r="A948" s="64"/>
      <c r="B948" s="73" t="s">
        <v>1794</v>
      </c>
      <c r="C948" s="66" t="s">
        <v>1795</v>
      </c>
      <c r="D948" s="67">
        <v>0.3913</v>
      </c>
      <c r="E948" s="68"/>
      <c r="F948" s="69">
        <v>1.5</v>
      </c>
      <c r="G948" s="70"/>
      <c r="H948" s="71">
        <v>0.9</v>
      </c>
      <c r="I948" s="71">
        <v>0</v>
      </c>
      <c r="J948" s="71">
        <v>0</v>
      </c>
    </row>
    <row r="949" customFormat="1" ht="12.75" hidden="1" spans="1:10">
      <c r="A949" s="64"/>
      <c r="B949" s="73" t="s">
        <v>1796</v>
      </c>
      <c r="C949" s="66" t="s">
        <v>1797</v>
      </c>
      <c r="D949" s="67">
        <v>0.2174</v>
      </c>
      <c r="E949" s="68"/>
      <c r="F949" s="69">
        <v>1</v>
      </c>
      <c r="G949" s="70"/>
      <c r="H949" s="71">
        <v>0.5</v>
      </c>
      <c r="I949" s="71">
        <v>0</v>
      </c>
      <c r="J949" s="71">
        <v>0</v>
      </c>
    </row>
    <row r="950" customFormat="1" ht="12.75" hidden="1" spans="1:10">
      <c r="A950" s="64"/>
      <c r="B950" s="73" t="s">
        <v>1798</v>
      </c>
      <c r="C950" s="66" t="s">
        <v>1799</v>
      </c>
      <c r="D950" s="67">
        <v>0.2174</v>
      </c>
      <c r="E950" s="68"/>
      <c r="F950" s="69">
        <v>1</v>
      </c>
      <c r="G950" s="70"/>
      <c r="H950" s="71">
        <v>0.5</v>
      </c>
      <c r="I950" s="71">
        <v>0</v>
      </c>
      <c r="J950" s="71">
        <v>0</v>
      </c>
    </row>
    <row r="951" customFormat="1" ht="12.75" hidden="1" spans="1:10">
      <c r="A951" s="64"/>
      <c r="B951" s="73" t="s">
        <v>1800</v>
      </c>
      <c r="C951" s="66" t="s">
        <v>1801</v>
      </c>
      <c r="D951" s="67">
        <v>0.2174</v>
      </c>
      <c r="E951" s="68"/>
      <c r="F951" s="69">
        <v>1</v>
      </c>
      <c r="G951" s="70"/>
      <c r="H951" s="71">
        <v>0.5</v>
      </c>
      <c r="I951" s="71">
        <v>0</v>
      </c>
      <c r="J951" s="71">
        <v>0</v>
      </c>
    </row>
    <row r="952" customFormat="1" ht="12.75" hidden="1" spans="1:10">
      <c r="A952" s="64"/>
      <c r="B952" s="73" t="s">
        <v>1802</v>
      </c>
      <c r="C952" s="66" t="s">
        <v>1803</v>
      </c>
      <c r="D952" s="67">
        <v>0.2174</v>
      </c>
      <c r="E952" s="68"/>
      <c r="F952" s="69">
        <v>1</v>
      </c>
      <c r="G952" s="70"/>
      <c r="H952" s="71">
        <v>0.5</v>
      </c>
      <c r="I952" s="71">
        <v>0</v>
      </c>
      <c r="J952" s="71">
        <v>0</v>
      </c>
    </row>
    <row r="953" customFormat="1" ht="12.75" hidden="1" spans="1:10">
      <c r="A953" s="64"/>
      <c r="B953" s="73" t="s">
        <v>1804</v>
      </c>
      <c r="C953" s="66" t="s">
        <v>1805</v>
      </c>
      <c r="D953" s="67">
        <v>0.1739</v>
      </c>
      <c r="E953" s="68"/>
      <c r="F953" s="69">
        <v>1</v>
      </c>
      <c r="G953" s="70"/>
      <c r="H953" s="71">
        <v>0.4</v>
      </c>
      <c r="I953" s="71">
        <v>0</v>
      </c>
      <c r="J953" s="71">
        <v>0</v>
      </c>
    </row>
    <row r="954" customFormat="1" ht="12.75" hidden="1" spans="1:10">
      <c r="A954" s="64"/>
      <c r="B954" s="73" t="s">
        <v>1806</v>
      </c>
      <c r="C954" s="66" t="s">
        <v>1807</v>
      </c>
      <c r="D954" s="67">
        <v>0.2174</v>
      </c>
      <c r="E954" s="68"/>
      <c r="F954" s="69">
        <v>1</v>
      </c>
      <c r="G954" s="70"/>
      <c r="H954" s="71">
        <v>0.5</v>
      </c>
      <c r="I954" s="71">
        <v>0</v>
      </c>
      <c r="J954" s="71">
        <v>0</v>
      </c>
    </row>
    <row r="955" customFormat="1" ht="12.75" hidden="1" spans="1:10">
      <c r="A955" s="64"/>
      <c r="B955" s="73" t="s">
        <v>1808</v>
      </c>
      <c r="C955" s="66" t="s">
        <v>1809</v>
      </c>
      <c r="D955" s="67">
        <v>0.4348</v>
      </c>
      <c r="E955" s="68"/>
      <c r="F955" s="69">
        <v>1.5</v>
      </c>
      <c r="G955" s="70"/>
      <c r="H955" s="71">
        <v>1</v>
      </c>
      <c r="I955" s="71">
        <v>0</v>
      </c>
      <c r="J955" s="71">
        <v>0</v>
      </c>
    </row>
    <row r="956" customFormat="1" ht="12.75" hidden="1" spans="1:10">
      <c r="A956" s="64"/>
      <c r="B956" s="73" t="s">
        <v>1810</v>
      </c>
      <c r="C956" s="66" t="s">
        <v>1811</v>
      </c>
      <c r="D956" s="67">
        <v>0.2609</v>
      </c>
      <c r="E956" s="68"/>
      <c r="F956" s="69">
        <v>1</v>
      </c>
      <c r="G956" s="70"/>
      <c r="H956" s="71">
        <v>0.6</v>
      </c>
      <c r="I956" s="71">
        <v>0</v>
      </c>
      <c r="J956" s="71">
        <v>0</v>
      </c>
    </row>
    <row r="957" customFormat="1" ht="12.75" hidden="1" spans="1:10">
      <c r="A957" s="64"/>
      <c r="B957" s="73" t="s">
        <v>1812</v>
      </c>
      <c r="C957" s="66" t="s">
        <v>1813</v>
      </c>
      <c r="D957" s="67">
        <v>0.1304</v>
      </c>
      <c r="E957" s="68"/>
      <c r="F957" s="69">
        <v>0.5</v>
      </c>
      <c r="G957" s="70"/>
      <c r="H957" s="71">
        <v>0.3</v>
      </c>
      <c r="I957" s="71">
        <v>0</v>
      </c>
      <c r="J957" s="71">
        <v>0</v>
      </c>
    </row>
    <row r="958" customFormat="1" ht="12.75" hidden="1" spans="1:10">
      <c r="A958" s="64"/>
      <c r="B958" s="73" t="s">
        <v>1814</v>
      </c>
      <c r="C958" s="66" t="s">
        <v>1815</v>
      </c>
      <c r="D958" s="67">
        <v>0.6087</v>
      </c>
      <c r="E958" s="68"/>
      <c r="F958" s="69">
        <v>2.2</v>
      </c>
      <c r="G958" s="70"/>
      <c r="H958" s="71">
        <v>1.4</v>
      </c>
      <c r="I958" s="71">
        <v>0</v>
      </c>
      <c r="J958" s="71">
        <v>0</v>
      </c>
    </row>
    <row r="959" customFormat="1" ht="12.75" hidden="1" spans="1:10">
      <c r="A959" s="64"/>
      <c r="B959" s="73" t="s">
        <v>1816</v>
      </c>
      <c r="C959" s="66" t="s">
        <v>1817</v>
      </c>
      <c r="D959" s="67">
        <v>0.6087</v>
      </c>
      <c r="E959" s="68"/>
      <c r="F959" s="69">
        <v>2.5</v>
      </c>
      <c r="G959" s="70"/>
      <c r="H959" s="71">
        <v>1.4</v>
      </c>
      <c r="I959" s="71">
        <v>0</v>
      </c>
      <c r="J959" s="71">
        <v>0</v>
      </c>
    </row>
    <row r="960" customFormat="1" ht="12.75" hidden="1" spans="1:10">
      <c r="A960" s="64"/>
      <c r="B960" s="73" t="s">
        <v>1818</v>
      </c>
      <c r="C960" s="66" t="s">
        <v>1819</v>
      </c>
      <c r="D960" s="67">
        <v>0.4348</v>
      </c>
      <c r="E960" s="68"/>
      <c r="F960" s="69">
        <v>1.5</v>
      </c>
      <c r="G960" s="70"/>
      <c r="H960" s="71">
        <v>1</v>
      </c>
      <c r="I960" s="71">
        <v>0</v>
      </c>
      <c r="J960" s="71">
        <v>0</v>
      </c>
    </row>
    <row r="961" ht="12.75" hidden="1" spans="1:21">
      <c r="A961" s="64"/>
      <c r="B961" s="73" t="s">
        <v>1820</v>
      </c>
      <c r="C961" s="66" t="s">
        <v>1821</v>
      </c>
      <c r="D961" s="67">
        <v>0.0435</v>
      </c>
      <c r="E961" s="68"/>
      <c r="F961" s="69">
        <v>0.5</v>
      </c>
      <c r="G961" s="70"/>
      <c r="H961" s="71">
        <v>0.1</v>
      </c>
      <c r="I961" s="71">
        <v>0</v>
      </c>
      <c r="J961" s="71">
        <v>0</v>
      </c>
      <c r="M961"/>
      <c r="N961"/>
      <c r="O961"/>
      <c r="P961"/>
      <c r="Q961"/>
      <c r="R961"/>
      <c r="S961"/>
      <c r="T961"/>
      <c r="U961"/>
    </row>
    <row r="962" ht="12.75" hidden="1" spans="1:21">
      <c r="A962" s="64"/>
      <c r="B962" s="73" t="s">
        <v>1822</v>
      </c>
      <c r="C962" s="66" t="s">
        <v>1823</v>
      </c>
      <c r="D962" s="67">
        <v>0.1739</v>
      </c>
      <c r="E962" s="68"/>
      <c r="F962" s="69">
        <v>1</v>
      </c>
      <c r="G962" s="70"/>
      <c r="H962" s="71">
        <v>0.5</v>
      </c>
      <c r="I962" s="71">
        <v>0</v>
      </c>
      <c r="J962" s="71">
        <v>0</v>
      </c>
      <c r="M962"/>
      <c r="N962"/>
      <c r="O962"/>
      <c r="P962"/>
      <c r="Q962"/>
      <c r="R962"/>
      <c r="S962"/>
      <c r="T962"/>
      <c r="U962"/>
    </row>
    <row r="963" ht="12.75" hidden="1" spans="1:21">
      <c r="A963" s="64"/>
      <c r="B963" s="73" t="s">
        <v>1824</v>
      </c>
      <c r="C963" s="66" t="s">
        <v>1825</v>
      </c>
      <c r="D963" s="67">
        <v>0.2609</v>
      </c>
      <c r="E963" s="68"/>
      <c r="F963" s="69">
        <v>0.9</v>
      </c>
      <c r="G963" s="70"/>
      <c r="H963" s="71">
        <v>0.6</v>
      </c>
      <c r="I963" s="71">
        <v>0</v>
      </c>
      <c r="J963" s="71">
        <v>0</v>
      </c>
      <c r="M963"/>
      <c r="N963"/>
      <c r="O963"/>
      <c r="P963"/>
      <c r="Q963"/>
      <c r="R963"/>
      <c r="S963"/>
      <c r="T963"/>
      <c r="U963"/>
    </row>
    <row r="964" ht="12.75" hidden="1" spans="1:21">
      <c r="A964" s="64"/>
      <c r="B964" s="73" t="s">
        <v>1826</v>
      </c>
      <c r="C964" s="66" t="s">
        <v>1827</v>
      </c>
      <c r="D964" s="67">
        <v>0.5217</v>
      </c>
      <c r="E964" s="68"/>
      <c r="F964" s="69">
        <v>2</v>
      </c>
      <c r="G964" s="70"/>
      <c r="H964" s="71">
        <v>1.2</v>
      </c>
      <c r="I964" s="71">
        <v>0</v>
      </c>
      <c r="J964" s="71">
        <v>0</v>
      </c>
      <c r="M964"/>
      <c r="N964"/>
      <c r="O964"/>
      <c r="P964"/>
      <c r="Q964"/>
      <c r="R964"/>
      <c r="S964"/>
      <c r="T964"/>
      <c r="U964"/>
    </row>
    <row r="965" ht="12.75" hidden="1" spans="1:21">
      <c r="A965" s="64"/>
      <c r="B965" s="73" t="s">
        <v>1828</v>
      </c>
      <c r="C965" s="66" t="s">
        <v>1829</v>
      </c>
      <c r="D965" s="67">
        <v>0.1739</v>
      </c>
      <c r="E965" s="68"/>
      <c r="F965" s="69">
        <v>0.6</v>
      </c>
      <c r="G965" s="70"/>
      <c r="H965" s="71">
        <v>0.4</v>
      </c>
      <c r="I965" s="71">
        <v>0</v>
      </c>
      <c r="J965" s="71">
        <v>0</v>
      </c>
      <c r="M965"/>
      <c r="N965"/>
      <c r="O965"/>
      <c r="P965"/>
      <c r="Q965"/>
      <c r="R965"/>
      <c r="S965"/>
      <c r="T965"/>
      <c r="U965"/>
    </row>
    <row r="966" ht="38.25" spans="1:20">
      <c r="A966" s="72" t="s">
        <v>3773</v>
      </c>
      <c r="B966" s="73" t="s">
        <v>1830</v>
      </c>
      <c r="C966" s="66" t="s">
        <v>1831</v>
      </c>
      <c r="D966" s="67">
        <v>0.0435</v>
      </c>
      <c r="E966" s="68"/>
      <c r="F966" s="69">
        <v>0.25</v>
      </c>
      <c r="G966" s="70"/>
      <c r="H966" s="71">
        <v>0.1</v>
      </c>
      <c r="I966" s="71"/>
      <c r="J966" s="71"/>
      <c r="M966" s="32">
        <v>29</v>
      </c>
      <c r="N966" s="77">
        <f>+F966</f>
        <v>0.25</v>
      </c>
      <c r="O966" s="77">
        <f>+M966*N966</f>
        <v>7.25</v>
      </c>
      <c r="R966" s="3">
        <f>+M966</f>
        <v>29</v>
      </c>
      <c r="S966" s="49">
        <f>+H966</f>
        <v>0.1</v>
      </c>
      <c r="T966" s="49">
        <f>+R966*S966</f>
        <v>2.9</v>
      </c>
    </row>
    <row r="967" ht="12.75" hidden="1" spans="1:21">
      <c r="A967" s="64"/>
      <c r="B967" s="73" t="s">
        <v>1832</v>
      </c>
      <c r="C967" s="66" t="s">
        <v>1833</v>
      </c>
      <c r="D967" s="67">
        <v>0.1739</v>
      </c>
      <c r="E967" s="68"/>
      <c r="F967" s="69">
        <v>0.6</v>
      </c>
      <c r="G967" s="70"/>
      <c r="H967" s="71">
        <v>0.4</v>
      </c>
      <c r="I967" s="71">
        <v>0</v>
      </c>
      <c r="J967" s="71">
        <v>0</v>
      </c>
      <c r="M967"/>
      <c r="N967"/>
      <c r="O967"/>
      <c r="P967"/>
      <c r="Q967"/>
      <c r="R967"/>
      <c r="S967"/>
      <c r="T967"/>
      <c r="U967"/>
    </row>
    <row r="968" ht="12.75" hidden="1" spans="1:21">
      <c r="A968" s="64"/>
      <c r="B968" s="73" t="s">
        <v>1834</v>
      </c>
      <c r="C968" s="66" t="s">
        <v>1835</v>
      </c>
      <c r="D968" s="67">
        <v>0.7391</v>
      </c>
      <c r="E968" s="68"/>
      <c r="F968" s="69">
        <v>2.8</v>
      </c>
      <c r="G968" s="70"/>
      <c r="H968" s="71">
        <v>1.7</v>
      </c>
      <c r="I968" s="71">
        <v>0</v>
      </c>
      <c r="J968" s="71">
        <v>0</v>
      </c>
      <c r="M968"/>
      <c r="N968"/>
      <c r="O968"/>
      <c r="P968"/>
      <c r="Q968"/>
      <c r="R968"/>
      <c r="S968"/>
      <c r="T968"/>
      <c r="U968"/>
    </row>
    <row r="969" ht="12.75" hidden="1" spans="1:21">
      <c r="A969" s="64"/>
      <c r="B969" s="73" t="s">
        <v>1836</v>
      </c>
      <c r="C969" s="66" t="s">
        <v>1837</v>
      </c>
      <c r="D969" s="67">
        <v>0.4348</v>
      </c>
      <c r="E969" s="68"/>
      <c r="F969" s="69">
        <v>1.5</v>
      </c>
      <c r="G969" s="70"/>
      <c r="H969" s="71">
        <v>1</v>
      </c>
      <c r="I969" s="71">
        <v>0</v>
      </c>
      <c r="J969" s="71">
        <v>0</v>
      </c>
      <c r="M969"/>
      <c r="N969"/>
      <c r="O969"/>
      <c r="P969"/>
      <c r="Q969"/>
      <c r="R969"/>
      <c r="S969"/>
      <c r="T969"/>
      <c r="U969"/>
    </row>
    <row r="970" ht="12.75" hidden="1" spans="1:21">
      <c r="A970" s="64"/>
      <c r="B970" s="73" t="s">
        <v>1838</v>
      </c>
      <c r="C970" s="66" t="s">
        <v>1839</v>
      </c>
      <c r="D970" s="67">
        <v>0.1304</v>
      </c>
      <c r="E970" s="68"/>
      <c r="F970" s="69">
        <v>0.4</v>
      </c>
      <c r="G970" s="70"/>
      <c r="H970" s="71">
        <v>0.3</v>
      </c>
      <c r="I970" s="71">
        <v>0</v>
      </c>
      <c r="J970" s="71">
        <v>0</v>
      </c>
      <c r="M970"/>
      <c r="N970"/>
      <c r="O970"/>
      <c r="P970"/>
      <c r="Q970"/>
      <c r="R970"/>
      <c r="S970"/>
      <c r="T970"/>
      <c r="U970"/>
    </row>
    <row r="971" ht="12.75" hidden="1" spans="1:21">
      <c r="A971" s="64"/>
      <c r="B971" s="73" t="s">
        <v>1840</v>
      </c>
      <c r="C971" s="66" t="s">
        <v>1841</v>
      </c>
      <c r="D971" s="67">
        <v>0.1304</v>
      </c>
      <c r="E971" s="68"/>
      <c r="F971" s="69">
        <v>0.5</v>
      </c>
      <c r="G971" s="70"/>
      <c r="H971" s="71">
        <v>0.3</v>
      </c>
      <c r="I971" s="71">
        <v>0</v>
      </c>
      <c r="J971" s="71">
        <v>0</v>
      </c>
      <c r="M971"/>
      <c r="N971"/>
      <c r="O971"/>
      <c r="P971"/>
      <c r="Q971"/>
      <c r="R971"/>
      <c r="S971"/>
      <c r="T971"/>
      <c r="U971"/>
    </row>
    <row r="972" ht="12.75" hidden="1" spans="1:21">
      <c r="A972" s="64"/>
      <c r="B972" s="73" t="s">
        <v>1842</v>
      </c>
      <c r="C972" s="66" t="s">
        <v>1843</v>
      </c>
      <c r="D972" s="67">
        <v>0.7391</v>
      </c>
      <c r="E972" s="68"/>
      <c r="F972" s="69">
        <v>2.7</v>
      </c>
      <c r="G972" s="70"/>
      <c r="H972" s="71">
        <v>1.7</v>
      </c>
      <c r="I972" s="71">
        <v>0</v>
      </c>
      <c r="J972" s="71">
        <v>0</v>
      </c>
      <c r="M972"/>
      <c r="N972"/>
      <c r="O972"/>
      <c r="P972"/>
      <c r="Q972"/>
      <c r="R972"/>
      <c r="S972"/>
      <c r="T972"/>
      <c r="U972"/>
    </row>
    <row r="973" ht="12.75" hidden="1" spans="1:21">
      <c r="A973" s="64"/>
      <c r="B973" s="73" t="s">
        <v>1844</v>
      </c>
      <c r="C973" s="66" t="s">
        <v>1845</v>
      </c>
      <c r="D973" s="67">
        <v>1.0435</v>
      </c>
      <c r="E973" s="68"/>
      <c r="F973" s="69">
        <v>3.9</v>
      </c>
      <c r="G973" s="70"/>
      <c r="H973" s="71">
        <v>2.4</v>
      </c>
      <c r="I973" s="71">
        <v>0</v>
      </c>
      <c r="J973" s="71">
        <v>0</v>
      </c>
      <c r="M973"/>
      <c r="N973"/>
      <c r="O973"/>
      <c r="P973"/>
      <c r="Q973"/>
      <c r="R973"/>
      <c r="S973"/>
      <c r="T973"/>
      <c r="U973"/>
    </row>
    <row r="974" ht="12.75" hidden="1" spans="1:21">
      <c r="A974" s="64"/>
      <c r="B974" s="73" t="s">
        <v>1846</v>
      </c>
      <c r="C974" s="66" t="s">
        <v>1847</v>
      </c>
      <c r="D974" s="67">
        <v>0.913</v>
      </c>
      <c r="E974" s="68"/>
      <c r="F974" s="69">
        <v>3.3</v>
      </c>
      <c r="G974" s="70"/>
      <c r="H974" s="71">
        <v>2.1</v>
      </c>
      <c r="I974" s="71">
        <v>0</v>
      </c>
      <c r="J974" s="71">
        <v>0</v>
      </c>
      <c r="M974"/>
      <c r="N974"/>
      <c r="O974"/>
      <c r="P974"/>
      <c r="Q974"/>
      <c r="R974"/>
      <c r="S974"/>
      <c r="T974"/>
      <c r="U974"/>
    </row>
    <row r="975" ht="12.75" hidden="1" spans="1:21">
      <c r="A975" s="64"/>
      <c r="B975" s="73" t="s">
        <v>1848</v>
      </c>
      <c r="C975" s="66" t="s">
        <v>1849</v>
      </c>
      <c r="D975" s="67">
        <v>0.913</v>
      </c>
      <c r="E975" s="68"/>
      <c r="F975" s="69">
        <v>3.3</v>
      </c>
      <c r="G975" s="70"/>
      <c r="H975" s="71">
        <v>2.1</v>
      </c>
      <c r="I975" s="71">
        <v>0</v>
      </c>
      <c r="J975" s="71">
        <v>0</v>
      </c>
      <c r="M975"/>
      <c r="N975"/>
      <c r="O975"/>
      <c r="P975"/>
      <c r="Q975"/>
      <c r="R975"/>
      <c r="S975"/>
      <c r="T975"/>
      <c r="U975"/>
    </row>
    <row r="976" ht="12.75" hidden="1" spans="1:21">
      <c r="A976" s="64"/>
      <c r="B976" s="73" t="s">
        <v>1850</v>
      </c>
      <c r="C976" s="66" t="s">
        <v>1851</v>
      </c>
      <c r="D976" s="67">
        <v>0.8261</v>
      </c>
      <c r="E976" s="68"/>
      <c r="F976" s="69">
        <v>3</v>
      </c>
      <c r="G976" s="70"/>
      <c r="H976" s="71">
        <v>1.9</v>
      </c>
      <c r="I976" s="71">
        <v>0</v>
      </c>
      <c r="J976" s="71">
        <v>0</v>
      </c>
      <c r="M976"/>
      <c r="N976"/>
      <c r="O976"/>
      <c r="P976"/>
      <c r="Q976"/>
      <c r="R976"/>
      <c r="S976"/>
      <c r="T976"/>
      <c r="U976"/>
    </row>
    <row r="977" customFormat="1" ht="12.75" hidden="1" spans="1:10">
      <c r="A977" s="64"/>
      <c r="B977" s="73" t="s">
        <v>1852</v>
      </c>
      <c r="C977" s="66" t="s">
        <v>1853</v>
      </c>
      <c r="D977" s="67">
        <v>1.0435</v>
      </c>
      <c r="E977" s="68"/>
      <c r="F977" s="69">
        <v>3.9</v>
      </c>
      <c r="G977" s="70"/>
      <c r="H977" s="71">
        <v>2.4</v>
      </c>
      <c r="I977" s="71">
        <v>0</v>
      </c>
      <c r="J977" s="71">
        <v>0</v>
      </c>
    </row>
    <row r="978" customFormat="1" ht="12.75" hidden="1" spans="1:10">
      <c r="A978" s="64"/>
      <c r="B978" s="73" t="s">
        <v>1854</v>
      </c>
      <c r="C978" s="66" t="s">
        <v>1855</v>
      </c>
      <c r="D978" s="67">
        <v>3.087</v>
      </c>
      <c r="E978" s="68"/>
      <c r="F978" s="69">
        <v>0</v>
      </c>
      <c r="G978" s="70"/>
      <c r="H978" s="71">
        <v>0</v>
      </c>
      <c r="I978" s="71">
        <v>7.1</v>
      </c>
      <c r="J978" s="71">
        <v>6</v>
      </c>
    </row>
    <row r="979" customFormat="1" ht="12.75" hidden="1" spans="1:10">
      <c r="A979" s="64"/>
      <c r="B979" s="73" t="s">
        <v>1856</v>
      </c>
      <c r="C979" s="66" t="s">
        <v>1857</v>
      </c>
      <c r="D979" s="67">
        <v>0.4348</v>
      </c>
      <c r="E979" s="68"/>
      <c r="F979" s="69">
        <v>1.6</v>
      </c>
      <c r="G979" s="70"/>
      <c r="H979" s="71">
        <v>1</v>
      </c>
      <c r="I979" s="71">
        <v>0</v>
      </c>
      <c r="J979" s="71">
        <v>0</v>
      </c>
    </row>
    <row r="980" customFormat="1" ht="12.75" hidden="1" spans="1:10">
      <c r="A980" s="64"/>
      <c r="B980" s="73" t="s">
        <v>1858</v>
      </c>
      <c r="C980" s="66" t="s">
        <v>1859</v>
      </c>
      <c r="D980" s="67">
        <v>1.913</v>
      </c>
      <c r="E980" s="68"/>
      <c r="F980" s="69">
        <v>7</v>
      </c>
      <c r="G980" s="70"/>
      <c r="H980" s="71">
        <v>4.4</v>
      </c>
      <c r="I980" s="71">
        <v>0</v>
      </c>
      <c r="J980" s="71">
        <v>0</v>
      </c>
    </row>
    <row r="981" customFormat="1" ht="25.5" hidden="1" spans="1:10">
      <c r="A981" s="64"/>
      <c r="B981" s="73" t="s">
        <v>1860</v>
      </c>
      <c r="C981" s="66" t="s">
        <v>1861</v>
      </c>
      <c r="D981" s="67">
        <v>3.087</v>
      </c>
      <c r="E981" s="68"/>
      <c r="F981" s="79">
        <v>11.4</v>
      </c>
      <c r="G981" s="80"/>
      <c r="H981" s="71">
        <v>7.1</v>
      </c>
      <c r="I981" s="71">
        <v>0</v>
      </c>
      <c r="J981" s="71">
        <v>0</v>
      </c>
    </row>
    <row r="982" customFormat="1" ht="12.75" hidden="1" spans="1:10">
      <c r="A982" s="64"/>
      <c r="B982" s="73" t="s">
        <v>1862</v>
      </c>
      <c r="C982" s="66" t="s">
        <v>1863</v>
      </c>
      <c r="D982" s="67">
        <v>2.8261</v>
      </c>
      <c r="E982" s="68"/>
      <c r="F982" s="79">
        <v>10</v>
      </c>
      <c r="G982" s="80"/>
      <c r="H982" s="71">
        <v>6.5</v>
      </c>
      <c r="I982" s="71">
        <v>0</v>
      </c>
      <c r="J982" s="71">
        <v>0</v>
      </c>
    </row>
    <row r="983" customFormat="1" ht="12.75" hidden="1" spans="1:10">
      <c r="A983" s="64"/>
      <c r="B983" s="73" t="s">
        <v>1864</v>
      </c>
      <c r="C983" s="66" t="s">
        <v>1865</v>
      </c>
      <c r="D983" s="67">
        <v>3.087</v>
      </c>
      <c r="E983" s="68"/>
      <c r="F983" s="79">
        <v>11.3</v>
      </c>
      <c r="G983" s="80"/>
      <c r="H983" s="71">
        <v>7.1</v>
      </c>
      <c r="I983" s="71">
        <v>0</v>
      </c>
      <c r="J983" s="71">
        <v>0</v>
      </c>
    </row>
    <row r="984" customFormat="1" ht="12.75" hidden="1" spans="1:10">
      <c r="A984" s="64"/>
      <c r="B984" s="73" t="s">
        <v>1866</v>
      </c>
      <c r="C984" s="66" t="s">
        <v>1867</v>
      </c>
      <c r="D984" s="67">
        <v>3</v>
      </c>
      <c r="E984" s="68"/>
      <c r="F984" s="79">
        <v>10</v>
      </c>
      <c r="G984" s="80"/>
      <c r="H984" s="71">
        <v>6.9</v>
      </c>
      <c r="I984" s="71">
        <v>0</v>
      </c>
      <c r="J984" s="71">
        <v>0</v>
      </c>
    </row>
    <row r="985" customFormat="1" ht="12.75" hidden="1" spans="1:10">
      <c r="A985" s="64"/>
      <c r="B985" s="73" t="s">
        <v>1868</v>
      </c>
      <c r="C985" s="66" t="s">
        <v>1869</v>
      </c>
      <c r="D985" s="67">
        <v>0.9565</v>
      </c>
      <c r="E985" s="68"/>
      <c r="F985" s="69">
        <v>3.5</v>
      </c>
      <c r="G985" s="70"/>
      <c r="H985" s="71">
        <v>2.2</v>
      </c>
      <c r="I985" s="71">
        <v>0</v>
      </c>
      <c r="J985" s="71">
        <v>0</v>
      </c>
    </row>
    <row r="986" customFormat="1" ht="12.75" hidden="1" spans="1:10">
      <c r="A986" s="64"/>
      <c r="B986" s="73" t="s">
        <v>1870</v>
      </c>
      <c r="C986" s="66" t="s">
        <v>1871</v>
      </c>
      <c r="D986" s="67">
        <v>0.4348</v>
      </c>
      <c r="E986" s="68"/>
      <c r="F986" s="69">
        <v>2</v>
      </c>
      <c r="G986" s="70"/>
      <c r="H986" s="71">
        <v>1</v>
      </c>
      <c r="I986" s="71">
        <v>0</v>
      </c>
      <c r="J986" s="71">
        <v>0</v>
      </c>
    </row>
    <row r="987" customFormat="1" ht="25.5" hidden="1" spans="1:10">
      <c r="A987" s="64"/>
      <c r="B987" s="73" t="s">
        <v>1872</v>
      </c>
      <c r="C987" s="66" t="s">
        <v>1873</v>
      </c>
      <c r="D987" s="67">
        <v>0.3043</v>
      </c>
      <c r="E987" s="68"/>
      <c r="F987" s="69">
        <v>1</v>
      </c>
      <c r="G987" s="70"/>
      <c r="H987" s="71">
        <v>0.7</v>
      </c>
      <c r="I987" s="71">
        <v>0</v>
      </c>
      <c r="J987" s="71">
        <v>0</v>
      </c>
    </row>
    <row r="988" customFormat="1" ht="12.75" hidden="1" spans="1:10">
      <c r="A988" s="64"/>
      <c r="B988" s="73" t="s">
        <v>1874</v>
      </c>
      <c r="C988" s="66" t="s">
        <v>1875</v>
      </c>
      <c r="D988" s="67">
        <v>0.2609</v>
      </c>
      <c r="E988" s="68"/>
      <c r="F988" s="69">
        <v>1</v>
      </c>
      <c r="G988" s="70"/>
      <c r="H988" s="71">
        <v>0.6</v>
      </c>
      <c r="I988" s="71">
        <v>0</v>
      </c>
      <c r="J988" s="71">
        <v>0</v>
      </c>
    </row>
    <row r="989" customFormat="1" ht="12.75" hidden="1" spans="1:10">
      <c r="A989" s="64"/>
      <c r="B989" s="73" t="s">
        <v>1876</v>
      </c>
      <c r="C989" s="66" t="s">
        <v>1877</v>
      </c>
      <c r="D989" s="82">
        <v>13.3913</v>
      </c>
      <c r="E989" s="83"/>
      <c r="F989" s="79">
        <v>50</v>
      </c>
      <c r="G989" s="80"/>
      <c r="H989" s="71">
        <v>30.8</v>
      </c>
      <c r="I989" s="71">
        <v>0</v>
      </c>
      <c r="J989" s="71">
        <v>0</v>
      </c>
    </row>
    <row r="990" customFormat="1" ht="12.75" hidden="1" spans="1:10">
      <c r="A990" s="64"/>
      <c r="B990" s="73" t="s">
        <v>1878</v>
      </c>
      <c r="C990" s="66" t="s">
        <v>1879</v>
      </c>
      <c r="D990" s="67">
        <v>0.0435</v>
      </c>
      <c r="E990" s="68"/>
      <c r="F990" s="69">
        <v>1</v>
      </c>
      <c r="G990" s="70"/>
      <c r="H990" s="71">
        <v>0.5</v>
      </c>
      <c r="I990" s="71">
        <v>0</v>
      </c>
      <c r="J990" s="71">
        <v>0</v>
      </c>
    </row>
    <row r="991" customFormat="1" ht="12.75" hidden="1" spans="1:10">
      <c r="A991" s="64"/>
      <c r="B991" s="73" t="s">
        <v>1880</v>
      </c>
      <c r="C991" s="66" t="s">
        <v>1881</v>
      </c>
      <c r="D991" s="67">
        <v>0.1739</v>
      </c>
      <c r="E991" s="68"/>
      <c r="F991" s="69">
        <v>1</v>
      </c>
      <c r="G991" s="70"/>
      <c r="H991" s="71">
        <v>0.4</v>
      </c>
      <c r="I991" s="71">
        <v>0</v>
      </c>
      <c r="J991" s="71">
        <v>0</v>
      </c>
    </row>
    <row r="992" customFormat="1" ht="12.75" hidden="1" spans="1:10">
      <c r="A992" s="64"/>
      <c r="B992" s="73" t="s">
        <v>1882</v>
      </c>
      <c r="C992" s="66" t="s">
        <v>1883</v>
      </c>
      <c r="D992" s="67">
        <v>0.2609</v>
      </c>
      <c r="E992" s="68"/>
      <c r="F992" s="69">
        <v>1</v>
      </c>
      <c r="G992" s="70"/>
      <c r="H992" s="71">
        <v>0.6</v>
      </c>
      <c r="I992" s="71">
        <v>0</v>
      </c>
      <c r="J992" s="71">
        <v>0</v>
      </c>
    </row>
    <row r="993" customFormat="1" ht="12.75" hidden="1" spans="1:10">
      <c r="A993" s="64"/>
      <c r="B993" s="73" t="s">
        <v>1884</v>
      </c>
      <c r="C993" s="66" t="s">
        <v>1885</v>
      </c>
      <c r="D993" s="67">
        <v>2.9565</v>
      </c>
      <c r="E993" s="68"/>
      <c r="F993" s="79">
        <v>10</v>
      </c>
      <c r="G993" s="80"/>
      <c r="H993" s="71">
        <v>6.8</v>
      </c>
      <c r="I993" s="71">
        <v>0</v>
      </c>
      <c r="J993" s="71">
        <v>0</v>
      </c>
    </row>
    <row r="994" customFormat="1" ht="12.75" hidden="1" spans="1:10">
      <c r="A994" s="64"/>
      <c r="B994" s="73" t="s">
        <v>1886</v>
      </c>
      <c r="C994" s="66" t="s">
        <v>1887</v>
      </c>
      <c r="D994" s="67">
        <v>1.2174</v>
      </c>
      <c r="E994" s="68"/>
      <c r="F994" s="69">
        <v>4.5</v>
      </c>
      <c r="G994" s="70"/>
      <c r="H994" s="71">
        <v>2.8</v>
      </c>
      <c r="I994" s="71">
        <v>0</v>
      </c>
      <c r="J994" s="71">
        <v>0</v>
      </c>
    </row>
    <row r="995" customFormat="1" ht="12.75" hidden="1" spans="1:10">
      <c r="A995" s="64"/>
      <c r="B995" s="73" t="s">
        <v>1888</v>
      </c>
      <c r="C995" s="66" t="s">
        <v>1889</v>
      </c>
      <c r="D995" s="67">
        <v>1</v>
      </c>
      <c r="E995" s="68"/>
      <c r="F995" s="69">
        <v>4</v>
      </c>
      <c r="G995" s="70"/>
      <c r="H995" s="71">
        <v>2.3</v>
      </c>
      <c r="I995" s="71">
        <v>0</v>
      </c>
      <c r="J995" s="71">
        <v>0</v>
      </c>
    </row>
    <row r="996" customFormat="1" ht="12.75" hidden="1" spans="1:10">
      <c r="A996" s="64"/>
      <c r="B996" s="73" t="s">
        <v>1890</v>
      </c>
      <c r="C996" s="66" t="s">
        <v>1891</v>
      </c>
      <c r="D996" s="67">
        <v>0.3043</v>
      </c>
      <c r="E996" s="68"/>
      <c r="F996" s="69">
        <v>1.1</v>
      </c>
      <c r="G996" s="70"/>
      <c r="H996" s="71">
        <v>0.7</v>
      </c>
      <c r="I996" s="71">
        <v>0</v>
      </c>
      <c r="J996" s="71">
        <v>0</v>
      </c>
    </row>
    <row r="997" customFormat="1" ht="12.75" hidden="1" spans="1:10">
      <c r="A997" s="64"/>
      <c r="B997" s="73" t="s">
        <v>1892</v>
      </c>
      <c r="C997" s="66" t="s">
        <v>1893</v>
      </c>
      <c r="D997" s="67">
        <v>0.3043</v>
      </c>
      <c r="E997" s="68"/>
      <c r="F997" s="69">
        <v>1.1</v>
      </c>
      <c r="G997" s="70"/>
      <c r="H997" s="71">
        <v>0.7</v>
      </c>
      <c r="I997" s="71">
        <v>0</v>
      </c>
      <c r="J997" s="71">
        <v>0</v>
      </c>
    </row>
    <row r="998" customFormat="1" ht="12.75" hidden="1" spans="1:10">
      <c r="A998" s="64"/>
      <c r="B998" s="73" t="s">
        <v>1894</v>
      </c>
      <c r="C998" s="66" t="s">
        <v>1895</v>
      </c>
      <c r="D998" s="67">
        <v>0.913</v>
      </c>
      <c r="E998" s="68"/>
      <c r="F998" s="69">
        <v>3.5</v>
      </c>
      <c r="G998" s="70"/>
      <c r="H998" s="71">
        <v>2.1</v>
      </c>
      <c r="I998" s="71">
        <v>0</v>
      </c>
      <c r="J998" s="71">
        <v>0</v>
      </c>
    </row>
    <row r="999" customFormat="1" ht="12.75" hidden="1" spans="1:10">
      <c r="A999" s="64"/>
      <c r="B999" s="73" t="s">
        <v>1896</v>
      </c>
      <c r="C999" s="66" t="s">
        <v>1897</v>
      </c>
      <c r="D999" s="67">
        <v>0.913</v>
      </c>
      <c r="E999" s="68"/>
      <c r="F999" s="69">
        <v>3.5</v>
      </c>
      <c r="G999" s="70"/>
      <c r="H999" s="71">
        <v>2.1</v>
      </c>
      <c r="I999" s="71">
        <v>0</v>
      </c>
      <c r="J999" s="71">
        <v>0</v>
      </c>
    </row>
    <row r="1000" customFormat="1" ht="12.75" hidden="1" spans="1:10">
      <c r="A1000" s="64"/>
      <c r="B1000" s="73" t="s">
        <v>1898</v>
      </c>
      <c r="C1000" s="66" t="s">
        <v>1899</v>
      </c>
      <c r="D1000" s="67">
        <v>0.1304</v>
      </c>
      <c r="E1000" s="68"/>
      <c r="F1000" s="69">
        <v>0.5</v>
      </c>
      <c r="G1000" s="70"/>
      <c r="H1000" s="71">
        <v>0.3</v>
      </c>
      <c r="I1000" s="71">
        <v>0</v>
      </c>
      <c r="J1000" s="71">
        <v>0</v>
      </c>
    </row>
    <row r="1001" customFormat="1" ht="12.75" hidden="1" spans="1:10">
      <c r="A1001" s="64"/>
      <c r="B1001" s="73" t="s">
        <v>1900</v>
      </c>
      <c r="C1001" s="66" t="s">
        <v>1901</v>
      </c>
      <c r="D1001" s="67">
        <v>0.1739</v>
      </c>
      <c r="E1001" s="68"/>
      <c r="F1001" s="69">
        <v>1</v>
      </c>
      <c r="G1001" s="70"/>
      <c r="H1001" s="71">
        <v>0.4</v>
      </c>
      <c r="I1001" s="71">
        <v>0</v>
      </c>
      <c r="J1001" s="71">
        <v>0</v>
      </c>
    </row>
    <row r="1002" customFormat="1" ht="12.75" hidden="1" spans="1:10">
      <c r="A1002" s="64"/>
      <c r="B1002" s="73" t="s">
        <v>1902</v>
      </c>
      <c r="C1002" s="66" t="s">
        <v>1903</v>
      </c>
      <c r="D1002" s="67">
        <v>0.2609</v>
      </c>
      <c r="E1002" s="68"/>
      <c r="F1002" s="69">
        <v>1</v>
      </c>
      <c r="G1002" s="70"/>
      <c r="H1002" s="71">
        <v>0.6</v>
      </c>
      <c r="I1002" s="71">
        <v>0</v>
      </c>
      <c r="J1002" s="71">
        <v>0</v>
      </c>
    </row>
    <row r="1003" customFormat="1" ht="12.75" hidden="1" spans="1:10">
      <c r="A1003" s="64"/>
      <c r="B1003" s="73" t="s">
        <v>1904</v>
      </c>
      <c r="C1003" s="66" t="s">
        <v>1905</v>
      </c>
      <c r="D1003" s="67">
        <v>0.2174</v>
      </c>
      <c r="E1003" s="68"/>
      <c r="F1003" s="69">
        <v>1</v>
      </c>
      <c r="G1003" s="70"/>
      <c r="H1003" s="71">
        <v>0.5</v>
      </c>
      <c r="I1003" s="71">
        <v>0</v>
      </c>
      <c r="J1003" s="71">
        <v>0</v>
      </c>
    </row>
    <row r="1004" customFormat="1" ht="25.5" hidden="1" spans="1:10">
      <c r="A1004" s="64"/>
      <c r="B1004" s="73" t="s">
        <v>1906</v>
      </c>
      <c r="C1004" s="66" t="s">
        <v>1907</v>
      </c>
      <c r="D1004" s="67">
        <v>0.5217</v>
      </c>
      <c r="E1004" s="68"/>
      <c r="F1004" s="69">
        <v>2.5</v>
      </c>
      <c r="G1004" s="70"/>
      <c r="H1004" s="71">
        <v>1.2</v>
      </c>
      <c r="I1004" s="71">
        <v>0</v>
      </c>
      <c r="J1004" s="71">
        <v>0</v>
      </c>
    </row>
    <row r="1005" customFormat="1" ht="12.75" hidden="1" spans="1:10">
      <c r="A1005" s="64"/>
      <c r="B1005" s="73" t="s">
        <v>1908</v>
      </c>
      <c r="C1005" s="66" t="s">
        <v>1909</v>
      </c>
      <c r="D1005" s="67">
        <v>0.0435</v>
      </c>
      <c r="E1005" s="68"/>
      <c r="F1005" s="69">
        <v>0.2</v>
      </c>
      <c r="G1005" s="70"/>
      <c r="H1005" s="71">
        <v>0.1</v>
      </c>
      <c r="I1005" s="71">
        <v>0</v>
      </c>
      <c r="J1005" s="71">
        <v>0</v>
      </c>
    </row>
    <row r="1006" customFormat="1" ht="25.5" hidden="1" spans="1:10">
      <c r="A1006" s="64"/>
      <c r="B1006" s="73" t="s">
        <v>1910</v>
      </c>
      <c r="C1006" s="66" t="s">
        <v>1911</v>
      </c>
      <c r="D1006" s="67">
        <v>2.3478</v>
      </c>
      <c r="E1006" s="68"/>
      <c r="F1006" s="69">
        <v>8.6</v>
      </c>
      <c r="G1006" s="70"/>
      <c r="H1006" s="71">
        <v>5.4</v>
      </c>
      <c r="I1006" s="71">
        <v>0</v>
      </c>
      <c r="J1006" s="71">
        <v>0</v>
      </c>
    </row>
    <row r="1007" customFormat="1" ht="12.75" hidden="1" spans="1:10">
      <c r="A1007" s="64"/>
      <c r="B1007" s="73" t="s">
        <v>1912</v>
      </c>
      <c r="C1007" s="66" t="s">
        <v>1913</v>
      </c>
      <c r="D1007" s="67">
        <v>0.9565</v>
      </c>
      <c r="E1007" s="68"/>
      <c r="F1007" s="69">
        <v>3.5</v>
      </c>
      <c r="G1007" s="70"/>
      <c r="H1007" s="71">
        <v>2.2</v>
      </c>
      <c r="I1007" s="71">
        <v>0</v>
      </c>
      <c r="J1007" s="71">
        <v>0</v>
      </c>
    </row>
    <row r="1008" customFormat="1" ht="12.75" hidden="1" spans="1:10">
      <c r="A1008" s="64"/>
      <c r="B1008" s="73" t="s">
        <v>1914</v>
      </c>
      <c r="C1008" s="66" t="s">
        <v>1915</v>
      </c>
      <c r="D1008" s="67">
        <v>2</v>
      </c>
      <c r="E1008" s="68"/>
      <c r="F1008" s="69">
        <v>7.5</v>
      </c>
      <c r="G1008" s="70"/>
      <c r="H1008" s="71">
        <v>4.6</v>
      </c>
      <c r="I1008" s="71">
        <v>0</v>
      </c>
      <c r="J1008" s="71">
        <v>0</v>
      </c>
    </row>
    <row r="1009" customFormat="1" ht="25.5" hidden="1" spans="1:10">
      <c r="A1009" s="64"/>
      <c r="B1009" s="73" t="s">
        <v>1916</v>
      </c>
      <c r="C1009" s="66" t="s">
        <v>1917</v>
      </c>
      <c r="D1009" s="67">
        <v>1.5217</v>
      </c>
      <c r="E1009" s="68"/>
      <c r="F1009" s="69">
        <v>5.6</v>
      </c>
      <c r="G1009" s="70"/>
      <c r="H1009" s="71">
        <v>3.5</v>
      </c>
      <c r="I1009" s="71">
        <v>0</v>
      </c>
      <c r="J1009" s="71">
        <v>0</v>
      </c>
    </row>
    <row r="1010" customFormat="1" ht="12.75" hidden="1" spans="1:10">
      <c r="A1010" s="64"/>
      <c r="B1010" s="73" t="s">
        <v>1918</v>
      </c>
      <c r="C1010" s="66" t="s">
        <v>1919</v>
      </c>
      <c r="D1010" s="67">
        <v>1.6087</v>
      </c>
      <c r="E1010" s="68"/>
      <c r="F1010" s="69">
        <v>5.9</v>
      </c>
      <c r="G1010" s="70"/>
      <c r="H1010" s="71">
        <v>3.7</v>
      </c>
      <c r="I1010" s="71">
        <v>0</v>
      </c>
      <c r="J1010" s="71">
        <v>0</v>
      </c>
    </row>
    <row r="1011" customFormat="1" ht="12.75" hidden="1" spans="1:10">
      <c r="A1011" s="64"/>
      <c r="B1011" s="73" t="s">
        <v>1920</v>
      </c>
      <c r="C1011" s="66" t="s">
        <v>1921</v>
      </c>
      <c r="D1011" s="67">
        <v>2.4348</v>
      </c>
      <c r="E1011" s="68"/>
      <c r="F1011" s="69">
        <v>9</v>
      </c>
      <c r="G1011" s="70"/>
      <c r="H1011" s="71">
        <v>5.6</v>
      </c>
      <c r="I1011" s="71">
        <v>0</v>
      </c>
      <c r="J1011" s="71">
        <v>0</v>
      </c>
    </row>
    <row r="1012" customFormat="1" ht="12.75" hidden="1" spans="1:10">
      <c r="A1012" s="64"/>
      <c r="B1012" s="73" t="s">
        <v>1922</v>
      </c>
      <c r="C1012" s="66" t="s">
        <v>1923</v>
      </c>
      <c r="D1012" s="67">
        <v>0.4783</v>
      </c>
      <c r="E1012" s="68"/>
      <c r="F1012" s="69">
        <v>1.7</v>
      </c>
      <c r="G1012" s="70"/>
      <c r="H1012" s="71">
        <v>1.1</v>
      </c>
      <c r="I1012" s="71">
        <v>0</v>
      </c>
      <c r="J1012" s="71">
        <v>0</v>
      </c>
    </row>
    <row r="1013" customFormat="1" ht="12.75" hidden="1" spans="1:10">
      <c r="A1013" s="64"/>
      <c r="B1013" s="73" t="s">
        <v>1924</v>
      </c>
      <c r="C1013" s="66" t="s">
        <v>1925</v>
      </c>
      <c r="D1013" s="67">
        <v>0.6087</v>
      </c>
      <c r="E1013" s="68"/>
      <c r="F1013" s="69">
        <v>3</v>
      </c>
      <c r="G1013" s="70"/>
      <c r="H1013" s="71">
        <v>1.4</v>
      </c>
      <c r="I1013" s="71">
        <v>0</v>
      </c>
      <c r="J1013" s="71">
        <v>0</v>
      </c>
    </row>
    <row r="1014" customFormat="1" ht="12.75" hidden="1" spans="1:10">
      <c r="A1014" s="64"/>
      <c r="B1014" s="73" t="s">
        <v>1926</v>
      </c>
      <c r="C1014" s="66" t="s">
        <v>1927</v>
      </c>
      <c r="D1014" s="67">
        <v>0.7391</v>
      </c>
      <c r="E1014" s="68"/>
      <c r="F1014" s="69">
        <v>3</v>
      </c>
      <c r="G1014" s="70"/>
      <c r="H1014" s="71">
        <v>1.7</v>
      </c>
      <c r="I1014" s="71">
        <v>0</v>
      </c>
      <c r="J1014" s="71">
        <v>0</v>
      </c>
    </row>
    <row r="1015" customFormat="1" ht="12.75" hidden="1" spans="1:10">
      <c r="A1015" s="64"/>
      <c r="B1015" s="73" t="s">
        <v>1928</v>
      </c>
      <c r="C1015" s="66" t="s">
        <v>1929</v>
      </c>
      <c r="D1015" s="67">
        <v>1.1739</v>
      </c>
      <c r="E1015" s="68"/>
      <c r="F1015" s="69">
        <v>6</v>
      </c>
      <c r="G1015" s="70"/>
      <c r="H1015" s="71">
        <v>2.7</v>
      </c>
      <c r="I1015" s="71">
        <v>0</v>
      </c>
      <c r="J1015" s="71">
        <v>0</v>
      </c>
    </row>
    <row r="1016" customFormat="1" ht="12.75" hidden="1" spans="1:10">
      <c r="A1016" s="64"/>
      <c r="B1016" s="73" t="s">
        <v>1930</v>
      </c>
      <c r="C1016" s="66" t="s">
        <v>1931</v>
      </c>
      <c r="D1016" s="67">
        <v>1.6522</v>
      </c>
      <c r="E1016" s="68"/>
      <c r="F1016" s="69">
        <v>6.1</v>
      </c>
      <c r="G1016" s="70"/>
      <c r="H1016" s="71">
        <v>3.8</v>
      </c>
      <c r="I1016" s="71">
        <v>0</v>
      </c>
      <c r="J1016" s="71">
        <v>0</v>
      </c>
    </row>
    <row r="1017" customFormat="1" ht="12.75" hidden="1" spans="1:10">
      <c r="A1017" s="64"/>
      <c r="B1017" s="73" t="s">
        <v>1932</v>
      </c>
      <c r="C1017" s="66" t="s">
        <v>1933</v>
      </c>
      <c r="D1017" s="67">
        <v>1.913</v>
      </c>
      <c r="E1017" s="68"/>
      <c r="F1017" s="69">
        <v>7</v>
      </c>
      <c r="G1017" s="70"/>
      <c r="H1017" s="71">
        <v>4.4</v>
      </c>
      <c r="I1017" s="71">
        <v>0</v>
      </c>
      <c r="J1017" s="71">
        <v>0</v>
      </c>
    </row>
    <row r="1018" customFormat="1" ht="12.75" hidden="1" spans="1:10">
      <c r="A1018" s="64"/>
      <c r="B1018" s="73" t="s">
        <v>1934</v>
      </c>
      <c r="C1018" s="66" t="s">
        <v>1935</v>
      </c>
      <c r="D1018" s="67">
        <v>1.3913</v>
      </c>
      <c r="E1018" s="68"/>
      <c r="F1018" s="69">
        <v>5.1</v>
      </c>
      <c r="G1018" s="70"/>
      <c r="H1018" s="71">
        <v>3.2</v>
      </c>
      <c r="I1018" s="71">
        <v>0</v>
      </c>
      <c r="J1018" s="71">
        <v>0</v>
      </c>
    </row>
    <row r="1019" customFormat="1" ht="12.75" hidden="1" spans="1:10">
      <c r="A1019" s="64"/>
      <c r="B1019" s="73" t="s">
        <v>1936</v>
      </c>
      <c r="C1019" s="66" t="s">
        <v>1937</v>
      </c>
      <c r="D1019" s="67">
        <v>1.913</v>
      </c>
      <c r="E1019" s="68"/>
      <c r="F1019" s="69">
        <v>7</v>
      </c>
      <c r="G1019" s="70"/>
      <c r="H1019" s="71">
        <v>4.4</v>
      </c>
      <c r="I1019" s="71">
        <v>0</v>
      </c>
      <c r="J1019" s="71">
        <v>0</v>
      </c>
    </row>
    <row r="1020" customFormat="1" ht="12.75" hidden="1" spans="1:10">
      <c r="A1020" s="64"/>
      <c r="B1020" s="73" t="s">
        <v>1938</v>
      </c>
      <c r="C1020" s="66" t="s">
        <v>1939</v>
      </c>
      <c r="D1020" s="67">
        <v>1.6522</v>
      </c>
      <c r="E1020" s="68"/>
      <c r="F1020" s="69">
        <v>6.1</v>
      </c>
      <c r="G1020" s="70"/>
      <c r="H1020" s="71">
        <v>3.8</v>
      </c>
      <c r="I1020" s="71">
        <v>0</v>
      </c>
      <c r="J1020" s="71">
        <v>0</v>
      </c>
    </row>
    <row r="1021" customFormat="1" ht="12.75" hidden="1" spans="1:10">
      <c r="A1021" s="64"/>
      <c r="B1021" s="73" t="s">
        <v>1940</v>
      </c>
      <c r="C1021" s="66" t="s">
        <v>1941</v>
      </c>
      <c r="D1021" s="67">
        <v>1.3913</v>
      </c>
      <c r="E1021" s="68"/>
      <c r="F1021" s="69">
        <v>5.1</v>
      </c>
      <c r="G1021" s="70"/>
      <c r="H1021" s="71">
        <v>3.2</v>
      </c>
      <c r="I1021" s="71">
        <v>0</v>
      </c>
      <c r="J1021" s="71">
        <v>0</v>
      </c>
    </row>
    <row r="1022" customFormat="1" ht="12.75" hidden="1" spans="1:10">
      <c r="A1022" s="64"/>
      <c r="B1022" s="73" t="s">
        <v>1942</v>
      </c>
      <c r="C1022" s="66" t="s">
        <v>1943</v>
      </c>
      <c r="D1022" s="67">
        <v>2.2174</v>
      </c>
      <c r="E1022" s="68"/>
      <c r="F1022" s="69">
        <v>8.2</v>
      </c>
      <c r="G1022" s="70"/>
      <c r="H1022" s="71">
        <v>5.1</v>
      </c>
      <c r="I1022" s="71">
        <v>0</v>
      </c>
      <c r="J1022" s="71">
        <v>0</v>
      </c>
    </row>
    <row r="1023" customFormat="1" ht="12.75" hidden="1" spans="1:10">
      <c r="A1023" s="64"/>
      <c r="B1023" s="73" t="s">
        <v>1944</v>
      </c>
      <c r="C1023" s="66" t="s">
        <v>1945</v>
      </c>
      <c r="D1023" s="67">
        <v>4.913</v>
      </c>
      <c r="E1023" s="68"/>
      <c r="F1023" s="79">
        <v>18.1</v>
      </c>
      <c r="G1023" s="80"/>
      <c r="H1023" s="71">
        <v>11.3</v>
      </c>
      <c r="I1023" s="71">
        <v>0</v>
      </c>
      <c r="J1023" s="71">
        <v>0</v>
      </c>
    </row>
    <row r="1024" customFormat="1" ht="12.75" hidden="1" spans="1:10">
      <c r="A1024" s="64"/>
      <c r="B1024" s="73" t="s">
        <v>1946</v>
      </c>
      <c r="C1024" s="66" t="s">
        <v>1947</v>
      </c>
      <c r="D1024" s="67">
        <v>0.2174</v>
      </c>
      <c r="E1024" s="68"/>
      <c r="F1024" s="69">
        <v>0.6</v>
      </c>
      <c r="G1024" s="70"/>
      <c r="H1024" s="71">
        <v>0.5</v>
      </c>
      <c r="I1024" s="71">
        <v>0</v>
      </c>
      <c r="J1024" s="71">
        <v>0</v>
      </c>
    </row>
    <row r="1025" customFormat="1" ht="12.75" hidden="1" spans="1:10">
      <c r="A1025" s="64"/>
      <c r="B1025" s="73" t="s">
        <v>1948</v>
      </c>
      <c r="C1025" s="66" t="s">
        <v>1949</v>
      </c>
      <c r="D1025" s="67">
        <v>0.2609</v>
      </c>
      <c r="E1025" s="68"/>
      <c r="F1025" s="69">
        <v>1</v>
      </c>
      <c r="G1025" s="70"/>
      <c r="H1025" s="71">
        <v>0.6</v>
      </c>
      <c r="I1025" s="71">
        <v>0</v>
      </c>
      <c r="J1025" s="71">
        <v>0</v>
      </c>
    </row>
    <row r="1026" customFormat="1" ht="12.75" hidden="1" spans="1:10">
      <c r="A1026" s="64"/>
      <c r="B1026" s="73" t="s">
        <v>1950</v>
      </c>
      <c r="C1026" s="66" t="s">
        <v>1951</v>
      </c>
      <c r="D1026" s="67">
        <v>7.4913</v>
      </c>
      <c r="E1026" s="68"/>
      <c r="F1026" s="79">
        <v>28</v>
      </c>
      <c r="G1026" s="80"/>
      <c r="H1026" s="71">
        <v>17.23</v>
      </c>
      <c r="I1026" s="71">
        <v>0</v>
      </c>
      <c r="J1026" s="71">
        <v>0</v>
      </c>
    </row>
    <row r="1027" customFormat="1" ht="12.75" hidden="1" spans="1:10">
      <c r="A1027" s="64"/>
      <c r="B1027" s="73" t="s">
        <v>1952</v>
      </c>
      <c r="C1027" s="66" t="s">
        <v>1953</v>
      </c>
      <c r="D1027" s="67">
        <v>6.6522</v>
      </c>
      <c r="E1027" s="68"/>
      <c r="F1027" s="79">
        <v>24.4</v>
      </c>
      <c r="G1027" s="80"/>
      <c r="H1027" s="71">
        <v>15.3</v>
      </c>
      <c r="I1027" s="71">
        <v>0</v>
      </c>
      <c r="J1027" s="71">
        <v>0</v>
      </c>
    </row>
    <row r="1028" customFormat="1" ht="12.75" hidden="1" spans="1:10">
      <c r="A1028" s="64"/>
      <c r="B1028" s="73" t="s">
        <v>1954</v>
      </c>
      <c r="C1028" s="66" t="s">
        <v>1955</v>
      </c>
      <c r="D1028" s="82">
        <v>10.4783</v>
      </c>
      <c r="E1028" s="83"/>
      <c r="F1028" s="79">
        <v>38.5</v>
      </c>
      <c r="G1028" s="80"/>
      <c r="H1028" s="71">
        <v>24.1</v>
      </c>
      <c r="I1028" s="71">
        <v>0</v>
      </c>
      <c r="J1028" s="71">
        <v>0</v>
      </c>
    </row>
    <row r="1029" customFormat="1" ht="12.75" hidden="1" spans="1:10">
      <c r="A1029" s="64"/>
      <c r="B1029" s="73" t="s">
        <v>1956</v>
      </c>
      <c r="C1029" s="66" t="s">
        <v>1957</v>
      </c>
      <c r="D1029" s="82">
        <v>13.1304</v>
      </c>
      <c r="E1029" s="83"/>
      <c r="F1029" s="79">
        <v>48.5</v>
      </c>
      <c r="G1029" s="80"/>
      <c r="H1029" s="71">
        <v>30.2</v>
      </c>
      <c r="I1029" s="71">
        <v>0</v>
      </c>
      <c r="J1029" s="71">
        <v>0</v>
      </c>
    </row>
    <row r="1030" customFormat="1" ht="25.5" hidden="1" spans="1:10">
      <c r="A1030" s="64"/>
      <c r="B1030" s="65">
        <v>6933890371353</v>
      </c>
      <c r="C1030" s="66" t="s">
        <v>1958</v>
      </c>
      <c r="D1030" s="67">
        <v>1.7391</v>
      </c>
      <c r="E1030" s="68"/>
      <c r="F1030" s="69">
        <v>6</v>
      </c>
      <c r="G1030" s="70"/>
      <c r="H1030" s="71">
        <v>4</v>
      </c>
      <c r="I1030" s="71">
        <v>0</v>
      </c>
      <c r="J1030" s="71">
        <v>0</v>
      </c>
    </row>
    <row r="1031" customFormat="1" ht="12.75" hidden="1" spans="1:10">
      <c r="A1031" s="64"/>
      <c r="B1031" s="73" t="s">
        <v>1959</v>
      </c>
      <c r="C1031" s="66" t="s">
        <v>1960</v>
      </c>
      <c r="D1031" s="67">
        <v>0.3043</v>
      </c>
      <c r="E1031" s="68"/>
      <c r="F1031" s="69">
        <v>1.1</v>
      </c>
      <c r="G1031" s="70"/>
      <c r="H1031" s="71">
        <v>0.7</v>
      </c>
      <c r="I1031" s="71">
        <v>0</v>
      </c>
      <c r="J1031" s="71">
        <v>0</v>
      </c>
    </row>
    <row r="1032" customFormat="1" ht="12.75" hidden="1" spans="1:10">
      <c r="A1032" s="64"/>
      <c r="B1032" s="73" t="s">
        <v>1961</v>
      </c>
      <c r="C1032" s="66" t="s">
        <v>1962</v>
      </c>
      <c r="D1032" s="67">
        <v>0.8261</v>
      </c>
      <c r="E1032" s="68"/>
      <c r="F1032" s="69">
        <v>3.1</v>
      </c>
      <c r="G1032" s="70"/>
      <c r="H1032" s="71">
        <v>1.9</v>
      </c>
      <c r="I1032" s="71">
        <v>0</v>
      </c>
      <c r="J1032" s="71">
        <v>0</v>
      </c>
    </row>
    <row r="1033" customFormat="1" ht="12.75" hidden="1" spans="1:10">
      <c r="A1033" s="64"/>
      <c r="B1033" s="73" t="s">
        <v>1963</v>
      </c>
      <c r="C1033" s="66" t="s">
        <v>1964</v>
      </c>
      <c r="D1033" s="67">
        <v>0.1739</v>
      </c>
      <c r="E1033" s="68"/>
      <c r="F1033" s="69">
        <v>0.6</v>
      </c>
      <c r="G1033" s="70"/>
      <c r="H1033" s="71">
        <v>0.4</v>
      </c>
      <c r="I1033" s="71">
        <v>0</v>
      </c>
      <c r="J1033" s="71">
        <v>0</v>
      </c>
    </row>
    <row r="1034" customFormat="1" ht="22.5" hidden="1" spans="1:10">
      <c r="A1034" s="74"/>
      <c r="B1034" s="81" t="s">
        <v>1965</v>
      </c>
      <c r="C1034" s="66" t="s">
        <v>1966</v>
      </c>
      <c r="D1034" s="67">
        <v>0.4348</v>
      </c>
      <c r="E1034" s="68"/>
      <c r="F1034" s="69">
        <v>0</v>
      </c>
      <c r="G1034" s="70"/>
      <c r="H1034" s="71">
        <v>0</v>
      </c>
      <c r="I1034" s="71">
        <v>1</v>
      </c>
      <c r="J1034" s="71">
        <v>0.5</v>
      </c>
    </row>
    <row r="1035" customFormat="1" ht="12.75" hidden="1" spans="1:10">
      <c r="A1035" s="75"/>
      <c r="B1035" s="73" t="s">
        <v>1967</v>
      </c>
      <c r="C1035" s="66" t="s">
        <v>1966</v>
      </c>
      <c r="D1035" s="67">
        <v>0.1304</v>
      </c>
      <c r="E1035" s="68"/>
      <c r="F1035" s="69">
        <v>1</v>
      </c>
      <c r="G1035" s="70"/>
      <c r="H1035" s="71">
        <v>0.5</v>
      </c>
      <c r="I1035" s="71">
        <v>0</v>
      </c>
      <c r="J1035" s="71">
        <v>0</v>
      </c>
    </row>
    <row r="1036" customFormat="1" ht="12.75" hidden="1" spans="1:10">
      <c r="A1036" s="64"/>
      <c r="B1036" s="73" t="s">
        <v>1968</v>
      </c>
      <c r="C1036" s="66" t="s">
        <v>1969</v>
      </c>
      <c r="D1036" s="67">
        <v>2.1739</v>
      </c>
      <c r="E1036" s="68"/>
      <c r="F1036" s="69">
        <v>0</v>
      </c>
      <c r="G1036" s="70"/>
      <c r="H1036" s="71">
        <v>0</v>
      </c>
      <c r="I1036" s="71">
        <v>5</v>
      </c>
      <c r="J1036" s="71">
        <v>4</v>
      </c>
    </row>
    <row r="1037" customFormat="1" ht="12.75" hidden="1" spans="1:10">
      <c r="A1037" s="64"/>
      <c r="B1037" s="73" t="s">
        <v>1970</v>
      </c>
      <c r="C1037" s="66" t="s">
        <v>1971</v>
      </c>
      <c r="D1037" s="67">
        <v>1.087</v>
      </c>
      <c r="E1037" s="68"/>
      <c r="F1037" s="69">
        <v>5</v>
      </c>
      <c r="G1037" s="70"/>
      <c r="H1037" s="71">
        <v>2.5</v>
      </c>
      <c r="I1037" s="71">
        <v>0</v>
      </c>
      <c r="J1037" s="71">
        <v>0</v>
      </c>
    </row>
    <row r="1038" customFormat="1" ht="12.75" hidden="1" spans="1:10">
      <c r="A1038" s="64"/>
      <c r="B1038" s="73" t="s">
        <v>1972</v>
      </c>
      <c r="C1038" s="66" t="s">
        <v>1973</v>
      </c>
      <c r="D1038" s="67">
        <v>0.4348</v>
      </c>
      <c r="E1038" s="68"/>
      <c r="F1038" s="69">
        <v>1.6</v>
      </c>
      <c r="G1038" s="70"/>
      <c r="H1038" s="71">
        <v>1</v>
      </c>
      <c r="I1038" s="71">
        <v>0</v>
      </c>
      <c r="J1038" s="71">
        <v>0</v>
      </c>
    </row>
    <row r="1039" customFormat="1" ht="12.75" hidden="1" spans="1:10">
      <c r="A1039" s="64"/>
      <c r="B1039" s="73" t="s">
        <v>1974</v>
      </c>
      <c r="C1039" s="66" t="s">
        <v>1975</v>
      </c>
      <c r="D1039" s="67">
        <v>0.6522</v>
      </c>
      <c r="E1039" s="68"/>
      <c r="F1039" s="69">
        <v>2</v>
      </c>
      <c r="G1039" s="70"/>
      <c r="H1039" s="71">
        <v>1.5</v>
      </c>
      <c r="I1039" s="71">
        <v>0</v>
      </c>
      <c r="J1039" s="71">
        <v>0</v>
      </c>
    </row>
    <row r="1040" customFormat="1" ht="25.5" hidden="1" spans="1:10">
      <c r="A1040" s="64"/>
      <c r="B1040" s="73" t="s">
        <v>1976</v>
      </c>
      <c r="C1040" s="66" t="s">
        <v>1977</v>
      </c>
      <c r="D1040" s="67">
        <v>0.2174</v>
      </c>
      <c r="E1040" s="68"/>
      <c r="F1040" s="69">
        <v>1</v>
      </c>
      <c r="G1040" s="70"/>
      <c r="H1040" s="71">
        <v>0.5</v>
      </c>
      <c r="I1040" s="71">
        <v>0</v>
      </c>
      <c r="J1040" s="71">
        <v>0</v>
      </c>
    </row>
    <row r="1041" customFormat="1" ht="25.5" hidden="1" spans="1:10">
      <c r="A1041" s="64"/>
      <c r="B1041" s="73" t="s">
        <v>1978</v>
      </c>
      <c r="C1041" s="66" t="s">
        <v>1979</v>
      </c>
      <c r="D1041" s="67">
        <v>0.2174</v>
      </c>
      <c r="E1041" s="68"/>
      <c r="F1041" s="69">
        <v>0.8</v>
      </c>
      <c r="G1041" s="70"/>
      <c r="H1041" s="71">
        <v>0.5</v>
      </c>
      <c r="I1041" s="71">
        <v>0</v>
      </c>
      <c r="J1041" s="71">
        <v>0</v>
      </c>
    </row>
    <row r="1042" customFormat="1" ht="12.75" hidden="1" spans="1:10">
      <c r="A1042" s="64"/>
      <c r="B1042" s="73" t="s">
        <v>1980</v>
      </c>
      <c r="C1042" s="66" t="s">
        <v>1981</v>
      </c>
      <c r="D1042" s="67">
        <v>0.2174</v>
      </c>
      <c r="E1042" s="68"/>
      <c r="F1042" s="69">
        <v>1</v>
      </c>
      <c r="G1042" s="70"/>
      <c r="H1042" s="71">
        <v>0.5</v>
      </c>
      <c r="I1042" s="71">
        <v>0</v>
      </c>
      <c r="J1042" s="71">
        <v>0</v>
      </c>
    </row>
    <row r="1043" customFormat="1" ht="25.5" hidden="1" spans="1:10">
      <c r="A1043" s="64"/>
      <c r="B1043" s="73" t="s">
        <v>1982</v>
      </c>
      <c r="C1043" s="66" t="s">
        <v>1983</v>
      </c>
      <c r="D1043" s="67">
        <v>0.2174</v>
      </c>
      <c r="E1043" s="68"/>
      <c r="F1043" s="69">
        <v>0.8</v>
      </c>
      <c r="G1043" s="70"/>
      <c r="H1043" s="71">
        <v>0.5</v>
      </c>
      <c r="I1043" s="71">
        <v>0</v>
      </c>
      <c r="J1043" s="71">
        <v>0</v>
      </c>
    </row>
    <row r="1044" customFormat="1" ht="25.5" hidden="1" spans="1:10">
      <c r="A1044" s="64"/>
      <c r="B1044" s="73" t="s">
        <v>1984</v>
      </c>
      <c r="C1044" s="66" t="s">
        <v>1985</v>
      </c>
      <c r="D1044" s="67">
        <v>0.2174</v>
      </c>
      <c r="E1044" s="68"/>
      <c r="F1044" s="69">
        <v>1</v>
      </c>
      <c r="G1044" s="70"/>
      <c r="H1044" s="71">
        <v>0.5</v>
      </c>
      <c r="I1044" s="71">
        <v>0</v>
      </c>
      <c r="J1044" s="71">
        <v>0</v>
      </c>
    </row>
    <row r="1045" customFormat="1" ht="12.75" hidden="1" spans="1:10">
      <c r="A1045" s="64"/>
      <c r="B1045" s="73" t="s">
        <v>1986</v>
      </c>
      <c r="C1045" s="66" t="s">
        <v>1987</v>
      </c>
      <c r="D1045" s="67">
        <v>0.3913</v>
      </c>
      <c r="E1045" s="68"/>
      <c r="F1045" s="69">
        <v>1</v>
      </c>
      <c r="G1045" s="70"/>
      <c r="H1045" s="71">
        <v>0.9</v>
      </c>
      <c r="I1045" s="71">
        <v>0</v>
      </c>
      <c r="J1045" s="71">
        <v>0</v>
      </c>
    </row>
    <row r="1046" customFormat="1" ht="12.75" hidden="1" spans="1:10">
      <c r="A1046" s="64"/>
      <c r="B1046" s="73" t="s">
        <v>1988</v>
      </c>
      <c r="C1046" s="66" t="s">
        <v>1989</v>
      </c>
      <c r="D1046" s="67">
        <v>0.1304</v>
      </c>
      <c r="E1046" s="68"/>
      <c r="F1046" s="69">
        <v>0.5</v>
      </c>
      <c r="G1046" s="70"/>
      <c r="H1046" s="71">
        <v>0.3</v>
      </c>
      <c r="I1046" s="71">
        <v>0</v>
      </c>
      <c r="J1046" s="71">
        <v>0</v>
      </c>
    </row>
    <row r="1047" customFormat="1" ht="12.75" hidden="1" spans="1:10">
      <c r="A1047" s="64"/>
      <c r="B1047" s="73" t="s">
        <v>1990</v>
      </c>
      <c r="C1047" s="66" t="s">
        <v>1991</v>
      </c>
      <c r="D1047" s="67">
        <v>0.2174</v>
      </c>
      <c r="E1047" s="68"/>
      <c r="F1047" s="69">
        <v>1</v>
      </c>
      <c r="G1047" s="70"/>
      <c r="H1047" s="71">
        <v>0.5</v>
      </c>
      <c r="I1047" s="71">
        <v>0</v>
      </c>
      <c r="J1047" s="71">
        <v>0</v>
      </c>
    </row>
    <row r="1048" customFormat="1" ht="25.5" hidden="1" spans="1:10">
      <c r="A1048" s="64"/>
      <c r="B1048" s="73" t="s">
        <v>1992</v>
      </c>
      <c r="C1048" s="66" t="s">
        <v>1993</v>
      </c>
      <c r="D1048" s="67">
        <v>0.2174</v>
      </c>
      <c r="E1048" s="68"/>
      <c r="F1048" s="69">
        <v>1</v>
      </c>
      <c r="G1048" s="70"/>
      <c r="H1048" s="71">
        <v>0.5</v>
      </c>
      <c r="I1048" s="71">
        <v>0</v>
      </c>
      <c r="J1048" s="71">
        <v>0</v>
      </c>
    </row>
    <row r="1049" customFormat="1" ht="12.75" hidden="1" spans="1:10">
      <c r="A1049" s="64"/>
      <c r="B1049" s="73" t="s">
        <v>1994</v>
      </c>
      <c r="C1049" s="66" t="s">
        <v>1995</v>
      </c>
      <c r="D1049" s="67">
        <v>0.1304</v>
      </c>
      <c r="E1049" s="68"/>
      <c r="F1049" s="69">
        <v>0.5</v>
      </c>
      <c r="G1049" s="70"/>
      <c r="H1049" s="71">
        <v>0.3</v>
      </c>
      <c r="I1049" s="71">
        <v>0</v>
      </c>
      <c r="J1049" s="71">
        <v>0</v>
      </c>
    </row>
    <row r="1050" customFormat="1" ht="25.5" hidden="1" spans="1:10">
      <c r="A1050" s="64"/>
      <c r="B1050" s="73" t="s">
        <v>1996</v>
      </c>
      <c r="C1050" s="66" t="s">
        <v>1997</v>
      </c>
      <c r="D1050" s="67">
        <v>0.4348</v>
      </c>
      <c r="E1050" s="68"/>
      <c r="F1050" s="69">
        <v>1.7</v>
      </c>
      <c r="G1050" s="70"/>
      <c r="H1050" s="71">
        <v>1</v>
      </c>
      <c r="I1050" s="71">
        <v>0</v>
      </c>
      <c r="J1050" s="71">
        <v>0</v>
      </c>
    </row>
    <row r="1051" customFormat="1" ht="25.5" hidden="1" spans="1:10">
      <c r="A1051" s="64"/>
      <c r="B1051" s="73" t="s">
        <v>1998</v>
      </c>
      <c r="C1051" s="66" t="s">
        <v>1999</v>
      </c>
      <c r="D1051" s="67">
        <v>0.087</v>
      </c>
      <c r="E1051" s="68"/>
      <c r="F1051" s="69">
        <v>0.5</v>
      </c>
      <c r="G1051" s="70"/>
      <c r="H1051" s="71">
        <v>0.2</v>
      </c>
      <c r="I1051" s="71">
        <v>0</v>
      </c>
      <c r="J1051" s="71">
        <v>0</v>
      </c>
    </row>
    <row r="1052" customFormat="1" ht="12.75" hidden="1" spans="1:10">
      <c r="A1052" s="64"/>
      <c r="B1052" s="73" t="s">
        <v>2000</v>
      </c>
      <c r="C1052" s="66" t="s">
        <v>2001</v>
      </c>
      <c r="D1052" s="67">
        <v>0.4348</v>
      </c>
      <c r="E1052" s="68"/>
      <c r="F1052" s="69">
        <v>1.5</v>
      </c>
      <c r="G1052" s="70"/>
      <c r="H1052" s="71">
        <v>1</v>
      </c>
      <c r="I1052" s="71">
        <v>0</v>
      </c>
      <c r="J1052" s="71">
        <v>0</v>
      </c>
    </row>
    <row r="1053" customFormat="1" ht="25.5" hidden="1" spans="1:10">
      <c r="A1053" s="64"/>
      <c r="B1053" s="73" t="s">
        <v>2002</v>
      </c>
      <c r="C1053" s="66" t="s">
        <v>2003</v>
      </c>
      <c r="D1053" s="67">
        <v>0.4348</v>
      </c>
      <c r="E1053" s="68"/>
      <c r="F1053" s="69">
        <v>1.5</v>
      </c>
      <c r="G1053" s="70"/>
      <c r="H1053" s="71">
        <v>1</v>
      </c>
      <c r="I1053" s="71">
        <v>0</v>
      </c>
      <c r="J1053" s="71">
        <v>0</v>
      </c>
    </row>
    <row r="1054" customFormat="1" ht="12.75" hidden="1" spans="1:10">
      <c r="A1054" s="64"/>
      <c r="B1054" s="73" t="s">
        <v>2004</v>
      </c>
      <c r="C1054" s="66" t="s">
        <v>2005</v>
      </c>
      <c r="D1054" s="67">
        <v>0.2174</v>
      </c>
      <c r="E1054" s="68"/>
      <c r="F1054" s="69">
        <v>0.8</v>
      </c>
      <c r="G1054" s="70"/>
      <c r="H1054" s="71">
        <v>0.5</v>
      </c>
      <c r="I1054" s="71">
        <v>0</v>
      </c>
      <c r="J1054" s="71">
        <v>0</v>
      </c>
    </row>
    <row r="1055" customFormat="1" ht="12.75" hidden="1" spans="1:10">
      <c r="A1055" s="64"/>
      <c r="B1055" s="73" t="s">
        <v>2006</v>
      </c>
      <c r="C1055" s="66" t="s">
        <v>2007</v>
      </c>
      <c r="D1055" s="67">
        <v>1.087</v>
      </c>
      <c r="E1055" s="68"/>
      <c r="F1055" s="69">
        <v>3</v>
      </c>
      <c r="G1055" s="70"/>
      <c r="H1055" s="71">
        <v>2.5</v>
      </c>
      <c r="I1055" s="71">
        <v>0</v>
      </c>
      <c r="J1055" s="71">
        <v>0</v>
      </c>
    </row>
    <row r="1056" customFormat="1" ht="12.75" hidden="1" spans="1:10">
      <c r="A1056" s="64"/>
      <c r="B1056" s="73" t="s">
        <v>2008</v>
      </c>
      <c r="C1056" s="66" t="s">
        <v>2009</v>
      </c>
      <c r="D1056" s="67">
        <v>0.0435</v>
      </c>
      <c r="E1056" s="68"/>
      <c r="F1056" s="69">
        <v>0.25</v>
      </c>
      <c r="G1056" s="70"/>
      <c r="H1056" s="71">
        <v>0.1</v>
      </c>
      <c r="I1056" s="71">
        <v>0</v>
      </c>
      <c r="J1056" s="71">
        <v>0</v>
      </c>
    </row>
    <row r="1057" ht="12.75" hidden="1" spans="1:21">
      <c r="A1057" s="64"/>
      <c r="B1057" s="73" t="s">
        <v>2010</v>
      </c>
      <c r="C1057" s="66" t="s">
        <v>2011</v>
      </c>
      <c r="D1057" s="67">
        <v>1.3043</v>
      </c>
      <c r="E1057" s="68"/>
      <c r="F1057" s="69">
        <v>4</v>
      </c>
      <c r="G1057" s="70"/>
      <c r="H1057" s="71">
        <v>3</v>
      </c>
      <c r="I1057" s="71">
        <v>0</v>
      </c>
      <c r="J1057" s="71">
        <v>0</v>
      </c>
      <c r="M1057"/>
      <c r="N1057"/>
      <c r="O1057"/>
      <c r="P1057"/>
      <c r="Q1057"/>
      <c r="R1057"/>
      <c r="S1057"/>
      <c r="T1057"/>
      <c r="U1057"/>
    </row>
    <row r="1058" ht="12.75" hidden="1" spans="1:21">
      <c r="A1058" s="64"/>
      <c r="B1058" s="73" t="s">
        <v>2012</v>
      </c>
      <c r="C1058" s="66" t="s">
        <v>2013</v>
      </c>
      <c r="D1058" s="67">
        <v>4</v>
      </c>
      <c r="E1058" s="68"/>
      <c r="F1058" s="79">
        <v>14.6</v>
      </c>
      <c r="G1058" s="80"/>
      <c r="H1058" s="71">
        <v>9.2</v>
      </c>
      <c r="I1058" s="71">
        <v>0</v>
      </c>
      <c r="J1058" s="71">
        <v>0</v>
      </c>
      <c r="M1058"/>
      <c r="N1058"/>
      <c r="O1058"/>
      <c r="P1058"/>
      <c r="Q1058"/>
      <c r="R1058"/>
      <c r="S1058"/>
      <c r="T1058"/>
      <c r="U1058"/>
    </row>
    <row r="1059" ht="12.75" hidden="1" spans="1:21">
      <c r="A1059" s="74"/>
      <c r="B1059" s="73" t="s">
        <v>2014</v>
      </c>
      <c r="C1059" s="66" t="s">
        <v>2015</v>
      </c>
      <c r="D1059" s="67">
        <v>0.1304</v>
      </c>
      <c r="E1059" s="68"/>
      <c r="F1059" s="69">
        <v>0.4</v>
      </c>
      <c r="G1059" s="70"/>
      <c r="H1059" s="71">
        <v>0.3</v>
      </c>
      <c r="I1059" s="71">
        <v>0</v>
      </c>
      <c r="J1059" s="71">
        <v>0</v>
      </c>
      <c r="M1059"/>
      <c r="N1059"/>
      <c r="O1059"/>
      <c r="P1059"/>
      <c r="Q1059"/>
      <c r="R1059"/>
      <c r="S1059"/>
      <c r="T1059"/>
      <c r="U1059"/>
    </row>
    <row r="1060" ht="12.75" hidden="1" spans="1:21">
      <c r="A1060" s="75"/>
      <c r="B1060" s="73" t="s">
        <v>2016</v>
      </c>
      <c r="C1060" s="66" t="s">
        <v>2015</v>
      </c>
      <c r="D1060" s="67">
        <v>0.3913</v>
      </c>
      <c r="E1060" s="68"/>
      <c r="F1060" s="69">
        <v>1.4</v>
      </c>
      <c r="G1060" s="70"/>
      <c r="H1060" s="71">
        <v>0.9</v>
      </c>
      <c r="I1060" s="71">
        <v>0</v>
      </c>
      <c r="J1060" s="71">
        <v>0</v>
      </c>
      <c r="M1060"/>
      <c r="N1060"/>
      <c r="O1060"/>
      <c r="P1060"/>
      <c r="Q1060"/>
      <c r="R1060"/>
      <c r="S1060"/>
      <c r="T1060"/>
      <c r="U1060"/>
    </row>
    <row r="1061" ht="38.25" spans="1:20">
      <c r="A1061" s="72" t="s">
        <v>3773</v>
      </c>
      <c r="B1061" s="73" t="s">
        <v>2017</v>
      </c>
      <c r="C1061" s="66" t="s">
        <v>2018</v>
      </c>
      <c r="D1061" s="67">
        <v>0.087</v>
      </c>
      <c r="E1061" s="68"/>
      <c r="F1061" s="69">
        <v>0.3</v>
      </c>
      <c r="G1061" s="70"/>
      <c r="H1061" s="71">
        <v>0.2</v>
      </c>
      <c r="I1061" s="71"/>
      <c r="J1061" s="71"/>
      <c r="M1061" s="32">
        <v>13</v>
      </c>
      <c r="N1061" s="77">
        <f>+F1061</f>
        <v>0.3</v>
      </c>
      <c r="O1061" s="77">
        <f>+M1061*N1061</f>
        <v>3.9</v>
      </c>
      <c r="R1061" s="3">
        <f>+M1061</f>
        <v>13</v>
      </c>
      <c r="S1061" s="49">
        <f>+H1061</f>
        <v>0.2</v>
      </c>
      <c r="T1061" s="49">
        <f>+R1061*S1061</f>
        <v>2.6</v>
      </c>
    </row>
    <row r="1062" ht="12.75" hidden="1" spans="1:21">
      <c r="A1062" s="64"/>
      <c r="B1062" s="73" t="s">
        <v>2019</v>
      </c>
      <c r="C1062" s="66" t="s">
        <v>2020</v>
      </c>
      <c r="D1062" s="67">
        <v>0.0435</v>
      </c>
      <c r="E1062" s="68"/>
      <c r="F1062" s="69">
        <v>0.25</v>
      </c>
      <c r="G1062" s="70"/>
      <c r="H1062" s="71">
        <v>0.1</v>
      </c>
      <c r="I1062" s="71">
        <v>0</v>
      </c>
      <c r="J1062" s="71">
        <v>0</v>
      </c>
      <c r="M1062"/>
      <c r="N1062"/>
      <c r="O1062"/>
      <c r="P1062"/>
      <c r="Q1062"/>
      <c r="R1062"/>
      <c r="S1062"/>
      <c r="T1062"/>
      <c r="U1062"/>
    </row>
    <row r="1063" ht="12.75" hidden="1" spans="1:21">
      <c r="A1063" s="64"/>
      <c r="B1063" s="73" t="s">
        <v>2021</v>
      </c>
      <c r="C1063" s="66" t="s">
        <v>2022</v>
      </c>
      <c r="D1063" s="67">
        <v>0.0435</v>
      </c>
      <c r="E1063" s="68"/>
      <c r="F1063" s="69">
        <v>0.25</v>
      </c>
      <c r="G1063" s="70"/>
      <c r="H1063" s="71">
        <v>0.1</v>
      </c>
      <c r="I1063" s="71">
        <v>0</v>
      </c>
      <c r="J1063" s="71">
        <v>0</v>
      </c>
      <c r="M1063"/>
      <c r="N1063"/>
      <c r="O1063"/>
      <c r="P1063"/>
      <c r="Q1063"/>
      <c r="R1063"/>
      <c r="S1063"/>
      <c r="T1063"/>
      <c r="U1063"/>
    </row>
    <row r="1064" ht="25.5" hidden="1" spans="1:21">
      <c r="A1064" s="64"/>
      <c r="B1064" s="73" t="s">
        <v>2023</v>
      </c>
      <c r="C1064" s="66" t="s">
        <v>2024</v>
      </c>
      <c r="D1064" s="67">
        <v>3.913</v>
      </c>
      <c r="E1064" s="68"/>
      <c r="F1064" s="79">
        <v>10</v>
      </c>
      <c r="G1064" s="80"/>
      <c r="H1064" s="71">
        <v>9</v>
      </c>
      <c r="I1064" s="71">
        <v>0</v>
      </c>
      <c r="J1064" s="71">
        <v>0</v>
      </c>
      <c r="M1064"/>
      <c r="N1064"/>
      <c r="O1064"/>
      <c r="P1064"/>
      <c r="Q1064"/>
      <c r="R1064"/>
      <c r="S1064"/>
      <c r="T1064"/>
      <c r="U1064"/>
    </row>
    <row r="1065" ht="12.75" hidden="1" spans="1:21">
      <c r="A1065" s="64"/>
      <c r="B1065" s="73" t="s">
        <v>2025</v>
      </c>
      <c r="C1065" s="66" t="s">
        <v>2026</v>
      </c>
      <c r="D1065" s="67">
        <v>0.0652</v>
      </c>
      <c r="E1065" s="68"/>
      <c r="F1065" s="69">
        <v>0.25</v>
      </c>
      <c r="G1065" s="70"/>
      <c r="H1065" s="71">
        <v>0.15</v>
      </c>
      <c r="I1065" s="71">
        <v>0</v>
      </c>
      <c r="J1065" s="71">
        <v>0</v>
      </c>
      <c r="M1065"/>
      <c r="N1065"/>
      <c r="O1065"/>
      <c r="P1065"/>
      <c r="Q1065"/>
      <c r="R1065"/>
      <c r="S1065"/>
      <c r="T1065"/>
      <c r="U1065"/>
    </row>
    <row r="1066" ht="12.75" hidden="1" spans="1:21">
      <c r="A1066" s="64"/>
      <c r="B1066" s="73" t="s">
        <v>2027</v>
      </c>
      <c r="C1066" s="66" t="s">
        <v>2028</v>
      </c>
      <c r="D1066" s="67">
        <v>2.2609</v>
      </c>
      <c r="E1066" s="68"/>
      <c r="F1066" s="69">
        <v>8.3</v>
      </c>
      <c r="G1066" s="70"/>
      <c r="H1066" s="71">
        <v>5.2</v>
      </c>
      <c r="I1066" s="71">
        <v>0</v>
      </c>
      <c r="J1066" s="71">
        <v>0</v>
      </c>
      <c r="M1066"/>
      <c r="N1066"/>
      <c r="O1066"/>
      <c r="P1066"/>
      <c r="Q1066"/>
      <c r="R1066"/>
      <c r="S1066"/>
      <c r="T1066"/>
      <c r="U1066"/>
    </row>
    <row r="1067" ht="12.75" hidden="1" spans="1:21">
      <c r="A1067" s="64"/>
      <c r="B1067" s="73" t="s">
        <v>2029</v>
      </c>
      <c r="C1067" s="66" t="s">
        <v>2030</v>
      </c>
      <c r="D1067" s="67">
        <v>2.5217</v>
      </c>
      <c r="E1067" s="68"/>
      <c r="F1067" s="69">
        <v>9.2</v>
      </c>
      <c r="G1067" s="70"/>
      <c r="H1067" s="71">
        <v>5.8</v>
      </c>
      <c r="I1067" s="71">
        <v>0</v>
      </c>
      <c r="J1067" s="71">
        <v>0</v>
      </c>
      <c r="M1067"/>
      <c r="N1067"/>
      <c r="O1067"/>
      <c r="P1067"/>
      <c r="Q1067"/>
      <c r="R1067"/>
      <c r="S1067"/>
      <c r="T1067"/>
      <c r="U1067"/>
    </row>
    <row r="1068" ht="12.75" hidden="1" spans="1:21">
      <c r="A1068" s="64"/>
      <c r="B1068" s="73" t="s">
        <v>2031</v>
      </c>
      <c r="C1068" s="66" t="s">
        <v>2032</v>
      </c>
      <c r="D1068" s="67">
        <v>0.0435</v>
      </c>
      <c r="E1068" s="68"/>
      <c r="F1068" s="69">
        <v>0.25</v>
      </c>
      <c r="G1068" s="70"/>
      <c r="H1068" s="71">
        <v>0.1</v>
      </c>
      <c r="I1068" s="71">
        <v>0</v>
      </c>
      <c r="J1068" s="71">
        <v>0</v>
      </c>
      <c r="M1068"/>
      <c r="N1068"/>
      <c r="O1068"/>
      <c r="P1068"/>
      <c r="Q1068"/>
      <c r="R1068"/>
      <c r="S1068"/>
      <c r="T1068"/>
      <c r="U1068"/>
    </row>
    <row r="1069" ht="12.75" hidden="1" spans="1:21">
      <c r="A1069" s="64"/>
      <c r="B1069" s="73" t="s">
        <v>2033</v>
      </c>
      <c r="C1069" s="66" t="s">
        <v>2034</v>
      </c>
      <c r="D1069" s="67">
        <v>0.1304</v>
      </c>
      <c r="E1069" s="68"/>
      <c r="F1069" s="69">
        <v>0.4</v>
      </c>
      <c r="G1069" s="70"/>
      <c r="H1069" s="71">
        <v>0.3</v>
      </c>
      <c r="I1069" s="71">
        <v>0</v>
      </c>
      <c r="J1069" s="71">
        <v>0</v>
      </c>
      <c r="M1069"/>
      <c r="N1069"/>
      <c r="O1069"/>
      <c r="P1069"/>
      <c r="Q1069"/>
      <c r="R1069"/>
      <c r="S1069"/>
      <c r="T1069"/>
      <c r="U1069"/>
    </row>
    <row r="1070" ht="12.75" hidden="1" spans="1:21">
      <c r="A1070" s="64"/>
      <c r="B1070" s="73" t="s">
        <v>2035</v>
      </c>
      <c r="C1070" s="66" t="s">
        <v>2036</v>
      </c>
      <c r="D1070" s="67">
        <v>1.3478</v>
      </c>
      <c r="E1070" s="68"/>
      <c r="F1070" s="69">
        <v>5</v>
      </c>
      <c r="G1070" s="70"/>
      <c r="H1070" s="71">
        <v>3.1</v>
      </c>
      <c r="I1070" s="71">
        <v>0</v>
      </c>
      <c r="J1070" s="71">
        <v>0</v>
      </c>
      <c r="M1070"/>
      <c r="N1070"/>
      <c r="O1070"/>
      <c r="P1070"/>
      <c r="Q1070"/>
      <c r="R1070"/>
      <c r="S1070"/>
      <c r="T1070"/>
      <c r="U1070"/>
    </row>
    <row r="1071" ht="25.5" hidden="1" spans="1:21">
      <c r="A1071" s="64"/>
      <c r="B1071" s="73" t="s">
        <v>2037</v>
      </c>
      <c r="C1071" s="66" t="s">
        <v>2038</v>
      </c>
      <c r="D1071" s="67">
        <v>0.1304</v>
      </c>
      <c r="E1071" s="68"/>
      <c r="F1071" s="69">
        <v>0.7</v>
      </c>
      <c r="G1071" s="70"/>
      <c r="H1071" s="71">
        <v>0.3</v>
      </c>
      <c r="I1071" s="71">
        <v>0</v>
      </c>
      <c r="J1071" s="71">
        <v>0</v>
      </c>
      <c r="M1071"/>
      <c r="N1071"/>
      <c r="O1071"/>
      <c r="P1071"/>
      <c r="Q1071"/>
      <c r="R1071"/>
      <c r="S1071"/>
      <c r="T1071"/>
      <c r="U1071"/>
    </row>
    <row r="1072" ht="12.75" hidden="1" spans="1:21">
      <c r="A1072" s="64"/>
      <c r="B1072" s="73" t="s">
        <v>2039</v>
      </c>
      <c r="C1072" s="66" t="s">
        <v>2040</v>
      </c>
      <c r="D1072" s="67">
        <v>0.7391</v>
      </c>
      <c r="E1072" s="68"/>
      <c r="F1072" s="69">
        <v>2.7</v>
      </c>
      <c r="G1072" s="70"/>
      <c r="H1072" s="71">
        <v>1.7</v>
      </c>
      <c r="I1072" s="71">
        <v>0</v>
      </c>
      <c r="J1072" s="71">
        <v>0</v>
      </c>
      <c r="M1072"/>
      <c r="N1072"/>
      <c r="O1072"/>
      <c r="P1072"/>
      <c r="Q1072"/>
      <c r="R1072"/>
      <c r="S1072"/>
      <c r="T1072"/>
      <c r="U1072"/>
    </row>
    <row r="1073" customFormat="1" ht="12.75" hidden="1" spans="1:10">
      <c r="A1073" s="64"/>
      <c r="B1073" s="73" t="s">
        <v>2041</v>
      </c>
      <c r="C1073" s="66" t="s">
        <v>2042</v>
      </c>
      <c r="D1073" s="67">
        <v>0.8696</v>
      </c>
      <c r="E1073" s="68"/>
      <c r="F1073" s="69">
        <v>2.5</v>
      </c>
      <c r="G1073" s="70"/>
      <c r="H1073" s="71">
        <v>2</v>
      </c>
      <c r="I1073" s="71">
        <v>0</v>
      </c>
      <c r="J1073" s="71">
        <v>0</v>
      </c>
    </row>
    <row r="1074" customFormat="1" ht="12.75" hidden="1" spans="1:10">
      <c r="A1074" s="64"/>
      <c r="B1074" s="73" t="s">
        <v>2043</v>
      </c>
      <c r="C1074" s="66" t="s">
        <v>2044</v>
      </c>
      <c r="D1074" s="67">
        <v>0.8261</v>
      </c>
      <c r="E1074" s="68"/>
      <c r="F1074" s="69">
        <v>3</v>
      </c>
      <c r="G1074" s="70"/>
      <c r="H1074" s="71">
        <v>1.9</v>
      </c>
      <c r="I1074" s="71">
        <v>0</v>
      </c>
      <c r="J1074" s="71">
        <v>0</v>
      </c>
    </row>
    <row r="1075" customFormat="1" ht="12.75" hidden="1" spans="1:10">
      <c r="A1075" s="64"/>
      <c r="B1075" s="73" t="s">
        <v>2045</v>
      </c>
      <c r="C1075" s="66" t="s">
        <v>2046</v>
      </c>
      <c r="D1075" s="67">
        <v>0.1739</v>
      </c>
      <c r="E1075" s="68"/>
      <c r="F1075" s="69">
        <v>0.6</v>
      </c>
      <c r="G1075" s="70"/>
      <c r="H1075" s="71">
        <v>0.4</v>
      </c>
      <c r="I1075" s="71">
        <v>0</v>
      </c>
      <c r="J1075" s="71">
        <v>0</v>
      </c>
    </row>
    <row r="1076" customFormat="1" ht="12.75" hidden="1" spans="1:10">
      <c r="A1076" s="64"/>
      <c r="B1076" s="73" t="s">
        <v>2047</v>
      </c>
      <c r="C1076" s="66" t="s">
        <v>2048</v>
      </c>
      <c r="D1076" s="67">
        <v>0.7826</v>
      </c>
      <c r="E1076" s="68"/>
      <c r="F1076" s="69">
        <v>2.8</v>
      </c>
      <c r="G1076" s="70"/>
      <c r="H1076" s="71">
        <v>1.8</v>
      </c>
      <c r="I1076" s="71">
        <v>0</v>
      </c>
      <c r="J1076" s="71">
        <v>0</v>
      </c>
    </row>
    <row r="1077" customFormat="1" ht="12.75" hidden="1" spans="1:10">
      <c r="A1077" s="64"/>
      <c r="B1077" s="73" t="s">
        <v>2049</v>
      </c>
      <c r="C1077" s="66" t="s">
        <v>2050</v>
      </c>
      <c r="D1077" s="67">
        <v>0.6522</v>
      </c>
      <c r="E1077" s="68"/>
      <c r="F1077" s="69">
        <v>2</v>
      </c>
      <c r="G1077" s="70"/>
      <c r="H1077" s="71">
        <v>1.5</v>
      </c>
      <c r="I1077" s="71">
        <v>0</v>
      </c>
      <c r="J1077" s="71">
        <v>0</v>
      </c>
    </row>
    <row r="1078" customFormat="1" ht="12.75" hidden="1" spans="1:10">
      <c r="A1078" s="64"/>
      <c r="B1078" s="73" t="s">
        <v>2051</v>
      </c>
      <c r="C1078" s="66" t="s">
        <v>2052</v>
      </c>
      <c r="D1078" s="67">
        <v>0.4783</v>
      </c>
      <c r="E1078" s="68"/>
      <c r="F1078" s="69">
        <v>2</v>
      </c>
      <c r="G1078" s="70"/>
      <c r="H1078" s="71">
        <v>1.1</v>
      </c>
      <c r="I1078" s="71">
        <v>0</v>
      </c>
      <c r="J1078" s="71">
        <v>0</v>
      </c>
    </row>
    <row r="1079" customFormat="1" ht="12.75" hidden="1" spans="1:10">
      <c r="A1079" s="64"/>
      <c r="B1079" s="73" t="s">
        <v>2053</v>
      </c>
      <c r="C1079" s="66" t="s">
        <v>2054</v>
      </c>
      <c r="D1079" s="67">
        <v>1.7391</v>
      </c>
      <c r="E1079" s="68"/>
      <c r="F1079" s="69">
        <v>6.5</v>
      </c>
      <c r="G1079" s="70"/>
      <c r="H1079" s="71">
        <v>4</v>
      </c>
      <c r="I1079" s="71">
        <v>0</v>
      </c>
      <c r="J1079" s="71">
        <v>0</v>
      </c>
    </row>
    <row r="1080" customFormat="1" ht="12.75" hidden="1" spans="1:10">
      <c r="A1080" s="64"/>
      <c r="B1080" s="73" t="s">
        <v>2055</v>
      </c>
      <c r="C1080" s="66" t="s">
        <v>2056</v>
      </c>
      <c r="D1080" s="67">
        <v>0.5652</v>
      </c>
      <c r="E1080" s="68"/>
      <c r="F1080" s="69">
        <v>2.1</v>
      </c>
      <c r="G1080" s="70"/>
      <c r="H1080" s="71">
        <v>1.3</v>
      </c>
      <c r="I1080" s="71">
        <v>0</v>
      </c>
      <c r="J1080" s="71">
        <v>0</v>
      </c>
    </row>
    <row r="1081" customFormat="1" ht="12.75" hidden="1" spans="1:10">
      <c r="A1081" s="64"/>
      <c r="B1081" s="73" t="s">
        <v>2057</v>
      </c>
      <c r="C1081" s="66" t="s">
        <v>2058</v>
      </c>
      <c r="D1081" s="67">
        <v>0.5217</v>
      </c>
      <c r="E1081" s="68"/>
      <c r="F1081" s="69">
        <v>2</v>
      </c>
      <c r="G1081" s="70"/>
      <c r="H1081" s="71">
        <v>1.2</v>
      </c>
      <c r="I1081" s="71">
        <v>0</v>
      </c>
      <c r="J1081" s="71">
        <v>0</v>
      </c>
    </row>
    <row r="1082" customFormat="1" ht="12.75" hidden="1" spans="1:10">
      <c r="A1082" s="64"/>
      <c r="B1082" s="73" t="s">
        <v>2059</v>
      </c>
      <c r="C1082" s="66" t="s">
        <v>2060</v>
      </c>
      <c r="D1082" s="67">
        <v>0.5435</v>
      </c>
      <c r="E1082" s="68"/>
      <c r="F1082" s="69">
        <v>2</v>
      </c>
      <c r="G1082" s="70"/>
      <c r="H1082" s="71">
        <v>1.25</v>
      </c>
      <c r="I1082" s="71">
        <v>0</v>
      </c>
      <c r="J1082" s="71">
        <v>0</v>
      </c>
    </row>
    <row r="1083" customFormat="1" ht="12.75" hidden="1" spans="1:10">
      <c r="A1083" s="64"/>
      <c r="B1083" s="73" t="s">
        <v>2061</v>
      </c>
      <c r="C1083" s="66" t="s">
        <v>2062</v>
      </c>
      <c r="D1083" s="67">
        <v>0.4783</v>
      </c>
      <c r="E1083" s="68"/>
      <c r="F1083" s="69">
        <v>2</v>
      </c>
      <c r="G1083" s="70"/>
      <c r="H1083" s="71">
        <v>1.1</v>
      </c>
      <c r="I1083" s="71">
        <v>0</v>
      </c>
      <c r="J1083" s="71">
        <v>0</v>
      </c>
    </row>
    <row r="1084" customFormat="1" ht="12.75" hidden="1" spans="1:10">
      <c r="A1084" s="64"/>
      <c r="B1084" s="73" t="s">
        <v>2063</v>
      </c>
      <c r="C1084" s="66" t="s">
        <v>2064</v>
      </c>
      <c r="D1084" s="67">
        <v>2.1304</v>
      </c>
      <c r="E1084" s="68"/>
      <c r="F1084" s="69">
        <v>7.8</v>
      </c>
      <c r="G1084" s="70"/>
      <c r="H1084" s="71">
        <v>4.9</v>
      </c>
      <c r="I1084" s="71">
        <v>0</v>
      </c>
      <c r="J1084" s="71">
        <v>0</v>
      </c>
    </row>
    <row r="1085" customFormat="1" ht="12.75" hidden="1" spans="1:10">
      <c r="A1085" s="64"/>
      <c r="B1085" s="73" t="s">
        <v>2065</v>
      </c>
      <c r="C1085" s="66" t="s">
        <v>2066</v>
      </c>
      <c r="D1085" s="67">
        <v>1.2609</v>
      </c>
      <c r="E1085" s="68"/>
      <c r="F1085" s="69">
        <v>5</v>
      </c>
      <c r="G1085" s="70"/>
      <c r="H1085" s="71">
        <v>2.9</v>
      </c>
      <c r="I1085" s="71">
        <v>0</v>
      </c>
      <c r="J1085" s="71">
        <v>0</v>
      </c>
    </row>
    <row r="1086" customFormat="1" ht="12.75" hidden="1" spans="1:10">
      <c r="A1086" s="64"/>
      <c r="B1086" s="73" t="s">
        <v>2067</v>
      </c>
      <c r="C1086" s="66" t="s">
        <v>2068</v>
      </c>
      <c r="D1086" s="67">
        <v>1.6957</v>
      </c>
      <c r="E1086" s="68"/>
      <c r="F1086" s="69">
        <v>6.2</v>
      </c>
      <c r="G1086" s="70"/>
      <c r="H1086" s="71">
        <v>3.9</v>
      </c>
      <c r="I1086" s="71">
        <v>0</v>
      </c>
      <c r="J1086" s="71">
        <v>0</v>
      </c>
    </row>
    <row r="1087" customFormat="1" ht="12.75" hidden="1" spans="1:10">
      <c r="A1087" s="64"/>
      <c r="B1087" s="73" t="s">
        <v>2069</v>
      </c>
      <c r="C1087" s="66" t="s">
        <v>2070</v>
      </c>
      <c r="D1087" s="67">
        <v>0.6087</v>
      </c>
      <c r="E1087" s="68"/>
      <c r="F1087" s="69">
        <v>2.8</v>
      </c>
      <c r="G1087" s="70"/>
      <c r="H1087" s="71">
        <v>1.4</v>
      </c>
      <c r="I1087" s="71">
        <v>0</v>
      </c>
      <c r="J1087" s="71">
        <v>0</v>
      </c>
    </row>
    <row r="1088" customFormat="1" ht="12.75" hidden="1" spans="1:10">
      <c r="A1088" s="64"/>
      <c r="B1088" s="73" t="s">
        <v>2071</v>
      </c>
      <c r="C1088" s="66" t="s">
        <v>2072</v>
      </c>
      <c r="D1088" s="67">
        <v>1.5217</v>
      </c>
      <c r="E1088" s="68"/>
      <c r="F1088" s="69">
        <v>0</v>
      </c>
      <c r="G1088" s="70"/>
      <c r="H1088" s="71">
        <v>0</v>
      </c>
      <c r="I1088" s="71">
        <v>3.5</v>
      </c>
      <c r="J1088" s="71">
        <v>2.5</v>
      </c>
    </row>
    <row r="1089" ht="38.25" spans="1:20">
      <c r="A1089" s="72" t="s">
        <v>3773</v>
      </c>
      <c r="B1089" s="73" t="s">
        <v>2073</v>
      </c>
      <c r="C1089" s="66" t="s">
        <v>2074</v>
      </c>
      <c r="D1089" s="67">
        <v>0.1739</v>
      </c>
      <c r="E1089" s="68"/>
      <c r="F1089" s="69">
        <v>0.6</v>
      </c>
      <c r="G1089" s="70"/>
      <c r="H1089" s="71">
        <v>0.4</v>
      </c>
      <c r="I1089" s="71"/>
      <c r="J1089" s="71"/>
      <c r="M1089" s="32">
        <v>12</v>
      </c>
      <c r="N1089" s="77">
        <f>+F1089</f>
        <v>0.6</v>
      </c>
      <c r="O1089" s="77">
        <f>+M1089*N1089</f>
        <v>7.2</v>
      </c>
      <c r="R1089" s="3">
        <f>+M1089</f>
        <v>12</v>
      </c>
      <c r="S1089" s="49">
        <f>+H1089</f>
        <v>0.4</v>
      </c>
      <c r="T1089" s="49">
        <f>+R1089*S1089</f>
        <v>4.8</v>
      </c>
    </row>
    <row r="1090" ht="12.75" hidden="1" spans="1:21">
      <c r="A1090" s="64"/>
      <c r="B1090" s="73" t="s">
        <v>2075</v>
      </c>
      <c r="C1090" s="66" t="s">
        <v>2076</v>
      </c>
      <c r="D1090" s="67">
        <v>0.1304</v>
      </c>
      <c r="E1090" s="68"/>
      <c r="F1090" s="69">
        <v>0.5</v>
      </c>
      <c r="G1090" s="70"/>
      <c r="H1090" s="71">
        <v>0.3</v>
      </c>
      <c r="I1090" s="71">
        <v>0</v>
      </c>
      <c r="J1090" s="71">
        <v>0</v>
      </c>
      <c r="M1090"/>
      <c r="N1090"/>
      <c r="O1090"/>
      <c r="P1090"/>
      <c r="Q1090"/>
      <c r="R1090"/>
      <c r="S1090"/>
      <c r="T1090"/>
      <c r="U1090"/>
    </row>
    <row r="1091" ht="38.25" spans="1:20">
      <c r="A1091" s="72" t="s">
        <v>3773</v>
      </c>
      <c r="B1091" s="73" t="s">
        <v>2077</v>
      </c>
      <c r="C1091" s="66" t="s">
        <v>2078</v>
      </c>
      <c r="D1091" s="67">
        <v>0.1304</v>
      </c>
      <c r="E1091" s="68"/>
      <c r="F1091" s="69">
        <v>0.5</v>
      </c>
      <c r="G1091" s="70"/>
      <c r="H1091" s="71">
        <v>0.3</v>
      </c>
      <c r="I1091" s="71"/>
      <c r="J1091" s="71"/>
      <c r="M1091" s="32">
        <v>12</v>
      </c>
      <c r="N1091" s="77">
        <f>+F1091</f>
        <v>0.5</v>
      </c>
      <c r="O1091" s="77">
        <f>+M1091*N1091</f>
        <v>6</v>
      </c>
      <c r="R1091" s="3">
        <f>+M1091</f>
        <v>12</v>
      </c>
      <c r="S1091" s="49">
        <f>+H1091</f>
        <v>0.3</v>
      </c>
      <c r="T1091" s="49">
        <f>+R1091*S1091</f>
        <v>3.6</v>
      </c>
    </row>
    <row r="1092" ht="12.75" hidden="1" spans="1:21">
      <c r="A1092" s="64"/>
      <c r="B1092" s="73" t="s">
        <v>2079</v>
      </c>
      <c r="C1092" s="66" t="s">
        <v>2080</v>
      </c>
      <c r="D1092" s="67">
        <v>0.3043</v>
      </c>
      <c r="E1092" s="68"/>
      <c r="F1092" s="69">
        <v>1</v>
      </c>
      <c r="G1092" s="70"/>
      <c r="H1092" s="71">
        <v>0.7</v>
      </c>
      <c r="I1092" s="71">
        <v>0</v>
      </c>
      <c r="J1092" s="71">
        <v>0</v>
      </c>
      <c r="M1092"/>
      <c r="N1092"/>
      <c r="O1092"/>
      <c r="P1092"/>
      <c r="Q1092"/>
      <c r="R1092"/>
      <c r="S1092"/>
      <c r="T1092"/>
      <c r="U1092"/>
    </row>
    <row r="1093" ht="12.75" hidden="1" spans="1:21">
      <c r="A1093" s="64"/>
      <c r="B1093" s="73" t="s">
        <v>2081</v>
      </c>
      <c r="C1093" s="66" t="s">
        <v>2082</v>
      </c>
      <c r="D1093" s="67">
        <v>0.4348</v>
      </c>
      <c r="E1093" s="68"/>
      <c r="F1093" s="69">
        <v>2</v>
      </c>
      <c r="G1093" s="70"/>
      <c r="H1093" s="71">
        <v>1</v>
      </c>
      <c r="I1093" s="71">
        <v>0</v>
      </c>
      <c r="J1093" s="71">
        <v>0</v>
      </c>
      <c r="M1093"/>
      <c r="N1093"/>
      <c r="O1093"/>
      <c r="P1093"/>
      <c r="Q1093"/>
      <c r="R1093"/>
      <c r="S1093"/>
      <c r="T1093"/>
      <c r="U1093"/>
    </row>
    <row r="1094" ht="12.75" hidden="1" spans="1:21">
      <c r="A1094" s="64"/>
      <c r="B1094" s="73" t="s">
        <v>2083</v>
      </c>
      <c r="C1094" s="66" t="s">
        <v>2084</v>
      </c>
      <c r="D1094" s="67">
        <v>0.1304</v>
      </c>
      <c r="E1094" s="68"/>
      <c r="F1094" s="69">
        <v>0.5</v>
      </c>
      <c r="G1094" s="70"/>
      <c r="H1094" s="71">
        <v>0.3</v>
      </c>
      <c r="I1094" s="71">
        <v>0</v>
      </c>
      <c r="J1094" s="71">
        <v>0</v>
      </c>
      <c r="M1094"/>
      <c r="N1094"/>
      <c r="O1094"/>
      <c r="P1094"/>
      <c r="Q1094"/>
      <c r="R1094"/>
      <c r="S1094"/>
      <c r="T1094"/>
      <c r="U1094"/>
    </row>
    <row r="1095" ht="12.75" hidden="1" spans="1:21">
      <c r="A1095" s="64"/>
      <c r="B1095" s="73" t="s">
        <v>2085</v>
      </c>
      <c r="C1095" s="66" t="s">
        <v>2086</v>
      </c>
      <c r="D1095" s="67">
        <v>0.1304</v>
      </c>
      <c r="E1095" s="68"/>
      <c r="F1095" s="69">
        <v>1</v>
      </c>
      <c r="G1095" s="70"/>
      <c r="H1095" s="71">
        <v>0.3</v>
      </c>
      <c r="I1095" s="71">
        <v>0</v>
      </c>
      <c r="J1095" s="71">
        <v>0</v>
      </c>
      <c r="M1095"/>
      <c r="N1095"/>
      <c r="O1095"/>
      <c r="P1095"/>
      <c r="Q1095"/>
      <c r="R1095"/>
      <c r="S1095"/>
      <c r="T1095"/>
      <c r="U1095"/>
    </row>
    <row r="1096" ht="12.75" hidden="1" spans="1:21">
      <c r="A1096" s="64"/>
      <c r="B1096" s="73" t="s">
        <v>2087</v>
      </c>
      <c r="C1096" s="66" t="s">
        <v>2088</v>
      </c>
      <c r="D1096" s="67">
        <v>0.2174</v>
      </c>
      <c r="E1096" s="68"/>
      <c r="F1096" s="69">
        <v>1</v>
      </c>
      <c r="G1096" s="70"/>
      <c r="H1096" s="71">
        <v>0.5</v>
      </c>
      <c r="I1096" s="71">
        <v>0</v>
      </c>
      <c r="J1096" s="71">
        <v>0</v>
      </c>
      <c r="M1096"/>
      <c r="N1096"/>
      <c r="O1096"/>
      <c r="P1096"/>
      <c r="Q1096"/>
      <c r="R1096"/>
      <c r="S1096"/>
      <c r="T1096"/>
      <c r="U1096"/>
    </row>
    <row r="1097" ht="38.25" spans="1:20">
      <c r="A1097" s="72" t="s">
        <v>3773</v>
      </c>
      <c r="B1097" s="73" t="s">
        <v>2089</v>
      </c>
      <c r="C1097" s="66" t="s">
        <v>2090</v>
      </c>
      <c r="D1097" s="67">
        <v>0.2609</v>
      </c>
      <c r="E1097" s="68"/>
      <c r="F1097" s="69">
        <v>1</v>
      </c>
      <c r="G1097" s="70"/>
      <c r="H1097" s="71">
        <v>0.6</v>
      </c>
      <c r="I1097" s="71"/>
      <c r="J1097" s="71"/>
      <c r="M1097" s="32">
        <v>12</v>
      </c>
      <c r="N1097" s="77">
        <f>+F1097</f>
        <v>1</v>
      </c>
      <c r="O1097" s="77">
        <f>+M1097*N1097</f>
        <v>12</v>
      </c>
      <c r="R1097" s="3">
        <f>+M1097</f>
        <v>12</v>
      </c>
      <c r="S1097" s="49">
        <f>+H1097</f>
        <v>0.6</v>
      </c>
      <c r="T1097" s="49">
        <f>+R1097*S1097</f>
        <v>7.2</v>
      </c>
    </row>
    <row r="1098" ht="12.75" hidden="1" spans="1:21">
      <c r="A1098" s="64"/>
      <c r="B1098" s="73" t="s">
        <v>2091</v>
      </c>
      <c r="C1098" s="66" t="s">
        <v>2092</v>
      </c>
      <c r="D1098" s="67">
        <v>0.5217</v>
      </c>
      <c r="E1098" s="68"/>
      <c r="F1098" s="69">
        <v>2</v>
      </c>
      <c r="G1098" s="70"/>
      <c r="H1098" s="71">
        <v>1.2</v>
      </c>
      <c r="I1098" s="71">
        <v>0</v>
      </c>
      <c r="J1098" s="71">
        <v>0</v>
      </c>
      <c r="M1098"/>
      <c r="N1098"/>
      <c r="O1098"/>
      <c r="P1098"/>
      <c r="Q1098"/>
      <c r="R1098"/>
      <c r="S1098"/>
      <c r="T1098"/>
      <c r="U1098"/>
    </row>
    <row r="1099" ht="25.5" hidden="1" spans="1:21">
      <c r="A1099" s="64"/>
      <c r="B1099" s="73" t="s">
        <v>2093</v>
      </c>
      <c r="C1099" s="66" t="s">
        <v>2094</v>
      </c>
      <c r="D1099" s="67">
        <v>0.2609</v>
      </c>
      <c r="E1099" s="68"/>
      <c r="F1099" s="69">
        <v>1</v>
      </c>
      <c r="G1099" s="70"/>
      <c r="H1099" s="71">
        <v>0.6</v>
      </c>
      <c r="I1099" s="71">
        <v>0</v>
      </c>
      <c r="J1099" s="71">
        <v>0</v>
      </c>
      <c r="M1099"/>
      <c r="N1099"/>
      <c r="O1099"/>
      <c r="P1099"/>
      <c r="Q1099"/>
      <c r="R1099"/>
      <c r="S1099"/>
      <c r="T1099"/>
      <c r="U1099"/>
    </row>
    <row r="1100" ht="12.75" hidden="1" spans="1:21">
      <c r="A1100" s="64"/>
      <c r="B1100" s="73" t="s">
        <v>2095</v>
      </c>
      <c r="C1100" s="66" t="s">
        <v>2096</v>
      </c>
      <c r="D1100" s="67">
        <v>2.6087</v>
      </c>
      <c r="E1100" s="68"/>
      <c r="F1100" s="79">
        <v>10.5</v>
      </c>
      <c r="G1100" s="80"/>
      <c r="H1100" s="71">
        <v>6</v>
      </c>
      <c r="I1100" s="71">
        <v>0</v>
      </c>
      <c r="J1100" s="71">
        <v>0</v>
      </c>
      <c r="M1100"/>
      <c r="N1100"/>
      <c r="O1100"/>
      <c r="P1100"/>
      <c r="Q1100"/>
      <c r="R1100"/>
      <c r="S1100"/>
      <c r="T1100"/>
      <c r="U1100"/>
    </row>
    <row r="1101" ht="25.5" hidden="1" spans="1:21">
      <c r="A1101" s="64"/>
      <c r="B1101" s="73" t="s">
        <v>2097</v>
      </c>
      <c r="C1101" s="66" t="s">
        <v>2098</v>
      </c>
      <c r="D1101" s="67">
        <v>0.2174</v>
      </c>
      <c r="E1101" s="68"/>
      <c r="F1101" s="69">
        <v>1.45</v>
      </c>
      <c r="G1101" s="70"/>
      <c r="H1101" s="71">
        <v>0.7</v>
      </c>
      <c r="I1101" s="71">
        <v>0</v>
      </c>
      <c r="J1101" s="71">
        <v>0</v>
      </c>
      <c r="M1101"/>
      <c r="N1101"/>
      <c r="O1101"/>
      <c r="P1101"/>
      <c r="Q1101"/>
      <c r="R1101"/>
      <c r="S1101"/>
      <c r="T1101"/>
      <c r="U1101"/>
    </row>
    <row r="1102" ht="12.75" hidden="1" spans="1:21">
      <c r="A1102" s="64"/>
      <c r="B1102" s="73" t="s">
        <v>2099</v>
      </c>
      <c r="C1102" s="66" t="s">
        <v>2100</v>
      </c>
      <c r="D1102" s="67">
        <v>0.1304</v>
      </c>
      <c r="E1102" s="68"/>
      <c r="F1102" s="69">
        <v>0.5</v>
      </c>
      <c r="G1102" s="70"/>
      <c r="H1102" s="71">
        <v>0.3</v>
      </c>
      <c r="I1102" s="71">
        <v>0</v>
      </c>
      <c r="J1102" s="71">
        <v>0</v>
      </c>
      <c r="M1102"/>
      <c r="N1102"/>
      <c r="O1102"/>
      <c r="P1102"/>
      <c r="Q1102"/>
      <c r="R1102"/>
      <c r="S1102"/>
      <c r="T1102"/>
      <c r="U1102"/>
    </row>
    <row r="1103" ht="12.75" hidden="1" spans="1:21">
      <c r="A1103" s="64"/>
      <c r="B1103" s="73" t="s">
        <v>2101</v>
      </c>
      <c r="C1103" s="66" t="s">
        <v>2102</v>
      </c>
      <c r="D1103" s="67">
        <v>0.6957</v>
      </c>
      <c r="E1103" s="68"/>
      <c r="F1103" s="69">
        <v>2.5</v>
      </c>
      <c r="G1103" s="70"/>
      <c r="H1103" s="71">
        <v>1.6</v>
      </c>
      <c r="I1103" s="71">
        <v>0</v>
      </c>
      <c r="J1103" s="71">
        <v>0</v>
      </c>
      <c r="M1103"/>
      <c r="N1103"/>
      <c r="O1103"/>
      <c r="P1103"/>
      <c r="Q1103"/>
      <c r="R1103"/>
      <c r="S1103"/>
      <c r="T1103"/>
      <c r="U1103"/>
    </row>
    <row r="1104" ht="12.75" hidden="1" spans="1:21">
      <c r="A1104" s="64"/>
      <c r="B1104" s="73" t="s">
        <v>2103</v>
      </c>
      <c r="C1104" s="66" t="s">
        <v>2104</v>
      </c>
      <c r="D1104" s="67">
        <v>0.3913</v>
      </c>
      <c r="E1104" s="68"/>
      <c r="F1104" s="69">
        <v>1.5</v>
      </c>
      <c r="G1104" s="70"/>
      <c r="H1104" s="71">
        <v>0.9</v>
      </c>
      <c r="I1104" s="71">
        <v>0</v>
      </c>
      <c r="J1104" s="71">
        <v>0</v>
      </c>
      <c r="M1104"/>
      <c r="N1104"/>
      <c r="O1104"/>
      <c r="P1104"/>
      <c r="Q1104"/>
      <c r="R1104"/>
      <c r="S1104"/>
      <c r="T1104"/>
      <c r="U1104"/>
    </row>
    <row r="1105" customFormat="1" ht="12.75" hidden="1" spans="1:10">
      <c r="A1105" s="64"/>
      <c r="B1105" s="73" t="s">
        <v>2105</v>
      </c>
      <c r="C1105" s="66" t="s">
        <v>2106</v>
      </c>
      <c r="D1105" s="67">
        <v>0.3913</v>
      </c>
      <c r="E1105" s="68"/>
      <c r="F1105" s="69">
        <v>1.5</v>
      </c>
      <c r="G1105" s="70"/>
      <c r="H1105" s="71">
        <v>0.9</v>
      </c>
      <c r="I1105" s="71">
        <v>0</v>
      </c>
      <c r="J1105" s="71">
        <v>0</v>
      </c>
    </row>
    <row r="1106" customFormat="1" ht="12.75" hidden="1" spans="1:10">
      <c r="A1106" s="64"/>
      <c r="B1106" s="73" t="s">
        <v>2107</v>
      </c>
      <c r="C1106" s="66" t="s">
        <v>2108</v>
      </c>
      <c r="D1106" s="67">
        <v>0.3913</v>
      </c>
      <c r="E1106" s="68"/>
      <c r="F1106" s="69">
        <v>1.5</v>
      </c>
      <c r="G1106" s="70"/>
      <c r="H1106" s="71">
        <v>0.9</v>
      </c>
      <c r="I1106" s="71">
        <v>0</v>
      </c>
      <c r="J1106" s="71">
        <v>0</v>
      </c>
    </row>
    <row r="1107" customFormat="1" ht="12.75" hidden="1" spans="1:10">
      <c r="A1107" s="64"/>
      <c r="B1107" s="73" t="s">
        <v>2109</v>
      </c>
      <c r="C1107" s="66" t="s">
        <v>2110</v>
      </c>
      <c r="D1107" s="67">
        <v>0.4348</v>
      </c>
      <c r="E1107" s="68"/>
      <c r="F1107" s="69">
        <v>1.6</v>
      </c>
      <c r="G1107" s="70"/>
      <c r="H1107" s="71">
        <v>1</v>
      </c>
      <c r="I1107" s="71">
        <v>0</v>
      </c>
      <c r="J1107" s="71">
        <v>0</v>
      </c>
    </row>
    <row r="1108" customFormat="1" ht="12.75" hidden="1" spans="1:10">
      <c r="A1108" s="64"/>
      <c r="B1108" s="73" t="s">
        <v>2111</v>
      </c>
      <c r="C1108" s="66" t="s">
        <v>2112</v>
      </c>
      <c r="D1108" s="67">
        <v>0.5652</v>
      </c>
      <c r="E1108" s="68"/>
      <c r="F1108" s="69">
        <v>2.1</v>
      </c>
      <c r="G1108" s="70"/>
      <c r="H1108" s="71">
        <v>1.3</v>
      </c>
      <c r="I1108" s="71">
        <v>0</v>
      </c>
      <c r="J1108" s="71">
        <v>0</v>
      </c>
    </row>
    <row r="1109" customFormat="1" ht="12.75" hidden="1" spans="1:10">
      <c r="A1109" s="64"/>
      <c r="B1109" s="73" t="s">
        <v>2113</v>
      </c>
      <c r="C1109" s="66" t="s">
        <v>2114</v>
      </c>
      <c r="D1109" s="67">
        <v>0.8696</v>
      </c>
      <c r="E1109" s="68"/>
      <c r="F1109" s="69">
        <v>3</v>
      </c>
      <c r="G1109" s="70"/>
      <c r="H1109" s="71">
        <v>2</v>
      </c>
      <c r="I1109" s="71">
        <v>0</v>
      </c>
      <c r="J1109" s="71">
        <v>0</v>
      </c>
    </row>
    <row r="1110" customFormat="1" ht="12.75" hidden="1" spans="1:10">
      <c r="A1110" s="64"/>
      <c r="B1110" s="73" t="s">
        <v>2115</v>
      </c>
      <c r="C1110" s="66" t="s">
        <v>2116</v>
      </c>
      <c r="D1110" s="67">
        <v>0.2174</v>
      </c>
      <c r="E1110" s="68"/>
      <c r="F1110" s="69">
        <v>2</v>
      </c>
      <c r="G1110" s="70"/>
      <c r="H1110" s="71">
        <v>0.5</v>
      </c>
      <c r="I1110" s="71">
        <v>0</v>
      </c>
      <c r="J1110" s="71">
        <v>0</v>
      </c>
    </row>
    <row r="1111" customFormat="1" ht="12.75" hidden="1" spans="1:10">
      <c r="A1111" s="64"/>
      <c r="B1111" s="73" t="s">
        <v>2117</v>
      </c>
      <c r="C1111" s="66" t="s">
        <v>2118</v>
      </c>
      <c r="D1111" s="67">
        <v>0.3913</v>
      </c>
      <c r="E1111" s="68"/>
      <c r="F1111" s="69">
        <v>1.4</v>
      </c>
      <c r="G1111" s="70"/>
      <c r="H1111" s="71">
        <v>0.9</v>
      </c>
      <c r="I1111" s="71">
        <v>0</v>
      </c>
      <c r="J1111" s="71">
        <v>0</v>
      </c>
    </row>
    <row r="1112" customFormat="1" ht="12.75" hidden="1" spans="1:10">
      <c r="A1112" s="64"/>
      <c r="B1112" s="73" t="s">
        <v>2119</v>
      </c>
      <c r="C1112" s="66" t="s">
        <v>2120</v>
      </c>
      <c r="D1112" s="67">
        <v>0.2609</v>
      </c>
      <c r="E1112" s="68"/>
      <c r="F1112" s="69">
        <v>2</v>
      </c>
      <c r="G1112" s="70"/>
      <c r="H1112" s="71">
        <v>0.6</v>
      </c>
      <c r="I1112" s="71">
        <v>0</v>
      </c>
      <c r="J1112" s="71">
        <v>0</v>
      </c>
    </row>
    <row r="1113" customFormat="1" ht="12.75" hidden="1" spans="1:10">
      <c r="A1113" s="64"/>
      <c r="B1113" s="73" t="s">
        <v>2121</v>
      </c>
      <c r="C1113" s="66" t="s">
        <v>2122</v>
      </c>
      <c r="D1113" s="67">
        <v>0.6087</v>
      </c>
      <c r="E1113" s="68"/>
      <c r="F1113" s="69">
        <v>2.5</v>
      </c>
      <c r="G1113" s="70"/>
      <c r="H1113" s="71">
        <v>1.4</v>
      </c>
      <c r="I1113" s="71">
        <v>0</v>
      </c>
      <c r="J1113" s="71">
        <v>0</v>
      </c>
    </row>
    <row r="1114" customFormat="1" ht="12.75" hidden="1" spans="1:10">
      <c r="A1114" s="64"/>
      <c r="B1114" s="73" t="s">
        <v>2123</v>
      </c>
      <c r="C1114" s="66" t="s">
        <v>2124</v>
      </c>
      <c r="D1114" s="67">
        <v>0.3913</v>
      </c>
      <c r="E1114" s="68"/>
      <c r="F1114" s="69">
        <v>1.4</v>
      </c>
      <c r="G1114" s="70"/>
      <c r="H1114" s="71">
        <v>0.9</v>
      </c>
      <c r="I1114" s="71">
        <v>0</v>
      </c>
      <c r="J1114" s="71">
        <v>0</v>
      </c>
    </row>
    <row r="1115" customFormat="1" ht="12.75" hidden="1" spans="1:10">
      <c r="A1115" s="64"/>
      <c r="B1115" s="73" t="s">
        <v>2125</v>
      </c>
      <c r="C1115" s="66" t="s">
        <v>2126</v>
      </c>
      <c r="D1115" s="67">
        <v>0.5217</v>
      </c>
      <c r="E1115" s="68"/>
      <c r="F1115" s="69">
        <v>2</v>
      </c>
      <c r="G1115" s="70"/>
      <c r="H1115" s="71">
        <v>1.2</v>
      </c>
      <c r="I1115" s="71">
        <v>0</v>
      </c>
      <c r="J1115" s="71">
        <v>0</v>
      </c>
    </row>
    <row r="1116" customFormat="1" ht="12.75" hidden="1" spans="1:10">
      <c r="A1116" s="64"/>
      <c r="B1116" s="73" t="s">
        <v>2127</v>
      </c>
      <c r="C1116" s="66" t="s">
        <v>2128</v>
      </c>
      <c r="D1116" s="67">
        <v>1.6957</v>
      </c>
      <c r="E1116" s="68"/>
      <c r="F1116" s="69">
        <v>6</v>
      </c>
      <c r="G1116" s="70"/>
      <c r="H1116" s="71">
        <v>3.9</v>
      </c>
      <c r="I1116" s="71">
        <v>0</v>
      </c>
      <c r="J1116" s="71">
        <v>0</v>
      </c>
    </row>
    <row r="1117" customFormat="1" ht="12.75" hidden="1" spans="1:10">
      <c r="A1117" s="64"/>
      <c r="B1117" s="65">
        <v>6903072257454</v>
      </c>
      <c r="C1117" s="66" t="s">
        <v>2129</v>
      </c>
      <c r="D1117" s="67">
        <v>0.5435</v>
      </c>
      <c r="E1117" s="68"/>
      <c r="F1117" s="69">
        <v>0</v>
      </c>
      <c r="G1117" s="70"/>
      <c r="H1117" s="71">
        <v>0</v>
      </c>
      <c r="I1117" s="71">
        <v>1.25</v>
      </c>
      <c r="J1117" s="71">
        <v>1</v>
      </c>
    </row>
    <row r="1118" customFormat="1" ht="12.75" hidden="1" spans="1:10">
      <c r="A1118" s="64"/>
      <c r="B1118" s="73" t="s">
        <v>2130</v>
      </c>
      <c r="C1118" s="66" t="s">
        <v>2131</v>
      </c>
      <c r="D1118" s="67">
        <v>0.1739</v>
      </c>
      <c r="E1118" s="68"/>
      <c r="F1118" s="69">
        <v>0.6</v>
      </c>
      <c r="G1118" s="70"/>
      <c r="H1118" s="71">
        <v>0.4</v>
      </c>
      <c r="I1118" s="71">
        <v>0</v>
      </c>
      <c r="J1118" s="71">
        <v>0</v>
      </c>
    </row>
    <row r="1119" customFormat="1" ht="12.75" hidden="1" spans="1:10">
      <c r="A1119" s="74"/>
      <c r="B1119" s="73" t="s">
        <v>2132</v>
      </c>
      <c r="C1119" s="66" t="s">
        <v>2133</v>
      </c>
      <c r="D1119" s="67">
        <v>2.0435</v>
      </c>
      <c r="E1119" s="68"/>
      <c r="F1119" s="69">
        <v>8</v>
      </c>
      <c r="G1119" s="70"/>
      <c r="H1119" s="71">
        <v>4.7</v>
      </c>
      <c r="I1119" s="71">
        <v>0</v>
      </c>
      <c r="J1119" s="71">
        <v>0</v>
      </c>
    </row>
    <row r="1120" customFormat="1" ht="12.75" hidden="1" spans="1:10">
      <c r="A1120" s="75"/>
      <c r="B1120" s="73" t="s">
        <v>2134</v>
      </c>
      <c r="C1120" s="66" t="s">
        <v>2133</v>
      </c>
      <c r="D1120" s="67">
        <v>1.2609</v>
      </c>
      <c r="E1120" s="68"/>
      <c r="F1120" s="69">
        <v>5</v>
      </c>
      <c r="G1120" s="70"/>
      <c r="H1120" s="71">
        <v>2.9</v>
      </c>
      <c r="I1120" s="71">
        <v>0</v>
      </c>
      <c r="J1120" s="71">
        <v>0</v>
      </c>
    </row>
    <row r="1121" customFormat="1" ht="12.75" hidden="1" spans="1:10">
      <c r="A1121" s="64"/>
      <c r="B1121" s="73" t="s">
        <v>2135</v>
      </c>
      <c r="C1121" s="66" t="s">
        <v>2136</v>
      </c>
      <c r="D1121" s="67">
        <v>1.5217</v>
      </c>
      <c r="E1121" s="68"/>
      <c r="F1121" s="69">
        <v>5.5</v>
      </c>
      <c r="G1121" s="70"/>
      <c r="H1121" s="71">
        <v>3.5</v>
      </c>
      <c r="I1121" s="71">
        <v>0</v>
      </c>
      <c r="J1121" s="71">
        <v>0</v>
      </c>
    </row>
    <row r="1122" customFormat="1" ht="12.75" hidden="1" spans="1:10">
      <c r="A1122" s="64"/>
      <c r="B1122" s="73" t="s">
        <v>2137</v>
      </c>
      <c r="C1122" s="66" t="s">
        <v>2138</v>
      </c>
      <c r="D1122" s="67">
        <v>1.4348</v>
      </c>
      <c r="E1122" s="68"/>
      <c r="F1122" s="69">
        <v>5.3</v>
      </c>
      <c r="G1122" s="70"/>
      <c r="H1122" s="71">
        <v>3.3</v>
      </c>
      <c r="I1122" s="71">
        <v>0</v>
      </c>
      <c r="J1122" s="71">
        <v>0</v>
      </c>
    </row>
    <row r="1123" customFormat="1" ht="12.75" hidden="1" spans="1:10">
      <c r="A1123" s="64"/>
      <c r="B1123" s="73" t="s">
        <v>2139</v>
      </c>
      <c r="C1123" s="66" t="s">
        <v>2140</v>
      </c>
      <c r="D1123" s="67">
        <v>0.913</v>
      </c>
      <c r="E1123" s="68"/>
      <c r="F1123" s="69">
        <v>3.3</v>
      </c>
      <c r="G1123" s="70"/>
      <c r="H1123" s="71">
        <v>2.1</v>
      </c>
      <c r="I1123" s="71">
        <v>0</v>
      </c>
      <c r="J1123" s="71">
        <v>0</v>
      </c>
    </row>
    <row r="1124" customFormat="1" ht="12.75" hidden="1" spans="1:10">
      <c r="A1124" s="64"/>
      <c r="B1124" s="73" t="s">
        <v>2141</v>
      </c>
      <c r="C1124" s="66" t="s">
        <v>2142</v>
      </c>
      <c r="D1124" s="67">
        <v>0.913</v>
      </c>
      <c r="E1124" s="68"/>
      <c r="F1124" s="69">
        <v>3.5</v>
      </c>
      <c r="G1124" s="70"/>
      <c r="H1124" s="71">
        <v>2.1</v>
      </c>
      <c r="I1124" s="71">
        <v>0</v>
      </c>
      <c r="J1124" s="71">
        <v>0</v>
      </c>
    </row>
    <row r="1125" customFormat="1" ht="12.75" hidden="1" spans="1:10">
      <c r="A1125" s="64"/>
      <c r="B1125" s="73" t="s">
        <v>2143</v>
      </c>
      <c r="C1125" s="66" t="s">
        <v>2144</v>
      </c>
      <c r="D1125" s="67">
        <v>1.0435</v>
      </c>
      <c r="E1125" s="68"/>
      <c r="F1125" s="69">
        <v>3.9</v>
      </c>
      <c r="G1125" s="70"/>
      <c r="H1125" s="71">
        <v>2.4</v>
      </c>
      <c r="I1125" s="71">
        <v>0</v>
      </c>
      <c r="J1125" s="71">
        <v>0</v>
      </c>
    </row>
    <row r="1126" customFormat="1" ht="12.75" hidden="1" spans="1:10">
      <c r="A1126" s="64"/>
      <c r="B1126" s="73" t="s">
        <v>2145</v>
      </c>
      <c r="C1126" s="66" t="s">
        <v>2146</v>
      </c>
      <c r="D1126" s="67">
        <v>1.0435</v>
      </c>
      <c r="E1126" s="68"/>
      <c r="F1126" s="69">
        <v>3.9</v>
      </c>
      <c r="G1126" s="70"/>
      <c r="H1126" s="71">
        <v>2.4</v>
      </c>
      <c r="I1126" s="71">
        <v>0</v>
      </c>
      <c r="J1126" s="71">
        <v>0</v>
      </c>
    </row>
    <row r="1127" customFormat="1" ht="12.75" hidden="1" spans="1:10">
      <c r="A1127" s="64"/>
      <c r="B1127" s="73" t="s">
        <v>2147</v>
      </c>
      <c r="C1127" s="66" t="s">
        <v>2148</v>
      </c>
      <c r="D1127" s="67">
        <v>1.4348</v>
      </c>
      <c r="E1127" s="68"/>
      <c r="F1127" s="69">
        <v>5.5</v>
      </c>
      <c r="G1127" s="70"/>
      <c r="H1127" s="71">
        <v>3.3</v>
      </c>
      <c r="I1127" s="71">
        <v>0</v>
      </c>
      <c r="J1127" s="71">
        <v>0</v>
      </c>
    </row>
    <row r="1128" customFormat="1" ht="12.75" hidden="1" spans="1:10">
      <c r="A1128" s="64"/>
      <c r="B1128" s="73" t="s">
        <v>2149</v>
      </c>
      <c r="C1128" s="66" t="s">
        <v>2150</v>
      </c>
      <c r="D1128" s="67">
        <v>0.0435</v>
      </c>
      <c r="E1128" s="68"/>
      <c r="F1128" s="69">
        <v>0.2</v>
      </c>
      <c r="G1128" s="70"/>
      <c r="H1128" s="71">
        <v>0.1</v>
      </c>
      <c r="I1128" s="71">
        <v>0</v>
      </c>
      <c r="J1128" s="71">
        <v>0</v>
      </c>
    </row>
    <row r="1129" customFormat="1" ht="12.75" hidden="1" spans="1:10">
      <c r="A1129" s="64"/>
      <c r="B1129" s="73" t="s">
        <v>2151</v>
      </c>
      <c r="C1129" s="66" t="s">
        <v>2152</v>
      </c>
      <c r="D1129" s="67">
        <v>1</v>
      </c>
      <c r="E1129" s="68"/>
      <c r="F1129" s="69">
        <v>3.5</v>
      </c>
      <c r="G1129" s="70"/>
      <c r="H1129" s="71">
        <v>2.3</v>
      </c>
      <c r="I1129" s="71">
        <v>0</v>
      </c>
      <c r="J1129" s="71">
        <v>0</v>
      </c>
    </row>
    <row r="1130" customFormat="1" ht="12.75" hidden="1" spans="1:10">
      <c r="A1130" s="64"/>
      <c r="B1130" s="65">
        <v>6985474121427</v>
      </c>
      <c r="C1130" s="66" t="s">
        <v>2153</v>
      </c>
      <c r="D1130" s="67">
        <v>0.2174</v>
      </c>
      <c r="E1130" s="68"/>
      <c r="F1130" s="69">
        <v>0.7</v>
      </c>
      <c r="G1130" s="70"/>
      <c r="H1130" s="71">
        <v>0.5</v>
      </c>
      <c r="I1130" s="71">
        <v>0</v>
      </c>
      <c r="J1130" s="71">
        <v>0</v>
      </c>
    </row>
    <row r="1131" customFormat="1" ht="12.75" hidden="1" spans="1:10">
      <c r="A1131" s="64"/>
      <c r="B1131" s="73" t="s">
        <v>2154</v>
      </c>
      <c r="C1131" s="66" t="s">
        <v>2155</v>
      </c>
      <c r="D1131" s="67">
        <v>0.1304</v>
      </c>
      <c r="E1131" s="68"/>
      <c r="F1131" s="69">
        <v>0.4</v>
      </c>
      <c r="G1131" s="70"/>
      <c r="H1131" s="71">
        <v>0.3</v>
      </c>
      <c r="I1131" s="71">
        <v>0</v>
      </c>
      <c r="J1131" s="71">
        <v>0</v>
      </c>
    </row>
    <row r="1132" customFormat="1" ht="12.75" hidden="1" spans="1:10">
      <c r="A1132" s="64"/>
      <c r="B1132" s="65">
        <v>6903268285223</v>
      </c>
      <c r="C1132" s="66" t="s">
        <v>2156</v>
      </c>
      <c r="D1132" s="67">
        <v>0.2174</v>
      </c>
      <c r="E1132" s="68"/>
      <c r="F1132" s="69">
        <v>0.7</v>
      </c>
      <c r="G1132" s="70"/>
      <c r="H1132" s="71">
        <v>0.5</v>
      </c>
      <c r="I1132" s="71">
        <v>0</v>
      </c>
      <c r="J1132" s="71">
        <v>0</v>
      </c>
    </row>
    <row r="1133" customFormat="1" ht="12.75" hidden="1" spans="1:10">
      <c r="A1133" s="64"/>
      <c r="B1133" s="73" t="s">
        <v>2157</v>
      </c>
      <c r="C1133" s="66" t="s">
        <v>2158</v>
      </c>
      <c r="D1133" s="67">
        <v>0.6087</v>
      </c>
      <c r="E1133" s="68"/>
      <c r="F1133" s="69">
        <v>2.3</v>
      </c>
      <c r="G1133" s="70"/>
      <c r="H1133" s="71">
        <v>1.4</v>
      </c>
      <c r="I1133" s="71">
        <v>0</v>
      </c>
      <c r="J1133" s="71">
        <v>0</v>
      </c>
    </row>
    <row r="1134" customFormat="1" ht="12.75" hidden="1" spans="1:10">
      <c r="A1134" s="64"/>
      <c r="B1134" s="73" t="s">
        <v>2159</v>
      </c>
      <c r="C1134" s="66" t="s">
        <v>2160</v>
      </c>
      <c r="D1134" s="67">
        <v>2.3478</v>
      </c>
      <c r="E1134" s="68"/>
      <c r="F1134" s="69">
        <v>7</v>
      </c>
      <c r="G1134" s="70"/>
      <c r="H1134" s="71">
        <v>5.4</v>
      </c>
      <c r="I1134" s="71">
        <v>0</v>
      </c>
      <c r="J1134" s="71">
        <v>0</v>
      </c>
    </row>
    <row r="1135" customFormat="1" ht="12.75" hidden="1" spans="1:10">
      <c r="A1135" s="64"/>
      <c r="B1135" s="73" t="s">
        <v>2161</v>
      </c>
      <c r="C1135" s="66" t="s">
        <v>2162</v>
      </c>
      <c r="D1135" s="67">
        <v>0.2174</v>
      </c>
      <c r="E1135" s="68"/>
      <c r="F1135" s="69">
        <v>1</v>
      </c>
      <c r="G1135" s="70"/>
      <c r="H1135" s="71">
        <v>0.5</v>
      </c>
      <c r="I1135" s="71">
        <v>0</v>
      </c>
      <c r="J1135" s="71">
        <v>0</v>
      </c>
    </row>
    <row r="1136" customFormat="1" ht="12.75" hidden="1" spans="1:10">
      <c r="A1136" s="64"/>
      <c r="B1136" s="73" t="s">
        <v>2163</v>
      </c>
      <c r="C1136" s="66" t="s">
        <v>2164</v>
      </c>
      <c r="D1136" s="67">
        <v>0.6522</v>
      </c>
      <c r="E1136" s="68"/>
      <c r="F1136" s="69">
        <v>2</v>
      </c>
      <c r="G1136" s="70"/>
      <c r="H1136" s="71">
        <v>1.5</v>
      </c>
      <c r="I1136" s="71">
        <v>0</v>
      </c>
      <c r="J1136" s="71">
        <v>0</v>
      </c>
    </row>
    <row r="1137" customFormat="1" ht="12.75" hidden="1" spans="1:10">
      <c r="A1137" s="64"/>
      <c r="B1137" s="73" t="s">
        <v>2165</v>
      </c>
      <c r="C1137" s="66" t="s">
        <v>2166</v>
      </c>
      <c r="D1137" s="67">
        <v>0.4348</v>
      </c>
      <c r="E1137" s="68"/>
      <c r="F1137" s="69">
        <v>1.6</v>
      </c>
      <c r="G1137" s="70"/>
      <c r="H1137" s="71">
        <v>1</v>
      </c>
      <c r="I1137" s="71">
        <v>0</v>
      </c>
      <c r="J1137" s="71">
        <v>0</v>
      </c>
    </row>
    <row r="1138" customFormat="1" ht="12.75" hidden="1" spans="1:10">
      <c r="A1138" s="64"/>
      <c r="B1138" s="73" t="s">
        <v>2167</v>
      </c>
      <c r="C1138" s="66" t="s">
        <v>2168</v>
      </c>
      <c r="D1138" s="67">
        <v>0.3478</v>
      </c>
      <c r="E1138" s="68"/>
      <c r="F1138" s="69">
        <v>1.6</v>
      </c>
      <c r="G1138" s="70"/>
      <c r="H1138" s="71">
        <v>0.8</v>
      </c>
      <c r="I1138" s="71">
        <v>0</v>
      </c>
      <c r="J1138" s="71">
        <v>0</v>
      </c>
    </row>
    <row r="1139" customFormat="1" ht="12.75" hidden="1" spans="1:10">
      <c r="A1139" s="64"/>
      <c r="B1139" s="73" t="s">
        <v>2169</v>
      </c>
      <c r="C1139" s="66" t="s">
        <v>2170</v>
      </c>
      <c r="D1139" s="67">
        <v>0.9565</v>
      </c>
      <c r="E1139" s="68"/>
      <c r="F1139" s="69">
        <v>3.5</v>
      </c>
      <c r="G1139" s="70"/>
      <c r="H1139" s="71">
        <v>2.2</v>
      </c>
      <c r="I1139" s="71">
        <v>0</v>
      </c>
      <c r="J1139" s="71">
        <v>0</v>
      </c>
    </row>
    <row r="1140" customFormat="1" ht="12.75" hidden="1" spans="1:10">
      <c r="A1140" s="64"/>
      <c r="B1140" s="73" t="s">
        <v>2171</v>
      </c>
      <c r="C1140" s="66" t="s">
        <v>2172</v>
      </c>
      <c r="D1140" s="67">
        <v>3.2609</v>
      </c>
      <c r="E1140" s="68"/>
      <c r="F1140" s="79">
        <v>14</v>
      </c>
      <c r="G1140" s="80"/>
      <c r="H1140" s="71">
        <v>8.5</v>
      </c>
      <c r="I1140" s="71">
        <v>0</v>
      </c>
      <c r="J1140" s="71">
        <v>0</v>
      </c>
    </row>
    <row r="1141" customFormat="1" ht="12.75" hidden="1" spans="1:10">
      <c r="A1141" s="64"/>
      <c r="B1141" s="73" t="s">
        <v>2173</v>
      </c>
      <c r="C1141" s="66" t="s">
        <v>2174</v>
      </c>
      <c r="D1141" s="67">
        <v>1.2609</v>
      </c>
      <c r="E1141" s="68"/>
      <c r="F1141" s="69">
        <v>4.6</v>
      </c>
      <c r="G1141" s="70"/>
      <c r="H1141" s="71">
        <v>2.9</v>
      </c>
      <c r="I1141" s="71">
        <v>0</v>
      </c>
      <c r="J1141" s="71">
        <v>0</v>
      </c>
    </row>
    <row r="1142" customFormat="1" ht="12.75" hidden="1" spans="1:10">
      <c r="A1142" s="64"/>
      <c r="B1142" s="73" t="s">
        <v>2175</v>
      </c>
      <c r="C1142" s="66" t="s">
        <v>2176</v>
      </c>
      <c r="D1142" s="67">
        <v>2</v>
      </c>
      <c r="E1142" s="68"/>
      <c r="F1142" s="69">
        <v>7</v>
      </c>
      <c r="G1142" s="70"/>
      <c r="H1142" s="71">
        <v>4.6</v>
      </c>
      <c r="I1142" s="71">
        <v>0</v>
      </c>
      <c r="J1142" s="71">
        <v>0</v>
      </c>
    </row>
    <row r="1143" customFormat="1" ht="12.75" hidden="1" spans="1:10">
      <c r="A1143" s="64"/>
      <c r="B1143" s="73" t="s">
        <v>2177</v>
      </c>
      <c r="C1143" s="66" t="s">
        <v>2178</v>
      </c>
      <c r="D1143" s="67">
        <v>2.2174</v>
      </c>
      <c r="E1143" s="68"/>
      <c r="F1143" s="69">
        <v>8.2</v>
      </c>
      <c r="G1143" s="70"/>
      <c r="H1143" s="71">
        <v>5.1</v>
      </c>
      <c r="I1143" s="71">
        <v>0</v>
      </c>
      <c r="J1143" s="71">
        <v>0</v>
      </c>
    </row>
    <row r="1144" customFormat="1" ht="12.75" hidden="1" spans="1:10">
      <c r="A1144" s="64"/>
      <c r="B1144" s="73" t="s">
        <v>2179</v>
      </c>
      <c r="C1144" s="66" t="s">
        <v>2180</v>
      </c>
      <c r="D1144" s="67">
        <v>2.2174</v>
      </c>
      <c r="E1144" s="68"/>
      <c r="F1144" s="69">
        <v>8.2</v>
      </c>
      <c r="G1144" s="70"/>
      <c r="H1144" s="71">
        <v>5.1</v>
      </c>
      <c r="I1144" s="71">
        <v>0</v>
      </c>
      <c r="J1144" s="71">
        <v>0</v>
      </c>
    </row>
    <row r="1145" customFormat="1" ht="12.75" hidden="1" spans="1:10">
      <c r="A1145" s="64"/>
      <c r="B1145" s="73" t="s">
        <v>2181</v>
      </c>
      <c r="C1145" s="66" t="s">
        <v>2182</v>
      </c>
      <c r="D1145" s="67">
        <v>1.2609</v>
      </c>
      <c r="E1145" s="68"/>
      <c r="F1145" s="69">
        <v>5</v>
      </c>
      <c r="G1145" s="70"/>
      <c r="H1145" s="71">
        <v>2.9</v>
      </c>
      <c r="I1145" s="71">
        <v>0</v>
      </c>
      <c r="J1145" s="71">
        <v>0</v>
      </c>
    </row>
    <row r="1146" customFormat="1" ht="12.75" hidden="1" spans="1:10">
      <c r="A1146" s="64"/>
      <c r="B1146" s="73" t="s">
        <v>2183</v>
      </c>
      <c r="C1146" s="66" t="s">
        <v>2184</v>
      </c>
      <c r="D1146" s="67">
        <v>2.087</v>
      </c>
      <c r="E1146" s="68"/>
      <c r="F1146" s="69">
        <v>8</v>
      </c>
      <c r="G1146" s="70"/>
      <c r="H1146" s="71">
        <v>4.8</v>
      </c>
      <c r="I1146" s="71">
        <v>0</v>
      </c>
      <c r="J1146" s="71">
        <v>0</v>
      </c>
    </row>
    <row r="1147" customFormat="1" ht="12.75" hidden="1" spans="1:10">
      <c r="A1147" s="64"/>
      <c r="B1147" s="73" t="s">
        <v>2185</v>
      </c>
      <c r="C1147" s="66" t="s">
        <v>2186</v>
      </c>
      <c r="D1147" s="67">
        <v>2.7826</v>
      </c>
      <c r="E1147" s="68"/>
      <c r="F1147" s="79">
        <v>10.5</v>
      </c>
      <c r="G1147" s="80"/>
      <c r="H1147" s="71">
        <v>6.4</v>
      </c>
      <c r="I1147" s="71">
        <v>0</v>
      </c>
      <c r="J1147" s="71">
        <v>0</v>
      </c>
    </row>
    <row r="1148" customFormat="1" ht="25.5" hidden="1" spans="1:10">
      <c r="A1148" s="64"/>
      <c r="B1148" s="73" t="s">
        <v>2187</v>
      </c>
      <c r="C1148" s="66" t="s">
        <v>2188</v>
      </c>
      <c r="D1148" s="67">
        <v>1.3043</v>
      </c>
      <c r="E1148" s="68"/>
      <c r="F1148" s="69">
        <v>4.8</v>
      </c>
      <c r="G1148" s="70"/>
      <c r="H1148" s="71">
        <v>3</v>
      </c>
      <c r="I1148" s="71">
        <v>0</v>
      </c>
      <c r="J1148" s="71">
        <v>0</v>
      </c>
    </row>
    <row r="1149" customFormat="1" ht="12.75" hidden="1" spans="1:10">
      <c r="A1149" s="64"/>
      <c r="B1149" s="73" t="s">
        <v>2189</v>
      </c>
      <c r="C1149" s="66" t="s">
        <v>2190</v>
      </c>
      <c r="D1149" s="67">
        <v>4.1739</v>
      </c>
      <c r="E1149" s="68"/>
      <c r="F1149" s="79">
        <v>15.5</v>
      </c>
      <c r="G1149" s="80"/>
      <c r="H1149" s="71">
        <v>9.6</v>
      </c>
      <c r="I1149" s="71">
        <v>0</v>
      </c>
      <c r="J1149" s="71">
        <v>0</v>
      </c>
    </row>
    <row r="1150" customFormat="1" ht="12.75" hidden="1" spans="1:10">
      <c r="A1150" s="64"/>
      <c r="B1150" s="73" t="s">
        <v>2191</v>
      </c>
      <c r="C1150" s="66" t="s">
        <v>2192</v>
      </c>
      <c r="D1150" s="67">
        <v>2.8696</v>
      </c>
      <c r="E1150" s="68"/>
      <c r="F1150" s="69">
        <v>9</v>
      </c>
      <c r="G1150" s="70"/>
      <c r="H1150" s="71">
        <v>6.6</v>
      </c>
      <c r="I1150" s="71">
        <v>0</v>
      </c>
      <c r="J1150" s="71">
        <v>0</v>
      </c>
    </row>
    <row r="1151" customFormat="1" ht="12.75" hidden="1" spans="1:10">
      <c r="A1151" s="64"/>
      <c r="B1151" s="73" t="s">
        <v>2193</v>
      </c>
      <c r="C1151" s="66" t="s">
        <v>2194</v>
      </c>
      <c r="D1151" s="67">
        <v>0.1739</v>
      </c>
      <c r="E1151" s="68"/>
      <c r="F1151" s="69">
        <v>0.5</v>
      </c>
      <c r="G1151" s="70"/>
      <c r="H1151" s="71">
        <v>0.4</v>
      </c>
      <c r="I1151" s="71">
        <v>0</v>
      </c>
      <c r="J1151" s="71">
        <v>0</v>
      </c>
    </row>
    <row r="1152" customFormat="1" ht="12.75" hidden="1" spans="1:10">
      <c r="A1152" s="64"/>
      <c r="B1152" s="73" t="s">
        <v>2195</v>
      </c>
      <c r="C1152" s="66" t="s">
        <v>2196</v>
      </c>
      <c r="D1152" s="67">
        <v>0.1739</v>
      </c>
      <c r="E1152" s="68"/>
      <c r="F1152" s="69">
        <v>0.5</v>
      </c>
      <c r="G1152" s="70"/>
      <c r="H1152" s="71">
        <v>0.4</v>
      </c>
      <c r="I1152" s="71">
        <v>0</v>
      </c>
      <c r="J1152" s="71">
        <v>0</v>
      </c>
    </row>
    <row r="1153" ht="12.75" hidden="1" spans="1:21">
      <c r="A1153" s="64"/>
      <c r="B1153" s="73" t="s">
        <v>2197</v>
      </c>
      <c r="C1153" s="66" t="s">
        <v>2198</v>
      </c>
      <c r="D1153" s="67">
        <v>1.3043</v>
      </c>
      <c r="E1153" s="68"/>
      <c r="F1153" s="69">
        <v>4</v>
      </c>
      <c r="G1153" s="70"/>
      <c r="H1153" s="71">
        <v>3</v>
      </c>
      <c r="I1153" s="71">
        <v>0</v>
      </c>
      <c r="J1153" s="71">
        <v>0</v>
      </c>
      <c r="M1153"/>
      <c r="N1153"/>
      <c r="O1153"/>
      <c r="P1153"/>
      <c r="Q1153"/>
      <c r="R1153"/>
      <c r="S1153"/>
      <c r="T1153"/>
      <c r="U1153"/>
    </row>
    <row r="1154" ht="12.75" hidden="1" spans="1:21">
      <c r="A1154" s="64"/>
      <c r="B1154" s="73" t="s">
        <v>2199</v>
      </c>
      <c r="C1154" s="66" t="s">
        <v>2200</v>
      </c>
      <c r="D1154" s="67">
        <v>0.1304</v>
      </c>
      <c r="E1154" s="68"/>
      <c r="F1154" s="69">
        <v>0.5</v>
      </c>
      <c r="G1154" s="70"/>
      <c r="H1154" s="71">
        <v>0.3</v>
      </c>
      <c r="I1154" s="71">
        <v>0</v>
      </c>
      <c r="J1154" s="71">
        <v>0</v>
      </c>
      <c r="M1154"/>
      <c r="N1154"/>
      <c r="O1154"/>
      <c r="P1154"/>
      <c r="Q1154"/>
      <c r="R1154"/>
      <c r="S1154"/>
      <c r="T1154"/>
      <c r="U1154"/>
    </row>
    <row r="1155" ht="12.75" hidden="1" spans="1:21">
      <c r="A1155" s="64"/>
      <c r="B1155" s="73" t="s">
        <v>2201</v>
      </c>
      <c r="C1155" s="66" t="s">
        <v>2202</v>
      </c>
      <c r="D1155" s="67">
        <v>0.087</v>
      </c>
      <c r="E1155" s="68"/>
      <c r="F1155" s="69">
        <v>0.4</v>
      </c>
      <c r="G1155" s="70"/>
      <c r="H1155" s="71">
        <v>0.2</v>
      </c>
      <c r="I1155" s="71">
        <v>0</v>
      </c>
      <c r="J1155" s="71">
        <v>0</v>
      </c>
      <c r="M1155"/>
      <c r="N1155"/>
      <c r="O1155"/>
      <c r="P1155"/>
      <c r="Q1155"/>
      <c r="R1155"/>
      <c r="S1155"/>
      <c r="T1155"/>
      <c r="U1155"/>
    </row>
    <row r="1156" ht="12.75" hidden="1" spans="1:21">
      <c r="A1156" s="64"/>
      <c r="B1156" s="73" t="s">
        <v>2203</v>
      </c>
      <c r="C1156" s="66" t="s">
        <v>2204</v>
      </c>
      <c r="D1156" s="67">
        <v>0.7391</v>
      </c>
      <c r="E1156" s="68"/>
      <c r="F1156" s="69">
        <v>3</v>
      </c>
      <c r="G1156" s="70"/>
      <c r="H1156" s="71">
        <v>1.7</v>
      </c>
      <c r="I1156" s="71">
        <v>0</v>
      </c>
      <c r="J1156" s="71">
        <v>0</v>
      </c>
      <c r="M1156"/>
      <c r="N1156"/>
      <c r="O1156"/>
      <c r="P1156"/>
      <c r="Q1156"/>
      <c r="R1156"/>
      <c r="S1156"/>
      <c r="T1156"/>
      <c r="U1156"/>
    </row>
    <row r="1157" ht="12.75" hidden="1" spans="1:21">
      <c r="A1157" s="64"/>
      <c r="B1157" s="73" t="s">
        <v>2205</v>
      </c>
      <c r="C1157" s="66" t="s">
        <v>2206</v>
      </c>
      <c r="D1157" s="67">
        <v>0.1304</v>
      </c>
      <c r="E1157" s="68"/>
      <c r="F1157" s="69">
        <v>0.5</v>
      </c>
      <c r="G1157" s="70"/>
      <c r="H1157" s="71">
        <v>0.3</v>
      </c>
      <c r="I1157" s="71">
        <v>0</v>
      </c>
      <c r="J1157" s="71">
        <v>0</v>
      </c>
      <c r="M1157"/>
      <c r="N1157"/>
      <c r="O1157"/>
      <c r="P1157"/>
      <c r="Q1157"/>
      <c r="R1157"/>
      <c r="S1157"/>
      <c r="T1157"/>
      <c r="U1157"/>
    </row>
    <row r="1158" ht="12.75" hidden="1" spans="1:21">
      <c r="A1158" s="64"/>
      <c r="B1158" s="73" t="s">
        <v>2207</v>
      </c>
      <c r="C1158" s="66" t="s">
        <v>2208</v>
      </c>
      <c r="D1158" s="67">
        <v>0.087</v>
      </c>
      <c r="E1158" s="68"/>
      <c r="F1158" s="69">
        <v>0.5</v>
      </c>
      <c r="G1158" s="70"/>
      <c r="H1158" s="71">
        <v>0.2</v>
      </c>
      <c r="I1158" s="71">
        <v>0</v>
      </c>
      <c r="J1158" s="71">
        <v>0</v>
      </c>
      <c r="M1158"/>
      <c r="N1158"/>
      <c r="O1158"/>
      <c r="P1158"/>
      <c r="Q1158"/>
      <c r="R1158"/>
      <c r="S1158"/>
      <c r="T1158"/>
      <c r="U1158"/>
    </row>
    <row r="1159" ht="38.25" spans="1:20">
      <c r="A1159" s="72" t="s">
        <v>3773</v>
      </c>
      <c r="B1159" s="73" t="s">
        <v>2209</v>
      </c>
      <c r="C1159" s="66" t="s">
        <v>2210</v>
      </c>
      <c r="D1159" s="67">
        <v>0.2609</v>
      </c>
      <c r="E1159" s="68"/>
      <c r="F1159" s="69">
        <v>1</v>
      </c>
      <c r="G1159" s="70"/>
      <c r="H1159" s="71">
        <v>0.6</v>
      </c>
      <c r="I1159" s="71"/>
      <c r="J1159" s="71"/>
      <c r="M1159" s="32">
        <v>6</v>
      </c>
      <c r="N1159" s="77">
        <f t="shared" ref="N1159:N1160" si="5">+F1159</f>
        <v>1</v>
      </c>
      <c r="O1159" s="77">
        <f t="shared" ref="O1159:O1160" si="6">+M1159*N1159</f>
        <v>6</v>
      </c>
      <c r="R1159" s="3">
        <f t="shared" ref="R1159:R1160" si="7">+M1159</f>
        <v>6</v>
      </c>
      <c r="S1159" s="49">
        <f t="shared" ref="S1159:S1160" si="8">+H1159</f>
        <v>0.6</v>
      </c>
      <c r="T1159" s="49">
        <f t="shared" ref="T1159:T1160" si="9">+R1159*S1159</f>
        <v>3.6</v>
      </c>
    </row>
    <row r="1160" ht="38.25" spans="1:20">
      <c r="A1160" s="72" t="s">
        <v>3773</v>
      </c>
      <c r="B1160" s="73" t="s">
        <v>2211</v>
      </c>
      <c r="C1160" s="66" t="s">
        <v>2212</v>
      </c>
      <c r="D1160" s="67">
        <v>0.2609</v>
      </c>
      <c r="E1160" s="68"/>
      <c r="F1160" s="69">
        <v>1</v>
      </c>
      <c r="G1160" s="70"/>
      <c r="H1160" s="71">
        <v>0.6</v>
      </c>
      <c r="I1160" s="71"/>
      <c r="J1160" s="71"/>
      <c r="M1160" s="32">
        <v>6</v>
      </c>
      <c r="N1160" s="77">
        <f t="shared" si="5"/>
        <v>1</v>
      </c>
      <c r="O1160" s="77">
        <f t="shared" si="6"/>
        <v>6</v>
      </c>
      <c r="R1160" s="3">
        <f t="shared" si="7"/>
        <v>6</v>
      </c>
      <c r="S1160" s="49">
        <f t="shared" si="8"/>
        <v>0.6</v>
      </c>
      <c r="T1160" s="49">
        <f t="shared" si="9"/>
        <v>3.6</v>
      </c>
    </row>
    <row r="1161" ht="12.75" hidden="1" spans="1:21">
      <c r="A1161" s="64"/>
      <c r="B1161" s="73" t="s">
        <v>2213</v>
      </c>
      <c r="C1161" s="66" t="s">
        <v>2214</v>
      </c>
      <c r="D1161" s="67">
        <v>0.2609</v>
      </c>
      <c r="E1161" s="68"/>
      <c r="F1161" s="69">
        <v>1</v>
      </c>
      <c r="G1161" s="70"/>
      <c r="H1161" s="71">
        <v>0.6</v>
      </c>
      <c r="I1161" s="71">
        <v>0</v>
      </c>
      <c r="J1161" s="71">
        <v>0</v>
      </c>
      <c r="M1161"/>
      <c r="N1161"/>
      <c r="O1161"/>
      <c r="P1161"/>
      <c r="Q1161"/>
      <c r="R1161"/>
      <c r="S1161"/>
      <c r="T1161"/>
      <c r="U1161"/>
    </row>
    <row r="1162" ht="12.75" hidden="1" spans="1:21">
      <c r="A1162" s="64"/>
      <c r="B1162" s="73" t="s">
        <v>2215</v>
      </c>
      <c r="C1162" s="66" t="s">
        <v>2216</v>
      </c>
      <c r="D1162" s="67">
        <v>0.2174</v>
      </c>
      <c r="E1162" s="68"/>
      <c r="F1162" s="69">
        <v>1</v>
      </c>
      <c r="G1162" s="70"/>
      <c r="H1162" s="71">
        <v>0.5</v>
      </c>
      <c r="I1162" s="71">
        <v>0</v>
      </c>
      <c r="J1162" s="71">
        <v>0</v>
      </c>
      <c r="M1162"/>
      <c r="N1162"/>
      <c r="O1162"/>
      <c r="P1162"/>
      <c r="Q1162"/>
      <c r="R1162"/>
      <c r="S1162"/>
      <c r="T1162"/>
      <c r="U1162"/>
    </row>
    <row r="1163" ht="25.5" hidden="1" spans="1:21">
      <c r="A1163" s="64"/>
      <c r="B1163" s="73" t="s">
        <v>2217</v>
      </c>
      <c r="C1163" s="66" t="s">
        <v>2218</v>
      </c>
      <c r="D1163" s="67">
        <v>0.2174</v>
      </c>
      <c r="E1163" s="68"/>
      <c r="F1163" s="69">
        <v>1</v>
      </c>
      <c r="G1163" s="70"/>
      <c r="H1163" s="71">
        <v>0.5</v>
      </c>
      <c r="I1163" s="71">
        <v>0</v>
      </c>
      <c r="J1163" s="71">
        <v>0</v>
      </c>
      <c r="M1163"/>
      <c r="N1163"/>
      <c r="O1163"/>
      <c r="P1163"/>
      <c r="Q1163"/>
      <c r="R1163"/>
      <c r="S1163"/>
      <c r="T1163"/>
      <c r="U1163"/>
    </row>
    <row r="1164" ht="12.75" hidden="1" spans="1:21">
      <c r="A1164" s="64"/>
      <c r="B1164" s="73" t="s">
        <v>2219</v>
      </c>
      <c r="C1164" s="66" t="s">
        <v>2220</v>
      </c>
      <c r="D1164" s="67">
        <v>0.2174</v>
      </c>
      <c r="E1164" s="68"/>
      <c r="F1164" s="69">
        <v>1</v>
      </c>
      <c r="G1164" s="70"/>
      <c r="H1164" s="71">
        <v>0.5</v>
      </c>
      <c r="I1164" s="71">
        <v>0</v>
      </c>
      <c r="J1164" s="71">
        <v>0</v>
      </c>
      <c r="M1164"/>
      <c r="N1164"/>
      <c r="O1164"/>
      <c r="P1164"/>
      <c r="Q1164"/>
      <c r="R1164"/>
      <c r="S1164"/>
      <c r="T1164"/>
      <c r="U1164"/>
    </row>
    <row r="1165" ht="12.75" hidden="1" spans="1:21">
      <c r="A1165" s="64"/>
      <c r="B1165" s="73" t="s">
        <v>2221</v>
      </c>
      <c r="C1165" s="66" t="s">
        <v>2222</v>
      </c>
      <c r="D1165" s="67">
        <v>0.2174</v>
      </c>
      <c r="E1165" s="68"/>
      <c r="F1165" s="69">
        <v>1</v>
      </c>
      <c r="G1165" s="70"/>
      <c r="H1165" s="71">
        <v>0.5</v>
      </c>
      <c r="I1165" s="71">
        <v>0</v>
      </c>
      <c r="J1165" s="71">
        <v>0</v>
      </c>
      <c r="M1165"/>
      <c r="N1165"/>
      <c r="O1165"/>
      <c r="P1165"/>
      <c r="Q1165"/>
      <c r="R1165"/>
      <c r="S1165"/>
      <c r="T1165"/>
      <c r="U1165"/>
    </row>
    <row r="1166" ht="25.5" hidden="1" spans="1:21">
      <c r="A1166" s="64"/>
      <c r="B1166" s="73" t="s">
        <v>2223</v>
      </c>
      <c r="C1166" s="66" t="s">
        <v>2224</v>
      </c>
      <c r="D1166" s="67">
        <v>0.2174</v>
      </c>
      <c r="E1166" s="68"/>
      <c r="F1166" s="69">
        <v>1</v>
      </c>
      <c r="G1166" s="70"/>
      <c r="H1166" s="71">
        <v>0.5</v>
      </c>
      <c r="I1166" s="71">
        <v>0</v>
      </c>
      <c r="J1166" s="71">
        <v>0</v>
      </c>
      <c r="M1166"/>
      <c r="N1166"/>
      <c r="O1166"/>
      <c r="P1166"/>
      <c r="Q1166"/>
      <c r="R1166"/>
      <c r="S1166"/>
      <c r="T1166"/>
      <c r="U1166"/>
    </row>
    <row r="1167" ht="25.5" hidden="1" spans="1:21">
      <c r="A1167" s="64"/>
      <c r="B1167" s="73" t="s">
        <v>2225</v>
      </c>
      <c r="C1167" s="66" t="s">
        <v>2226</v>
      </c>
      <c r="D1167" s="67">
        <v>0.2174</v>
      </c>
      <c r="E1167" s="68"/>
      <c r="F1167" s="69">
        <v>1</v>
      </c>
      <c r="G1167" s="70"/>
      <c r="H1167" s="71">
        <v>0.5</v>
      </c>
      <c r="I1167" s="71">
        <v>0</v>
      </c>
      <c r="J1167" s="71">
        <v>0</v>
      </c>
      <c r="M1167"/>
      <c r="N1167"/>
      <c r="O1167"/>
      <c r="P1167"/>
      <c r="Q1167"/>
      <c r="R1167"/>
      <c r="S1167"/>
      <c r="T1167"/>
      <c r="U1167"/>
    </row>
    <row r="1168" ht="25.5" hidden="1" spans="1:21">
      <c r="A1168" s="64"/>
      <c r="B1168" s="73" t="s">
        <v>2227</v>
      </c>
      <c r="C1168" s="66" t="s">
        <v>2228</v>
      </c>
      <c r="D1168" s="67">
        <v>0.6522</v>
      </c>
      <c r="E1168" s="68"/>
      <c r="F1168" s="69">
        <v>2.5</v>
      </c>
      <c r="G1168" s="70"/>
      <c r="H1168" s="71">
        <v>1.5</v>
      </c>
      <c r="I1168" s="71">
        <v>0</v>
      </c>
      <c r="J1168" s="71">
        <v>0</v>
      </c>
      <c r="M1168"/>
      <c r="N1168"/>
      <c r="O1168"/>
      <c r="P1168"/>
      <c r="Q1168"/>
      <c r="R1168"/>
      <c r="S1168"/>
      <c r="T1168"/>
      <c r="U1168"/>
    </row>
    <row r="1169" customFormat="1" ht="12.75" hidden="1" spans="1:10">
      <c r="A1169" s="64"/>
      <c r="B1169" s="73" t="s">
        <v>2229</v>
      </c>
      <c r="C1169" s="66" t="s">
        <v>2230</v>
      </c>
      <c r="D1169" s="67">
        <v>0.3043</v>
      </c>
      <c r="E1169" s="68"/>
      <c r="F1169" s="69">
        <v>1</v>
      </c>
      <c r="G1169" s="70"/>
      <c r="H1169" s="71">
        <v>0.7</v>
      </c>
      <c r="I1169" s="71">
        <v>0</v>
      </c>
      <c r="J1169" s="71">
        <v>0</v>
      </c>
    </row>
    <row r="1170" customFormat="1" ht="12.75" hidden="1" spans="1:10">
      <c r="A1170" s="64"/>
      <c r="B1170" s="73" t="s">
        <v>2231</v>
      </c>
      <c r="C1170" s="66" t="s">
        <v>2232</v>
      </c>
      <c r="D1170" s="67">
        <v>0.3043</v>
      </c>
      <c r="E1170" s="68"/>
      <c r="F1170" s="69">
        <v>1</v>
      </c>
      <c r="G1170" s="70"/>
      <c r="H1170" s="71">
        <v>0.7</v>
      </c>
      <c r="I1170" s="71">
        <v>0</v>
      </c>
      <c r="J1170" s="71">
        <v>0</v>
      </c>
    </row>
    <row r="1171" customFormat="1" ht="12.75" hidden="1" spans="1:10">
      <c r="A1171" s="64"/>
      <c r="B1171" s="73" t="s">
        <v>2233</v>
      </c>
      <c r="C1171" s="66" t="s">
        <v>2234</v>
      </c>
      <c r="D1171" s="67">
        <v>0.3043</v>
      </c>
      <c r="E1171" s="68"/>
      <c r="F1171" s="69">
        <v>1</v>
      </c>
      <c r="G1171" s="70"/>
      <c r="H1171" s="71">
        <v>0.7</v>
      </c>
      <c r="I1171" s="71">
        <v>0</v>
      </c>
      <c r="J1171" s="71">
        <v>0</v>
      </c>
    </row>
    <row r="1172" customFormat="1" ht="12.75" hidden="1" spans="1:10">
      <c r="A1172" s="64"/>
      <c r="B1172" s="73" t="s">
        <v>2235</v>
      </c>
      <c r="C1172" s="66" t="s">
        <v>2236</v>
      </c>
      <c r="D1172" s="67">
        <v>0.3043</v>
      </c>
      <c r="E1172" s="68"/>
      <c r="F1172" s="69">
        <v>1</v>
      </c>
      <c r="G1172" s="70"/>
      <c r="H1172" s="71">
        <v>0.7</v>
      </c>
      <c r="I1172" s="71">
        <v>0</v>
      </c>
      <c r="J1172" s="71">
        <v>0</v>
      </c>
    </row>
    <row r="1173" customFormat="1" ht="12.75" hidden="1" spans="1:10">
      <c r="A1173" s="64"/>
      <c r="B1173" s="73" t="s">
        <v>2237</v>
      </c>
      <c r="C1173" s="66" t="s">
        <v>2238</v>
      </c>
      <c r="D1173" s="67">
        <v>0.3043</v>
      </c>
      <c r="E1173" s="68"/>
      <c r="F1173" s="69">
        <v>1</v>
      </c>
      <c r="G1173" s="70"/>
      <c r="H1173" s="71">
        <v>0.7</v>
      </c>
      <c r="I1173" s="71">
        <v>0</v>
      </c>
      <c r="J1173" s="71">
        <v>0</v>
      </c>
    </row>
    <row r="1174" customFormat="1" ht="25.5" hidden="1" spans="1:10">
      <c r="A1174" s="64"/>
      <c r="B1174" s="73" t="s">
        <v>2239</v>
      </c>
      <c r="C1174" s="66" t="s">
        <v>2240</v>
      </c>
      <c r="D1174" s="67">
        <v>0.3043</v>
      </c>
      <c r="E1174" s="68"/>
      <c r="F1174" s="69">
        <v>0.5</v>
      </c>
      <c r="G1174" s="70"/>
      <c r="H1174" s="71">
        <v>0.3</v>
      </c>
      <c r="I1174" s="71">
        <v>0</v>
      </c>
      <c r="J1174" s="71">
        <v>0</v>
      </c>
    </row>
    <row r="1175" customFormat="1" ht="25.5" hidden="1" spans="1:10">
      <c r="A1175" s="64"/>
      <c r="B1175" s="73" t="s">
        <v>2241</v>
      </c>
      <c r="C1175" s="66" t="s">
        <v>2242</v>
      </c>
      <c r="D1175" s="67">
        <v>0.3043</v>
      </c>
      <c r="E1175" s="68"/>
      <c r="F1175" s="69">
        <v>1</v>
      </c>
      <c r="G1175" s="70"/>
      <c r="H1175" s="71">
        <v>5</v>
      </c>
      <c r="I1175" s="71">
        <v>0</v>
      </c>
      <c r="J1175" s="71">
        <v>0</v>
      </c>
    </row>
    <row r="1176" customFormat="1" ht="25.5" hidden="1" spans="1:10">
      <c r="A1176" s="64"/>
      <c r="B1176" s="73" t="s">
        <v>2243</v>
      </c>
      <c r="C1176" s="66" t="s">
        <v>2244</v>
      </c>
      <c r="D1176" s="67">
        <v>0.3043</v>
      </c>
      <c r="E1176" s="68"/>
      <c r="F1176" s="69">
        <v>1</v>
      </c>
      <c r="G1176" s="70"/>
      <c r="H1176" s="71">
        <v>0.7</v>
      </c>
      <c r="I1176" s="71">
        <v>0</v>
      </c>
      <c r="J1176" s="71">
        <v>0</v>
      </c>
    </row>
    <row r="1177" customFormat="1" ht="12.75" hidden="1" spans="1:10">
      <c r="A1177" s="64"/>
      <c r="B1177" s="73" t="s">
        <v>2245</v>
      </c>
      <c r="C1177" s="66" t="s">
        <v>2246</v>
      </c>
      <c r="D1177" s="67">
        <v>0.3043</v>
      </c>
      <c r="E1177" s="68"/>
      <c r="F1177" s="69">
        <v>1</v>
      </c>
      <c r="G1177" s="70"/>
      <c r="H1177" s="71">
        <v>0.7</v>
      </c>
      <c r="I1177" s="71">
        <v>0</v>
      </c>
      <c r="J1177" s="71">
        <v>0</v>
      </c>
    </row>
    <row r="1178" customFormat="1" ht="12.75" hidden="1" spans="1:10">
      <c r="A1178" s="64"/>
      <c r="B1178" s="73" t="s">
        <v>2247</v>
      </c>
      <c r="C1178" s="66" t="s">
        <v>2248</v>
      </c>
      <c r="D1178" s="67">
        <v>0.3043</v>
      </c>
      <c r="E1178" s="68"/>
      <c r="F1178" s="69">
        <v>1</v>
      </c>
      <c r="G1178" s="70"/>
      <c r="H1178" s="71">
        <v>0.7</v>
      </c>
      <c r="I1178" s="71">
        <v>0</v>
      </c>
      <c r="J1178" s="71">
        <v>0</v>
      </c>
    </row>
    <row r="1179" customFormat="1" ht="12.75" hidden="1" spans="1:10">
      <c r="A1179" s="64"/>
      <c r="B1179" s="73" t="s">
        <v>2249</v>
      </c>
      <c r="C1179" s="66" t="s">
        <v>2250</v>
      </c>
      <c r="D1179" s="67">
        <v>0.3043</v>
      </c>
      <c r="E1179" s="68"/>
      <c r="F1179" s="69">
        <v>1</v>
      </c>
      <c r="G1179" s="70"/>
      <c r="H1179" s="71">
        <v>0.7</v>
      </c>
      <c r="I1179" s="71">
        <v>0</v>
      </c>
      <c r="J1179" s="71">
        <v>0</v>
      </c>
    </row>
    <row r="1180" customFormat="1" ht="12.75" hidden="1" spans="1:10">
      <c r="A1180" s="64"/>
      <c r="B1180" s="73" t="s">
        <v>2251</v>
      </c>
      <c r="C1180" s="66" t="s">
        <v>2252</v>
      </c>
      <c r="D1180" s="67">
        <v>0.3043</v>
      </c>
      <c r="E1180" s="68"/>
      <c r="F1180" s="69">
        <v>1</v>
      </c>
      <c r="G1180" s="70"/>
      <c r="H1180" s="71">
        <v>0.7</v>
      </c>
      <c r="I1180" s="71">
        <v>0</v>
      </c>
      <c r="J1180" s="71">
        <v>0</v>
      </c>
    </row>
    <row r="1181" customFormat="1" ht="12.75" hidden="1" spans="1:10">
      <c r="A1181" s="64"/>
      <c r="B1181" s="73" t="s">
        <v>2253</v>
      </c>
      <c r="C1181" s="66" t="s">
        <v>2254</v>
      </c>
      <c r="D1181" s="67">
        <v>0.913</v>
      </c>
      <c r="E1181" s="68"/>
      <c r="F1181" s="69">
        <v>3.5</v>
      </c>
      <c r="G1181" s="70"/>
      <c r="H1181" s="71">
        <v>2.1</v>
      </c>
      <c r="I1181" s="71">
        <v>0</v>
      </c>
      <c r="J1181" s="71">
        <v>0</v>
      </c>
    </row>
    <row r="1182" customFormat="1" ht="12.75" hidden="1" spans="1:10">
      <c r="A1182" s="64"/>
      <c r="B1182" s="73" t="s">
        <v>2255</v>
      </c>
      <c r="C1182" s="66" t="s">
        <v>2256</v>
      </c>
      <c r="D1182" s="67">
        <v>0.6522</v>
      </c>
      <c r="E1182" s="68"/>
      <c r="F1182" s="69">
        <v>2.4</v>
      </c>
      <c r="G1182" s="70"/>
      <c r="H1182" s="71">
        <v>1.5</v>
      </c>
      <c r="I1182" s="71">
        <v>0</v>
      </c>
      <c r="J1182" s="71">
        <v>0</v>
      </c>
    </row>
    <row r="1183" customFormat="1" ht="12.75" hidden="1" spans="1:10">
      <c r="A1183" s="64"/>
      <c r="B1183" s="73" t="s">
        <v>2257</v>
      </c>
      <c r="C1183" s="66" t="s">
        <v>2258</v>
      </c>
      <c r="D1183" s="67">
        <v>0.087</v>
      </c>
      <c r="E1183" s="68"/>
      <c r="F1183" s="69">
        <v>0.3</v>
      </c>
      <c r="G1183" s="70"/>
      <c r="H1183" s="71">
        <v>0.2</v>
      </c>
      <c r="I1183" s="71">
        <v>0</v>
      </c>
      <c r="J1183" s="71">
        <v>0</v>
      </c>
    </row>
    <row r="1184" customFormat="1" ht="12.75" hidden="1" spans="1:10">
      <c r="A1184" s="74"/>
      <c r="B1184" s="73" t="s">
        <v>2259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  <c r="I1184" s="71">
        <v>0</v>
      </c>
      <c r="J1184" s="71">
        <v>0</v>
      </c>
    </row>
    <row r="1185" customFormat="1" ht="12.75" hidden="1" spans="1:10">
      <c r="A1185" s="84"/>
      <c r="B1185" s="73" t="s">
        <v>2261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  <c r="I1185" s="71">
        <v>0</v>
      </c>
      <c r="J1185" s="71">
        <v>0</v>
      </c>
    </row>
    <row r="1186" customFormat="1" ht="12.75" hidden="1" spans="1:10">
      <c r="A1186" s="84"/>
      <c r="B1186" s="73" t="s">
        <v>2262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  <c r="I1186" s="71">
        <v>0</v>
      </c>
      <c r="J1186" s="71">
        <v>0</v>
      </c>
    </row>
    <row r="1187" customFormat="1" ht="12.75" hidden="1" spans="1:10">
      <c r="A1187" s="84"/>
      <c r="B1187" s="73" t="s">
        <v>2263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  <c r="I1187" s="71">
        <v>0</v>
      </c>
      <c r="J1187" s="71">
        <v>0</v>
      </c>
    </row>
    <row r="1188" customFormat="1" ht="12.75" hidden="1" spans="1:10">
      <c r="A1188" s="84"/>
      <c r="B1188" s="73" t="s">
        <v>2264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  <c r="I1188" s="71">
        <v>0</v>
      </c>
      <c r="J1188" s="71">
        <v>0</v>
      </c>
    </row>
    <row r="1189" customFormat="1" ht="12.75" hidden="1" spans="1:10">
      <c r="A1189" s="84"/>
      <c r="B1189" s="73" t="s">
        <v>2265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  <c r="I1189" s="71">
        <v>0</v>
      </c>
      <c r="J1189" s="71">
        <v>0</v>
      </c>
    </row>
    <row r="1190" customFormat="1" ht="12.75" hidden="1" spans="1:10">
      <c r="A1190" s="84"/>
      <c r="B1190" s="73" t="s">
        <v>2266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  <c r="I1190" s="71">
        <v>0</v>
      </c>
      <c r="J1190" s="71">
        <v>0</v>
      </c>
    </row>
    <row r="1191" customFormat="1" ht="12.75" hidden="1" spans="1:10">
      <c r="A1191" s="84"/>
      <c r="B1191" s="73" t="s">
        <v>2267</v>
      </c>
      <c r="C1191" s="66" t="s">
        <v>2260</v>
      </c>
      <c r="D1191" s="67">
        <v>0.2174</v>
      </c>
      <c r="E1191" s="68"/>
      <c r="F1191" s="69">
        <v>1</v>
      </c>
      <c r="G1191" s="70"/>
      <c r="H1191" s="71">
        <v>0.5</v>
      </c>
      <c r="I1191" s="71">
        <v>0</v>
      </c>
      <c r="J1191" s="71">
        <v>0</v>
      </c>
    </row>
    <row r="1192" customFormat="1" ht="12.75" hidden="1" spans="1:10">
      <c r="A1192" s="84"/>
      <c r="B1192" s="73" t="s">
        <v>2268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  <c r="I1192" s="71">
        <v>0</v>
      </c>
      <c r="J1192" s="71">
        <v>0</v>
      </c>
    </row>
    <row r="1193" customFormat="1" ht="12.75" hidden="1" spans="1:10">
      <c r="A1193" s="84"/>
      <c r="B1193" s="73" t="s">
        <v>2269</v>
      </c>
      <c r="C1193" s="66" t="s">
        <v>2260</v>
      </c>
      <c r="D1193" s="67">
        <v>0.2609</v>
      </c>
      <c r="E1193" s="68"/>
      <c r="F1193" s="69">
        <v>1</v>
      </c>
      <c r="G1193" s="70"/>
      <c r="H1193" s="71">
        <v>0.6</v>
      </c>
      <c r="I1193" s="71">
        <v>0</v>
      </c>
      <c r="J1193" s="71">
        <v>0</v>
      </c>
    </row>
    <row r="1194" customFormat="1" ht="12.75" hidden="1" spans="1:10">
      <c r="A1194" s="84"/>
      <c r="B1194" s="73" t="s">
        <v>2270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  <c r="I1194" s="71">
        <v>0</v>
      </c>
      <c r="J1194" s="71">
        <v>0</v>
      </c>
    </row>
    <row r="1195" customFormat="1" ht="12.75" hidden="1" spans="1:10">
      <c r="A1195" s="75"/>
      <c r="B1195" s="73" t="s">
        <v>2271</v>
      </c>
      <c r="C1195" s="66" t="s">
        <v>2260</v>
      </c>
      <c r="D1195" s="67">
        <v>0.2174</v>
      </c>
      <c r="E1195" s="68"/>
      <c r="F1195" s="69">
        <v>1</v>
      </c>
      <c r="G1195" s="70"/>
      <c r="H1195" s="71">
        <v>0.5</v>
      </c>
      <c r="I1195" s="71">
        <v>0</v>
      </c>
      <c r="J1195" s="71">
        <v>0</v>
      </c>
    </row>
    <row r="1196" customFormat="1" ht="12.75" hidden="1" spans="1:10">
      <c r="A1196" s="64"/>
      <c r="B1196" s="73" t="s">
        <v>2272</v>
      </c>
      <c r="C1196" s="66" t="s">
        <v>2273</v>
      </c>
      <c r="D1196" s="67">
        <v>0.2174</v>
      </c>
      <c r="E1196" s="68"/>
      <c r="F1196" s="69">
        <v>1</v>
      </c>
      <c r="G1196" s="70"/>
      <c r="H1196" s="71">
        <v>0.5</v>
      </c>
      <c r="I1196" s="71">
        <v>0</v>
      </c>
      <c r="J1196" s="71">
        <v>0</v>
      </c>
    </row>
    <row r="1197" customFormat="1" ht="12.75" hidden="1" spans="1:10">
      <c r="A1197" s="64"/>
      <c r="B1197" s="73" t="s">
        <v>2274</v>
      </c>
      <c r="C1197" s="66" t="s">
        <v>2275</v>
      </c>
      <c r="D1197" s="67">
        <v>0.5652</v>
      </c>
      <c r="E1197" s="68"/>
      <c r="F1197" s="69">
        <v>2.1</v>
      </c>
      <c r="G1197" s="70"/>
      <c r="H1197" s="71">
        <v>1.3</v>
      </c>
      <c r="I1197" s="71">
        <v>0</v>
      </c>
      <c r="J1197" s="71">
        <v>0</v>
      </c>
    </row>
    <row r="1198" customFormat="1" ht="12.75" hidden="1" spans="1:10">
      <c r="A1198" s="64"/>
      <c r="B1198" s="73" t="s">
        <v>2276</v>
      </c>
      <c r="C1198" s="66" t="s">
        <v>2277</v>
      </c>
      <c r="D1198" s="67">
        <v>0.5217</v>
      </c>
      <c r="E1198" s="68"/>
      <c r="F1198" s="69">
        <v>2</v>
      </c>
      <c r="G1198" s="70"/>
      <c r="H1198" s="71">
        <v>1.2</v>
      </c>
      <c r="I1198" s="71">
        <v>0</v>
      </c>
      <c r="J1198" s="71">
        <v>0</v>
      </c>
    </row>
    <row r="1199" customFormat="1" ht="12.75" hidden="1" spans="1:10">
      <c r="A1199" s="64"/>
      <c r="B1199" s="73" t="s">
        <v>2278</v>
      </c>
      <c r="C1199" s="66" t="s">
        <v>2279</v>
      </c>
      <c r="D1199" s="67">
        <v>0.1304</v>
      </c>
      <c r="E1199" s="68"/>
      <c r="F1199" s="69">
        <v>0.5</v>
      </c>
      <c r="G1199" s="70"/>
      <c r="H1199" s="71">
        <v>0.3</v>
      </c>
      <c r="I1199" s="71">
        <v>0</v>
      </c>
      <c r="J1199" s="71">
        <v>0</v>
      </c>
    </row>
    <row r="1200" customFormat="1" ht="12.75" hidden="1" spans="1:10">
      <c r="A1200" s="64"/>
      <c r="B1200" s="73" t="s">
        <v>2280</v>
      </c>
      <c r="C1200" s="66" t="s">
        <v>2281</v>
      </c>
      <c r="D1200" s="67">
        <v>0.9565</v>
      </c>
      <c r="E1200" s="68"/>
      <c r="F1200" s="69">
        <v>3.5</v>
      </c>
      <c r="G1200" s="70"/>
      <c r="H1200" s="71">
        <v>2.2</v>
      </c>
      <c r="I1200" s="71">
        <v>0</v>
      </c>
      <c r="J1200" s="71">
        <v>0</v>
      </c>
    </row>
    <row r="1201" customFormat="1" ht="12.75" hidden="1" spans="1:10">
      <c r="A1201" s="64"/>
      <c r="B1201" s="73" t="s">
        <v>2282</v>
      </c>
      <c r="C1201" s="66" t="s">
        <v>2283</v>
      </c>
      <c r="D1201" s="67">
        <v>2.6087</v>
      </c>
      <c r="E1201" s="68"/>
      <c r="F1201" s="69">
        <v>9</v>
      </c>
      <c r="G1201" s="70"/>
      <c r="H1201" s="71">
        <v>6</v>
      </c>
      <c r="I1201" s="71">
        <v>0</v>
      </c>
      <c r="J1201" s="71">
        <v>0</v>
      </c>
    </row>
    <row r="1202" customFormat="1" ht="12.75" hidden="1" spans="1:10">
      <c r="A1202" s="64"/>
      <c r="B1202" s="73" t="s">
        <v>2284</v>
      </c>
      <c r="C1202" s="66" t="s">
        <v>2285</v>
      </c>
      <c r="D1202" s="67">
        <v>2.6087</v>
      </c>
      <c r="E1202" s="68"/>
      <c r="F1202" s="69">
        <v>9</v>
      </c>
      <c r="G1202" s="70"/>
      <c r="H1202" s="71">
        <v>6</v>
      </c>
      <c r="I1202" s="71">
        <v>0</v>
      </c>
      <c r="J1202" s="71">
        <v>0</v>
      </c>
    </row>
    <row r="1203" customFormat="1" ht="12.75" hidden="1" spans="1:10">
      <c r="A1203" s="64"/>
      <c r="B1203" s="73" t="s">
        <v>2286</v>
      </c>
      <c r="C1203" s="66" t="s">
        <v>2287</v>
      </c>
      <c r="D1203" s="67">
        <v>2.6087</v>
      </c>
      <c r="E1203" s="68"/>
      <c r="F1203" s="69">
        <v>9</v>
      </c>
      <c r="G1203" s="70"/>
      <c r="H1203" s="71">
        <v>6</v>
      </c>
      <c r="I1203" s="71">
        <v>0</v>
      </c>
      <c r="J1203" s="71">
        <v>0</v>
      </c>
    </row>
    <row r="1204" customFormat="1" ht="12.75" hidden="1" spans="1:10">
      <c r="A1204" s="64"/>
      <c r="B1204" s="73" t="s">
        <v>2288</v>
      </c>
      <c r="C1204" s="66" t="s">
        <v>2289</v>
      </c>
      <c r="D1204" s="67">
        <v>2.6087</v>
      </c>
      <c r="E1204" s="68"/>
      <c r="F1204" s="69">
        <v>9</v>
      </c>
      <c r="G1204" s="70"/>
      <c r="H1204" s="71">
        <v>6</v>
      </c>
      <c r="I1204" s="71">
        <v>0</v>
      </c>
      <c r="J1204" s="71">
        <v>0</v>
      </c>
    </row>
    <row r="1205" customFormat="1" ht="12.75" hidden="1" spans="1:10">
      <c r="A1205" s="64"/>
      <c r="B1205" s="73" t="s">
        <v>2290</v>
      </c>
      <c r="C1205" s="66" t="s">
        <v>2291</v>
      </c>
      <c r="D1205" s="67">
        <v>2.6087</v>
      </c>
      <c r="E1205" s="68"/>
      <c r="F1205" s="69">
        <v>9</v>
      </c>
      <c r="G1205" s="70"/>
      <c r="H1205" s="71">
        <v>6</v>
      </c>
      <c r="I1205" s="71">
        <v>0</v>
      </c>
      <c r="J1205" s="71">
        <v>0</v>
      </c>
    </row>
    <row r="1206" customFormat="1" ht="12.75" hidden="1" spans="1:10">
      <c r="A1206" s="64"/>
      <c r="B1206" s="73" t="s">
        <v>2292</v>
      </c>
      <c r="C1206" s="66" t="s">
        <v>2293</v>
      </c>
      <c r="D1206" s="67">
        <v>2.6087</v>
      </c>
      <c r="E1206" s="68"/>
      <c r="F1206" s="69">
        <v>9</v>
      </c>
      <c r="G1206" s="70"/>
      <c r="H1206" s="71">
        <v>6</v>
      </c>
      <c r="I1206" s="71">
        <v>0</v>
      </c>
      <c r="J1206" s="71">
        <v>0</v>
      </c>
    </row>
    <row r="1207" customFormat="1" ht="12.75" hidden="1" spans="1:10">
      <c r="A1207" s="64"/>
      <c r="B1207" s="73" t="s">
        <v>2294</v>
      </c>
      <c r="C1207" s="66" t="s">
        <v>2295</v>
      </c>
      <c r="D1207" s="67">
        <v>2.6087</v>
      </c>
      <c r="E1207" s="68"/>
      <c r="F1207" s="69">
        <v>9</v>
      </c>
      <c r="G1207" s="70"/>
      <c r="H1207" s="71">
        <v>6</v>
      </c>
      <c r="I1207" s="71">
        <v>0</v>
      </c>
      <c r="J1207" s="71">
        <v>0</v>
      </c>
    </row>
    <row r="1208" customFormat="1" ht="12.75" hidden="1" spans="1:10">
      <c r="A1208" s="64"/>
      <c r="B1208" s="73" t="s">
        <v>2296</v>
      </c>
      <c r="C1208" s="66" t="s">
        <v>2297</v>
      </c>
      <c r="D1208" s="67">
        <v>2.6087</v>
      </c>
      <c r="E1208" s="68"/>
      <c r="F1208" s="69">
        <v>9</v>
      </c>
      <c r="G1208" s="70"/>
      <c r="H1208" s="71">
        <v>6</v>
      </c>
      <c r="I1208" s="71">
        <v>0</v>
      </c>
      <c r="J1208" s="71">
        <v>0</v>
      </c>
    </row>
    <row r="1209" customFormat="1" ht="12.75" hidden="1" spans="1:10">
      <c r="A1209" s="64"/>
      <c r="B1209" s="73" t="s">
        <v>2298</v>
      </c>
      <c r="C1209" s="66" t="s">
        <v>2299</v>
      </c>
      <c r="D1209" s="67">
        <v>2.6087</v>
      </c>
      <c r="E1209" s="68"/>
      <c r="F1209" s="69">
        <v>9</v>
      </c>
      <c r="G1209" s="70"/>
      <c r="H1209" s="71">
        <v>6</v>
      </c>
      <c r="I1209" s="71">
        <v>0</v>
      </c>
      <c r="J1209" s="71">
        <v>0</v>
      </c>
    </row>
    <row r="1210" customFormat="1" ht="12.75" hidden="1" spans="1:10">
      <c r="A1210" s="64"/>
      <c r="B1210" s="73" t="s">
        <v>2300</v>
      </c>
      <c r="C1210" s="66" t="s">
        <v>2301</v>
      </c>
      <c r="D1210" s="67">
        <v>2.6087</v>
      </c>
      <c r="E1210" s="68"/>
      <c r="F1210" s="69">
        <v>9</v>
      </c>
      <c r="G1210" s="70"/>
      <c r="H1210" s="71">
        <v>6</v>
      </c>
      <c r="I1210" s="71">
        <v>0</v>
      </c>
      <c r="J1210" s="71">
        <v>0</v>
      </c>
    </row>
    <row r="1211" customFormat="1" ht="12.75" hidden="1" spans="1:10">
      <c r="A1211" s="64"/>
      <c r="B1211" s="73" t="s">
        <v>2302</v>
      </c>
      <c r="C1211" s="66" t="s">
        <v>2303</v>
      </c>
      <c r="D1211" s="67">
        <v>2.6087</v>
      </c>
      <c r="E1211" s="68"/>
      <c r="F1211" s="69">
        <v>9</v>
      </c>
      <c r="G1211" s="70"/>
      <c r="H1211" s="71">
        <v>6</v>
      </c>
      <c r="I1211" s="71">
        <v>0</v>
      </c>
      <c r="J1211" s="71">
        <v>0</v>
      </c>
    </row>
    <row r="1212" customFormat="1" ht="12.75" hidden="1" spans="1:10">
      <c r="A1212" s="64"/>
      <c r="B1212" s="73" t="s">
        <v>2304</v>
      </c>
      <c r="C1212" s="66" t="s">
        <v>2305</v>
      </c>
      <c r="D1212" s="67">
        <v>2.6087</v>
      </c>
      <c r="E1212" s="68"/>
      <c r="F1212" s="69">
        <v>9</v>
      </c>
      <c r="G1212" s="70"/>
      <c r="H1212" s="71">
        <v>6</v>
      </c>
      <c r="I1212" s="71">
        <v>0</v>
      </c>
      <c r="J1212" s="71">
        <v>0</v>
      </c>
    </row>
    <row r="1213" customFormat="1" ht="12.75" hidden="1" spans="1:10">
      <c r="A1213" s="64"/>
      <c r="B1213" s="73" t="s">
        <v>2306</v>
      </c>
      <c r="C1213" s="66" t="s">
        <v>2307</v>
      </c>
      <c r="D1213" s="67">
        <v>2.6087</v>
      </c>
      <c r="E1213" s="68"/>
      <c r="F1213" s="69">
        <v>9</v>
      </c>
      <c r="G1213" s="70"/>
      <c r="H1213" s="71">
        <v>6</v>
      </c>
      <c r="I1213" s="71">
        <v>0</v>
      </c>
      <c r="J1213" s="71">
        <v>0</v>
      </c>
    </row>
    <row r="1214" customFormat="1" ht="12.75" hidden="1" spans="1:10">
      <c r="A1214" s="64"/>
      <c r="B1214" s="73" t="s">
        <v>2308</v>
      </c>
      <c r="C1214" s="66" t="s">
        <v>2309</v>
      </c>
      <c r="D1214" s="67">
        <v>2.6087</v>
      </c>
      <c r="E1214" s="68"/>
      <c r="F1214" s="69">
        <v>9</v>
      </c>
      <c r="G1214" s="70"/>
      <c r="H1214" s="71">
        <v>6</v>
      </c>
      <c r="I1214" s="71">
        <v>0</v>
      </c>
      <c r="J1214" s="71">
        <v>0</v>
      </c>
    </row>
    <row r="1215" customFormat="1" ht="12.75" hidden="1" spans="1:10">
      <c r="A1215" s="64"/>
      <c r="B1215" s="73" t="s">
        <v>2310</v>
      </c>
      <c r="C1215" s="66" t="s">
        <v>2311</v>
      </c>
      <c r="D1215" s="67">
        <v>2.6087</v>
      </c>
      <c r="E1215" s="68"/>
      <c r="F1215" s="69">
        <v>9</v>
      </c>
      <c r="G1215" s="70"/>
      <c r="H1215" s="71">
        <v>6</v>
      </c>
      <c r="I1215" s="71">
        <v>0</v>
      </c>
      <c r="J1215" s="71">
        <v>0</v>
      </c>
    </row>
    <row r="1216" customFormat="1" ht="12.75" hidden="1" spans="1:10">
      <c r="A1216" s="64"/>
      <c r="B1216" s="73" t="s">
        <v>2312</v>
      </c>
      <c r="C1216" s="66" t="s">
        <v>2313</v>
      </c>
      <c r="D1216" s="67">
        <v>0.8696</v>
      </c>
      <c r="E1216" s="68"/>
      <c r="F1216" s="69">
        <v>3.5</v>
      </c>
      <c r="G1216" s="70"/>
      <c r="H1216" s="71">
        <v>2</v>
      </c>
      <c r="I1216" s="71">
        <v>0</v>
      </c>
      <c r="J1216" s="71">
        <v>0</v>
      </c>
    </row>
    <row r="1217" customFormat="1" ht="12.75" hidden="1" spans="1:10">
      <c r="A1217" s="64"/>
      <c r="B1217" s="73" t="s">
        <v>2314</v>
      </c>
      <c r="C1217" s="66" t="s">
        <v>2315</v>
      </c>
      <c r="D1217" s="67">
        <v>0.8696</v>
      </c>
      <c r="E1217" s="68"/>
      <c r="F1217" s="69">
        <v>3.2</v>
      </c>
      <c r="G1217" s="70"/>
      <c r="H1217" s="71">
        <v>2</v>
      </c>
      <c r="I1217" s="71">
        <v>0</v>
      </c>
      <c r="J1217" s="71">
        <v>0</v>
      </c>
    </row>
    <row r="1218" customFormat="1" ht="12.75" hidden="1" spans="1:10">
      <c r="A1218" s="64"/>
      <c r="B1218" s="73" t="s">
        <v>2316</v>
      </c>
      <c r="C1218" s="66" t="s">
        <v>2317</v>
      </c>
      <c r="D1218" s="67">
        <v>0.8696</v>
      </c>
      <c r="E1218" s="68"/>
      <c r="F1218" s="69">
        <v>3.5</v>
      </c>
      <c r="G1218" s="70"/>
      <c r="H1218" s="71">
        <v>2</v>
      </c>
      <c r="I1218" s="71">
        <v>0</v>
      </c>
      <c r="J1218" s="71">
        <v>0</v>
      </c>
    </row>
    <row r="1219" customFormat="1" ht="12.75" hidden="1" spans="1:10">
      <c r="A1219" s="64"/>
      <c r="B1219" s="73" t="s">
        <v>2318</v>
      </c>
      <c r="C1219" s="66" t="s">
        <v>2319</v>
      </c>
      <c r="D1219" s="67">
        <v>0.8696</v>
      </c>
      <c r="E1219" s="68"/>
      <c r="F1219" s="69">
        <v>3.5</v>
      </c>
      <c r="G1219" s="70"/>
      <c r="H1219" s="71">
        <v>2</v>
      </c>
      <c r="I1219" s="71">
        <v>0</v>
      </c>
      <c r="J1219" s="71">
        <v>0</v>
      </c>
    </row>
    <row r="1220" customFormat="1" ht="12.75" hidden="1" spans="1:10">
      <c r="A1220" s="64"/>
      <c r="B1220" s="73" t="s">
        <v>2320</v>
      </c>
      <c r="C1220" s="66" t="s">
        <v>2321</v>
      </c>
      <c r="D1220" s="67">
        <v>0.8696</v>
      </c>
      <c r="E1220" s="68"/>
      <c r="F1220" s="69">
        <v>3.5</v>
      </c>
      <c r="G1220" s="70"/>
      <c r="H1220" s="71">
        <v>2</v>
      </c>
      <c r="I1220" s="71">
        <v>0</v>
      </c>
      <c r="J1220" s="71">
        <v>0</v>
      </c>
    </row>
    <row r="1221" customFormat="1" ht="12.75" hidden="1" spans="1:10">
      <c r="A1221" s="64"/>
      <c r="B1221" s="73" t="s">
        <v>2322</v>
      </c>
      <c r="C1221" s="66" t="s">
        <v>2323</v>
      </c>
      <c r="D1221" s="67">
        <v>0.8696</v>
      </c>
      <c r="E1221" s="68"/>
      <c r="F1221" s="69">
        <v>3.5</v>
      </c>
      <c r="G1221" s="70"/>
      <c r="H1221" s="71">
        <v>2</v>
      </c>
      <c r="I1221" s="71">
        <v>0</v>
      </c>
      <c r="J1221" s="71">
        <v>0</v>
      </c>
    </row>
    <row r="1222" customFormat="1" ht="12.75" hidden="1" spans="1:10">
      <c r="A1222" s="64"/>
      <c r="B1222" s="73" t="s">
        <v>2324</v>
      </c>
      <c r="C1222" s="66" t="s">
        <v>2325</v>
      </c>
      <c r="D1222" s="67">
        <v>0.4348</v>
      </c>
      <c r="E1222" s="68"/>
      <c r="F1222" s="69">
        <v>1.6</v>
      </c>
      <c r="G1222" s="70"/>
      <c r="H1222" s="71">
        <v>1</v>
      </c>
      <c r="I1222" s="71">
        <v>0</v>
      </c>
      <c r="J1222" s="71">
        <v>0</v>
      </c>
    </row>
    <row r="1223" customFormat="1" ht="12.75" hidden="1" spans="1:10">
      <c r="A1223" s="64"/>
      <c r="B1223" s="73" t="s">
        <v>2326</v>
      </c>
      <c r="C1223" s="66" t="s">
        <v>2327</v>
      </c>
      <c r="D1223" s="67">
        <v>0.4348</v>
      </c>
      <c r="E1223" s="68"/>
      <c r="F1223" s="69">
        <v>1.6</v>
      </c>
      <c r="G1223" s="70"/>
      <c r="H1223" s="71">
        <v>1</v>
      </c>
      <c r="I1223" s="71">
        <v>0</v>
      </c>
      <c r="J1223" s="71">
        <v>0</v>
      </c>
    </row>
    <row r="1224" customFormat="1" ht="12.75" hidden="1" spans="1:10">
      <c r="A1224" s="64"/>
      <c r="B1224" s="73" t="s">
        <v>2328</v>
      </c>
      <c r="C1224" s="66" t="s">
        <v>2329</v>
      </c>
      <c r="D1224" s="67">
        <v>0.4348</v>
      </c>
      <c r="E1224" s="68"/>
      <c r="F1224" s="69">
        <v>1.6</v>
      </c>
      <c r="G1224" s="70"/>
      <c r="H1224" s="71">
        <v>1</v>
      </c>
      <c r="I1224" s="71">
        <v>0</v>
      </c>
      <c r="J1224" s="71">
        <v>0</v>
      </c>
    </row>
    <row r="1225" customFormat="1" ht="12.75" hidden="1" spans="1:10">
      <c r="A1225" s="64"/>
      <c r="B1225" s="73" t="s">
        <v>2330</v>
      </c>
      <c r="C1225" s="66" t="s">
        <v>2331</v>
      </c>
      <c r="D1225" s="67">
        <v>0.3913</v>
      </c>
      <c r="E1225" s="68"/>
      <c r="F1225" s="69">
        <v>1.4</v>
      </c>
      <c r="G1225" s="70"/>
      <c r="H1225" s="71">
        <v>0.9</v>
      </c>
      <c r="I1225" s="71">
        <v>0</v>
      </c>
      <c r="J1225" s="71">
        <v>0</v>
      </c>
    </row>
    <row r="1226" customFormat="1" ht="12.75" hidden="1" spans="1:10">
      <c r="A1226" s="64"/>
      <c r="B1226" s="73" t="s">
        <v>2332</v>
      </c>
      <c r="C1226" s="66" t="s">
        <v>2333</v>
      </c>
      <c r="D1226" s="67">
        <v>0.3913</v>
      </c>
      <c r="E1226" s="68"/>
      <c r="F1226" s="69">
        <v>1.4</v>
      </c>
      <c r="G1226" s="70"/>
      <c r="H1226" s="71">
        <v>0.9</v>
      </c>
      <c r="I1226" s="71">
        <v>0</v>
      </c>
      <c r="J1226" s="71">
        <v>0</v>
      </c>
    </row>
    <row r="1227" customFormat="1" ht="12.75" hidden="1" spans="1:10">
      <c r="A1227" s="64"/>
      <c r="B1227" s="73" t="s">
        <v>2334</v>
      </c>
      <c r="C1227" s="66" t="s">
        <v>2335</v>
      </c>
      <c r="D1227" s="67">
        <v>0.3913</v>
      </c>
      <c r="E1227" s="68"/>
      <c r="F1227" s="69">
        <v>1.4</v>
      </c>
      <c r="G1227" s="70"/>
      <c r="H1227" s="71">
        <v>0.9</v>
      </c>
      <c r="I1227" s="71">
        <v>0</v>
      </c>
      <c r="J1227" s="71">
        <v>0</v>
      </c>
    </row>
    <row r="1228" customFormat="1" ht="12.75" hidden="1" spans="1:10">
      <c r="A1228" s="64"/>
      <c r="B1228" s="73" t="s">
        <v>2336</v>
      </c>
      <c r="C1228" s="66" t="s">
        <v>2337</v>
      </c>
      <c r="D1228" s="67">
        <v>0.3913</v>
      </c>
      <c r="E1228" s="68"/>
      <c r="F1228" s="69">
        <v>1.4</v>
      </c>
      <c r="G1228" s="70"/>
      <c r="H1228" s="71">
        <v>0.9</v>
      </c>
      <c r="I1228" s="71">
        <v>0</v>
      </c>
      <c r="J1228" s="71">
        <v>0</v>
      </c>
    </row>
    <row r="1229" customFormat="1" ht="12.75" hidden="1" spans="1:10">
      <c r="A1229" s="64"/>
      <c r="B1229" s="73" t="s">
        <v>2338</v>
      </c>
      <c r="C1229" s="66" t="s">
        <v>2339</v>
      </c>
      <c r="D1229" s="67">
        <v>0.3478</v>
      </c>
      <c r="E1229" s="68"/>
      <c r="F1229" s="69">
        <v>1.4</v>
      </c>
      <c r="G1229" s="70"/>
      <c r="H1229" s="71">
        <v>0.8</v>
      </c>
      <c r="I1229" s="71">
        <v>0</v>
      </c>
      <c r="J1229" s="71">
        <v>0</v>
      </c>
    </row>
    <row r="1230" customFormat="1" ht="12.75" hidden="1" spans="1:10">
      <c r="A1230" s="64"/>
      <c r="B1230" s="73" t="s">
        <v>2340</v>
      </c>
      <c r="C1230" s="66" t="s">
        <v>2341</v>
      </c>
      <c r="D1230" s="67">
        <v>0.3913</v>
      </c>
      <c r="E1230" s="68"/>
      <c r="F1230" s="69">
        <v>1.4</v>
      </c>
      <c r="G1230" s="70"/>
      <c r="H1230" s="71">
        <v>0.9</v>
      </c>
      <c r="I1230" s="71">
        <v>0</v>
      </c>
      <c r="J1230" s="71">
        <v>0</v>
      </c>
    </row>
    <row r="1231" customFormat="1" ht="12.75" hidden="1" spans="1:10">
      <c r="A1231" s="64"/>
      <c r="B1231" s="73" t="s">
        <v>2342</v>
      </c>
      <c r="C1231" s="66" t="s">
        <v>2343</v>
      </c>
      <c r="D1231" s="67">
        <v>0.087</v>
      </c>
      <c r="E1231" s="68"/>
      <c r="F1231" s="69">
        <v>0.3</v>
      </c>
      <c r="G1231" s="70"/>
      <c r="H1231" s="71">
        <v>0.2</v>
      </c>
      <c r="I1231" s="71">
        <v>0</v>
      </c>
      <c r="J1231" s="71">
        <v>0</v>
      </c>
    </row>
    <row r="1232" customFormat="1" ht="12.75" hidden="1" spans="1:10">
      <c r="A1232" s="64"/>
      <c r="B1232" s="73" t="s">
        <v>2344</v>
      </c>
      <c r="C1232" s="66" t="s">
        <v>2345</v>
      </c>
      <c r="D1232" s="67">
        <v>0.087</v>
      </c>
      <c r="E1232" s="68"/>
      <c r="F1232" s="69">
        <v>0.3</v>
      </c>
      <c r="G1232" s="70"/>
      <c r="H1232" s="71">
        <v>0.2</v>
      </c>
      <c r="I1232" s="71">
        <v>0</v>
      </c>
      <c r="J1232" s="71">
        <v>0</v>
      </c>
    </row>
    <row r="1233" ht="12.75" hidden="1" spans="1:21">
      <c r="A1233" s="64"/>
      <c r="B1233" s="73" t="s">
        <v>2346</v>
      </c>
      <c r="C1233" s="66" t="s">
        <v>2347</v>
      </c>
      <c r="D1233" s="67">
        <v>0.087</v>
      </c>
      <c r="E1233" s="68"/>
      <c r="F1233" s="69">
        <v>0.3</v>
      </c>
      <c r="G1233" s="70"/>
      <c r="H1233" s="71">
        <v>0.2</v>
      </c>
      <c r="I1233" s="71">
        <v>0</v>
      </c>
      <c r="J1233" s="71">
        <v>0</v>
      </c>
      <c r="M1233"/>
      <c r="N1233"/>
      <c r="O1233"/>
      <c r="P1233"/>
      <c r="Q1233"/>
      <c r="R1233"/>
      <c r="S1233"/>
      <c r="T1233"/>
      <c r="U1233"/>
    </row>
    <row r="1234" ht="12.75" hidden="1" spans="1:21">
      <c r="A1234" s="64"/>
      <c r="B1234" s="73" t="s">
        <v>2348</v>
      </c>
      <c r="C1234" s="66" t="s">
        <v>2349</v>
      </c>
      <c r="D1234" s="67">
        <v>0.087</v>
      </c>
      <c r="E1234" s="68"/>
      <c r="F1234" s="69">
        <v>0.3</v>
      </c>
      <c r="G1234" s="70"/>
      <c r="H1234" s="71">
        <v>0.2</v>
      </c>
      <c r="I1234" s="71">
        <v>0</v>
      </c>
      <c r="J1234" s="71">
        <v>0</v>
      </c>
      <c r="M1234"/>
      <c r="N1234"/>
      <c r="O1234"/>
      <c r="P1234"/>
      <c r="Q1234"/>
      <c r="R1234"/>
      <c r="S1234"/>
      <c r="T1234"/>
      <c r="U1234"/>
    </row>
    <row r="1235" ht="38.25" spans="1:20">
      <c r="A1235" s="72" t="s">
        <v>3773</v>
      </c>
      <c r="B1235" s="73" t="s">
        <v>2350</v>
      </c>
      <c r="C1235" s="66" t="s">
        <v>2351</v>
      </c>
      <c r="D1235" s="67">
        <v>0.087</v>
      </c>
      <c r="E1235" s="68"/>
      <c r="F1235" s="69">
        <v>0.3</v>
      </c>
      <c r="G1235" s="70"/>
      <c r="H1235" s="71">
        <v>0.2</v>
      </c>
      <c r="I1235" s="71"/>
      <c r="J1235" s="71"/>
      <c r="M1235" s="32">
        <v>20</v>
      </c>
      <c r="N1235" s="77">
        <f>+F1235</f>
        <v>0.3</v>
      </c>
      <c r="O1235" s="77">
        <f>+M1235*N1235</f>
        <v>6</v>
      </c>
      <c r="R1235" s="3">
        <f>+M1235</f>
        <v>20</v>
      </c>
      <c r="S1235" s="49">
        <f>+H1235</f>
        <v>0.2</v>
      </c>
      <c r="T1235" s="49">
        <f>+R1235*S1235</f>
        <v>4</v>
      </c>
    </row>
    <row r="1236" ht="12.75" hidden="1" spans="1:21">
      <c r="A1236" s="64"/>
      <c r="B1236" s="73" t="s">
        <v>2352</v>
      </c>
      <c r="C1236" s="66" t="s">
        <v>2353</v>
      </c>
      <c r="D1236" s="67">
        <v>0.087</v>
      </c>
      <c r="E1236" s="68"/>
      <c r="F1236" s="69">
        <v>0.3</v>
      </c>
      <c r="G1236" s="70"/>
      <c r="H1236" s="71">
        <v>0.2</v>
      </c>
      <c r="I1236" s="71">
        <v>0</v>
      </c>
      <c r="J1236" s="71">
        <v>0</v>
      </c>
      <c r="M1236"/>
      <c r="N1236"/>
      <c r="O1236"/>
      <c r="P1236"/>
      <c r="Q1236"/>
      <c r="R1236"/>
      <c r="S1236"/>
      <c r="T1236"/>
      <c r="U1236"/>
    </row>
    <row r="1237" ht="12.75" hidden="1" spans="1:21">
      <c r="A1237" s="64"/>
      <c r="B1237" s="73" t="s">
        <v>2354</v>
      </c>
      <c r="C1237" s="66" t="s">
        <v>2355</v>
      </c>
      <c r="D1237" s="67">
        <v>0.3043</v>
      </c>
      <c r="E1237" s="68"/>
      <c r="F1237" s="69">
        <v>1.1</v>
      </c>
      <c r="G1237" s="70"/>
      <c r="H1237" s="71">
        <v>0.7</v>
      </c>
      <c r="I1237" s="71">
        <v>0</v>
      </c>
      <c r="J1237" s="71">
        <v>0</v>
      </c>
      <c r="M1237"/>
      <c r="N1237"/>
      <c r="O1237"/>
      <c r="P1237"/>
      <c r="Q1237"/>
      <c r="R1237"/>
      <c r="S1237"/>
      <c r="T1237"/>
      <c r="U1237"/>
    </row>
    <row r="1238" ht="12.75" hidden="1" spans="1:21">
      <c r="A1238" s="64"/>
      <c r="B1238" s="73" t="s">
        <v>2356</v>
      </c>
      <c r="C1238" s="66" t="s">
        <v>2357</v>
      </c>
      <c r="D1238" s="67">
        <v>0.0435</v>
      </c>
      <c r="E1238" s="68"/>
      <c r="F1238" s="69">
        <v>0.3</v>
      </c>
      <c r="G1238" s="70"/>
      <c r="H1238" s="71">
        <v>0.1</v>
      </c>
      <c r="I1238" s="71">
        <v>0</v>
      </c>
      <c r="J1238" s="71">
        <v>0</v>
      </c>
      <c r="M1238"/>
      <c r="N1238"/>
      <c r="O1238"/>
      <c r="P1238"/>
      <c r="Q1238"/>
      <c r="R1238"/>
      <c r="S1238"/>
      <c r="T1238"/>
      <c r="U1238"/>
    </row>
    <row r="1239" ht="12.75" hidden="1" spans="1:21">
      <c r="A1239" s="64"/>
      <c r="B1239" s="73" t="s">
        <v>2358</v>
      </c>
      <c r="C1239" s="66" t="s">
        <v>2359</v>
      </c>
      <c r="D1239" s="67">
        <v>0.2609</v>
      </c>
      <c r="E1239" s="68"/>
      <c r="F1239" s="69">
        <v>1</v>
      </c>
      <c r="G1239" s="70"/>
      <c r="H1239" s="71">
        <v>0.6</v>
      </c>
      <c r="I1239" s="71">
        <v>0</v>
      </c>
      <c r="J1239" s="71">
        <v>0</v>
      </c>
      <c r="M1239"/>
      <c r="N1239"/>
      <c r="O1239"/>
      <c r="P1239"/>
      <c r="Q1239"/>
      <c r="R1239"/>
      <c r="S1239"/>
      <c r="T1239"/>
      <c r="U1239"/>
    </row>
    <row r="1240" ht="12.75" hidden="1" spans="1:21">
      <c r="A1240" s="64"/>
      <c r="B1240" s="73" t="s">
        <v>2360</v>
      </c>
      <c r="C1240" s="66" t="s">
        <v>2361</v>
      </c>
      <c r="D1240" s="67">
        <v>0.3478</v>
      </c>
      <c r="E1240" s="68"/>
      <c r="F1240" s="69">
        <v>1.3</v>
      </c>
      <c r="G1240" s="70"/>
      <c r="H1240" s="71">
        <v>0.8</v>
      </c>
      <c r="I1240" s="71">
        <v>0</v>
      </c>
      <c r="J1240" s="71">
        <v>0</v>
      </c>
      <c r="M1240"/>
      <c r="N1240"/>
      <c r="O1240"/>
      <c r="P1240"/>
      <c r="Q1240"/>
      <c r="R1240"/>
      <c r="S1240"/>
      <c r="T1240"/>
      <c r="U1240"/>
    </row>
    <row r="1241" ht="12.75" hidden="1" spans="1:21">
      <c r="A1241" s="64"/>
      <c r="B1241" s="73" t="s">
        <v>2362</v>
      </c>
      <c r="C1241" s="66" t="s">
        <v>2363</v>
      </c>
      <c r="D1241" s="67">
        <v>0.2174</v>
      </c>
      <c r="E1241" s="68"/>
      <c r="F1241" s="69">
        <v>0</v>
      </c>
      <c r="G1241" s="70"/>
      <c r="H1241" s="71">
        <v>0</v>
      </c>
      <c r="I1241" s="71">
        <v>0.5</v>
      </c>
      <c r="J1241" s="71">
        <v>0.3</v>
      </c>
      <c r="M1241"/>
      <c r="N1241"/>
      <c r="O1241"/>
      <c r="P1241"/>
      <c r="Q1241"/>
      <c r="R1241"/>
      <c r="S1241"/>
      <c r="T1241"/>
      <c r="U1241"/>
    </row>
    <row r="1242" ht="12.75" hidden="1" spans="1:21">
      <c r="A1242" s="64"/>
      <c r="B1242" s="73" t="s">
        <v>2364</v>
      </c>
      <c r="C1242" s="66" t="s">
        <v>2365</v>
      </c>
      <c r="D1242" s="67">
        <v>3.1739</v>
      </c>
      <c r="E1242" s="68"/>
      <c r="F1242" s="79">
        <v>10</v>
      </c>
      <c r="G1242" s="80"/>
      <c r="H1242" s="71">
        <v>7.3</v>
      </c>
      <c r="I1242" s="71">
        <v>0</v>
      </c>
      <c r="J1242" s="71">
        <v>0</v>
      </c>
      <c r="M1242"/>
      <c r="N1242"/>
      <c r="O1242"/>
      <c r="P1242"/>
      <c r="Q1242"/>
      <c r="R1242"/>
      <c r="S1242"/>
      <c r="T1242"/>
      <c r="U1242"/>
    </row>
    <row r="1243" ht="25.5" hidden="1" spans="1:21">
      <c r="A1243" s="64"/>
      <c r="B1243" s="73" t="s">
        <v>2366</v>
      </c>
      <c r="C1243" s="66" t="s">
        <v>2367</v>
      </c>
      <c r="D1243" s="67">
        <v>3.2609</v>
      </c>
      <c r="E1243" s="68"/>
      <c r="F1243" s="79">
        <v>12</v>
      </c>
      <c r="G1243" s="80"/>
      <c r="H1243" s="71">
        <v>7.5</v>
      </c>
      <c r="I1243" s="71">
        <v>0</v>
      </c>
      <c r="J1243" s="71">
        <v>0</v>
      </c>
      <c r="M1243"/>
      <c r="N1243"/>
      <c r="O1243"/>
      <c r="P1243"/>
      <c r="Q1243"/>
      <c r="R1243"/>
      <c r="S1243"/>
      <c r="T1243"/>
      <c r="U1243"/>
    </row>
    <row r="1244" ht="12.75" hidden="1" spans="1:21">
      <c r="A1244" s="64"/>
      <c r="B1244" s="73" t="s">
        <v>2368</v>
      </c>
      <c r="C1244" s="66" t="s">
        <v>2369</v>
      </c>
      <c r="D1244" s="67">
        <v>2</v>
      </c>
      <c r="E1244" s="68"/>
      <c r="F1244" s="69">
        <v>7.4</v>
      </c>
      <c r="G1244" s="70"/>
      <c r="H1244" s="71">
        <v>4.6</v>
      </c>
      <c r="I1244" s="71">
        <v>0</v>
      </c>
      <c r="J1244" s="71">
        <v>0</v>
      </c>
      <c r="M1244"/>
      <c r="N1244"/>
      <c r="O1244"/>
      <c r="P1244"/>
      <c r="Q1244"/>
      <c r="R1244"/>
      <c r="S1244"/>
      <c r="T1244"/>
      <c r="U1244"/>
    </row>
    <row r="1245" ht="12.75" hidden="1" spans="1:21">
      <c r="A1245" s="64"/>
      <c r="B1245" s="73" t="s">
        <v>2370</v>
      </c>
      <c r="C1245" s="66" t="s">
        <v>2371</v>
      </c>
      <c r="D1245" s="67">
        <v>1.3043</v>
      </c>
      <c r="E1245" s="68"/>
      <c r="F1245" s="69">
        <v>4.8</v>
      </c>
      <c r="G1245" s="70"/>
      <c r="H1245" s="71">
        <v>3</v>
      </c>
      <c r="I1245" s="71">
        <v>0</v>
      </c>
      <c r="J1245" s="71">
        <v>0</v>
      </c>
      <c r="M1245"/>
      <c r="N1245"/>
      <c r="O1245"/>
      <c r="P1245"/>
      <c r="Q1245"/>
      <c r="R1245"/>
      <c r="S1245"/>
      <c r="T1245"/>
      <c r="U1245"/>
    </row>
    <row r="1246" ht="12.75" hidden="1" spans="1:21">
      <c r="A1246" s="64"/>
      <c r="B1246" s="73" t="s">
        <v>2372</v>
      </c>
      <c r="C1246" s="66" t="s">
        <v>2373</v>
      </c>
      <c r="D1246" s="67">
        <v>3</v>
      </c>
      <c r="E1246" s="68"/>
      <c r="F1246" s="79">
        <v>11.1</v>
      </c>
      <c r="G1246" s="80"/>
      <c r="H1246" s="71">
        <v>6.9</v>
      </c>
      <c r="I1246" s="71">
        <v>0</v>
      </c>
      <c r="J1246" s="71">
        <v>0</v>
      </c>
      <c r="M1246"/>
      <c r="N1246"/>
      <c r="O1246"/>
      <c r="P1246"/>
      <c r="Q1246"/>
      <c r="R1246"/>
      <c r="S1246"/>
      <c r="T1246"/>
      <c r="U1246"/>
    </row>
    <row r="1247" ht="12.75" hidden="1" spans="1:21">
      <c r="A1247" s="64"/>
      <c r="B1247" s="73" t="s">
        <v>2374</v>
      </c>
      <c r="C1247" s="66" t="s">
        <v>2375</v>
      </c>
      <c r="D1247" s="67">
        <v>5.4348</v>
      </c>
      <c r="E1247" s="68"/>
      <c r="F1247" s="79">
        <v>13.5</v>
      </c>
      <c r="G1247" s="80"/>
      <c r="H1247" s="71">
        <v>12.5</v>
      </c>
      <c r="I1247" s="71">
        <v>0</v>
      </c>
      <c r="J1247" s="71">
        <v>0</v>
      </c>
      <c r="M1247"/>
      <c r="N1247"/>
      <c r="O1247"/>
      <c r="P1247"/>
      <c r="Q1247"/>
      <c r="R1247"/>
      <c r="S1247"/>
      <c r="T1247"/>
      <c r="U1247"/>
    </row>
    <row r="1248" ht="12.75" hidden="1" spans="1:21">
      <c r="A1248" s="64"/>
      <c r="B1248" s="73" t="s">
        <v>2376</v>
      </c>
      <c r="C1248" s="66" t="s">
        <v>2377</v>
      </c>
      <c r="D1248" s="67">
        <v>3.087</v>
      </c>
      <c r="E1248" s="68"/>
      <c r="F1248" s="79">
        <v>11.3</v>
      </c>
      <c r="G1248" s="80"/>
      <c r="H1248" s="71">
        <v>7.1</v>
      </c>
      <c r="I1248" s="71">
        <v>0</v>
      </c>
      <c r="J1248" s="71">
        <v>0</v>
      </c>
      <c r="M1248"/>
      <c r="N1248"/>
      <c r="O1248"/>
      <c r="P1248"/>
      <c r="Q1248"/>
      <c r="R1248"/>
      <c r="S1248"/>
      <c r="T1248"/>
      <c r="U1248"/>
    </row>
    <row r="1249" customFormat="1" ht="12.75" hidden="1" spans="1:10">
      <c r="A1249" s="64"/>
      <c r="B1249" s="73" t="s">
        <v>2378</v>
      </c>
      <c r="C1249" s="66" t="s">
        <v>2379</v>
      </c>
      <c r="D1249" s="67">
        <v>0.2174</v>
      </c>
      <c r="E1249" s="68"/>
      <c r="F1249" s="69">
        <v>1</v>
      </c>
      <c r="G1249" s="70"/>
      <c r="H1249" s="71">
        <v>0.5</v>
      </c>
      <c r="I1249" s="71">
        <v>0</v>
      </c>
      <c r="J1249" s="71">
        <v>0</v>
      </c>
    </row>
    <row r="1250" customFormat="1" ht="12.75" hidden="1" spans="1:10">
      <c r="A1250" s="64"/>
      <c r="B1250" s="73" t="s">
        <v>2380</v>
      </c>
      <c r="C1250" s="66" t="s">
        <v>2381</v>
      </c>
      <c r="D1250" s="67">
        <v>0.2174</v>
      </c>
      <c r="E1250" s="68"/>
      <c r="F1250" s="69">
        <v>1</v>
      </c>
      <c r="G1250" s="70"/>
      <c r="H1250" s="71">
        <v>0.5</v>
      </c>
      <c r="I1250" s="71">
        <v>0</v>
      </c>
      <c r="J1250" s="71">
        <v>0</v>
      </c>
    </row>
    <row r="1251" customFormat="1" ht="25.5" hidden="1" spans="1:10">
      <c r="A1251" s="64"/>
      <c r="B1251" s="81" t="s">
        <v>2382</v>
      </c>
      <c r="C1251" s="66" t="s">
        <v>2383</v>
      </c>
      <c r="D1251" s="67">
        <v>0.2174</v>
      </c>
      <c r="E1251" s="68"/>
      <c r="F1251" s="69">
        <v>0</v>
      </c>
      <c r="G1251" s="70"/>
      <c r="H1251" s="71">
        <v>0</v>
      </c>
      <c r="I1251" s="71">
        <v>0.5</v>
      </c>
      <c r="J1251" s="71">
        <v>0.3</v>
      </c>
    </row>
    <row r="1252" customFormat="1" ht="25.5" hidden="1" spans="1:10">
      <c r="A1252" s="64"/>
      <c r="B1252" s="65">
        <v>6259201903281</v>
      </c>
      <c r="C1252" s="66" t="s">
        <v>2384</v>
      </c>
      <c r="D1252" s="67">
        <v>0.2174</v>
      </c>
      <c r="E1252" s="68"/>
      <c r="F1252" s="69">
        <v>0</v>
      </c>
      <c r="G1252" s="70"/>
      <c r="H1252" s="71">
        <v>0</v>
      </c>
      <c r="I1252" s="71">
        <v>0.5</v>
      </c>
      <c r="J1252" s="71">
        <v>0.3</v>
      </c>
    </row>
    <row r="1253" customFormat="1" ht="12.75" hidden="1" spans="1:10">
      <c r="A1253" s="64"/>
      <c r="B1253" s="73" t="s">
        <v>2385</v>
      </c>
      <c r="C1253" s="66" t="s">
        <v>2386</v>
      </c>
      <c r="D1253" s="67">
        <v>0.2174</v>
      </c>
      <c r="E1253" s="68"/>
      <c r="F1253" s="69">
        <v>0</v>
      </c>
      <c r="G1253" s="70"/>
      <c r="H1253" s="71">
        <v>0</v>
      </c>
      <c r="I1253" s="71">
        <v>0.5</v>
      </c>
      <c r="J1253" s="71">
        <v>0</v>
      </c>
    </row>
    <row r="1254" customFormat="1" ht="12.75" hidden="1" spans="1:10">
      <c r="A1254" s="64"/>
      <c r="B1254" s="73" t="s">
        <v>2387</v>
      </c>
      <c r="C1254" s="66" t="s">
        <v>2388</v>
      </c>
      <c r="D1254" s="67">
        <v>5.0435</v>
      </c>
      <c r="E1254" s="68"/>
      <c r="F1254" s="79">
        <v>15</v>
      </c>
      <c r="G1254" s="80"/>
      <c r="H1254" s="71">
        <v>11.6</v>
      </c>
      <c r="I1254" s="71">
        <v>0</v>
      </c>
      <c r="J1254" s="71">
        <v>0</v>
      </c>
    </row>
    <row r="1255" customFormat="1" ht="12.75" hidden="1" spans="1:10">
      <c r="A1255" s="64"/>
      <c r="B1255" s="73" t="s">
        <v>2389</v>
      </c>
      <c r="C1255" s="66" t="s">
        <v>2390</v>
      </c>
      <c r="D1255" s="67">
        <v>5.0435</v>
      </c>
      <c r="E1255" s="68"/>
      <c r="F1255" s="79">
        <v>15</v>
      </c>
      <c r="G1255" s="80"/>
      <c r="H1255" s="71">
        <v>11.6</v>
      </c>
      <c r="I1255" s="71">
        <v>0</v>
      </c>
      <c r="J1255" s="71">
        <v>0</v>
      </c>
    </row>
    <row r="1256" customFormat="1" ht="12.75" hidden="1" spans="1:10">
      <c r="A1256" s="64"/>
      <c r="B1256" s="73" t="s">
        <v>2391</v>
      </c>
      <c r="C1256" s="66" t="s">
        <v>2392</v>
      </c>
      <c r="D1256" s="67">
        <v>5.0435</v>
      </c>
      <c r="E1256" s="68"/>
      <c r="F1256" s="79">
        <v>15</v>
      </c>
      <c r="G1256" s="80"/>
      <c r="H1256" s="71">
        <v>11.6</v>
      </c>
      <c r="I1256" s="71">
        <v>0</v>
      </c>
      <c r="J1256" s="71">
        <v>0</v>
      </c>
    </row>
    <row r="1257" customFormat="1" ht="12.75" hidden="1" spans="1:10">
      <c r="A1257" s="64"/>
      <c r="B1257" s="73" t="s">
        <v>2393</v>
      </c>
      <c r="C1257" s="66" t="s">
        <v>2394</v>
      </c>
      <c r="D1257" s="67">
        <v>4.6957</v>
      </c>
      <c r="E1257" s="68"/>
      <c r="F1257" s="79">
        <v>15</v>
      </c>
      <c r="G1257" s="80"/>
      <c r="H1257" s="71">
        <v>10.8</v>
      </c>
      <c r="I1257" s="71">
        <v>0</v>
      </c>
      <c r="J1257" s="71">
        <v>0</v>
      </c>
    </row>
    <row r="1258" customFormat="1" ht="12.75" hidden="1" spans="1:10">
      <c r="A1258" s="64"/>
      <c r="B1258" s="73" t="s">
        <v>2395</v>
      </c>
      <c r="C1258" s="66" t="s">
        <v>2396</v>
      </c>
      <c r="D1258" s="67">
        <v>5.0435</v>
      </c>
      <c r="E1258" s="68"/>
      <c r="F1258" s="79">
        <v>18.5</v>
      </c>
      <c r="G1258" s="80"/>
      <c r="H1258" s="71">
        <v>11.6</v>
      </c>
      <c r="I1258" s="71">
        <v>0</v>
      </c>
      <c r="J1258" s="71">
        <v>0</v>
      </c>
    </row>
    <row r="1259" customFormat="1" ht="12.75" hidden="1" spans="1:10">
      <c r="A1259" s="64"/>
      <c r="B1259" s="73" t="s">
        <v>2397</v>
      </c>
      <c r="C1259" s="66" t="s">
        <v>2398</v>
      </c>
      <c r="D1259" s="67">
        <v>0.2174</v>
      </c>
      <c r="E1259" s="68"/>
      <c r="F1259" s="69">
        <v>1</v>
      </c>
      <c r="G1259" s="70"/>
      <c r="H1259" s="71">
        <v>0.5</v>
      </c>
      <c r="I1259" s="71">
        <v>0</v>
      </c>
      <c r="J1259" s="71">
        <v>0</v>
      </c>
    </row>
    <row r="1260" customFormat="1" ht="12.75" hidden="1" spans="1:10">
      <c r="A1260" s="64"/>
      <c r="B1260" s="73" t="s">
        <v>2399</v>
      </c>
      <c r="C1260" s="66" t="s">
        <v>2400</v>
      </c>
      <c r="D1260" s="67">
        <v>2.3478</v>
      </c>
      <c r="E1260" s="68"/>
      <c r="F1260" s="69">
        <v>8.7</v>
      </c>
      <c r="G1260" s="70"/>
      <c r="H1260" s="71">
        <v>5.4</v>
      </c>
      <c r="I1260" s="71">
        <v>0</v>
      </c>
      <c r="J1260" s="71">
        <v>0</v>
      </c>
    </row>
    <row r="1261" customFormat="1" ht="12.75" hidden="1" spans="1:10">
      <c r="A1261" s="64"/>
      <c r="B1261" s="73" t="s">
        <v>2401</v>
      </c>
      <c r="C1261" s="66" t="s">
        <v>2402</v>
      </c>
      <c r="D1261" s="67">
        <v>0.5652</v>
      </c>
      <c r="E1261" s="68"/>
      <c r="F1261" s="69">
        <v>5</v>
      </c>
      <c r="G1261" s="70"/>
      <c r="H1261" s="71">
        <v>2.3</v>
      </c>
      <c r="I1261" s="71">
        <v>0</v>
      </c>
      <c r="J1261" s="71">
        <v>0</v>
      </c>
    </row>
    <row r="1262" customFormat="1" ht="12.75" hidden="1" spans="1:10">
      <c r="A1262" s="64"/>
      <c r="B1262" s="73" t="s">
        <v>2403</v>
      </c>
      <c r="C1262" s="66" t="s">
        <v>2404</v>
      </c>
      <c r="D1262" s="67">
        <v>1.4348</v>
      </c>
      <c r="E1262" s="68"/>
      <c r="F1262" s="69">
        <v>6</v>
      </c>
      <c r="G1262" s="70"/>
      <c r="H1262" s="71">
        <v>3.3</v>
      </c>
      <c r="I1262" s="71">
        <v>0</v>
      </c>
      <c r="J1262" s="71">
        <v>0</v>
      </c>
    </row>
    <row r="1263" customFormat="1" ht="12.75" hidden="1" spans="1:10">
      <c r="A1263" s="64"/>
      <c r="B1263" s="73" t="s">
        <v>2405</v>
      </c>
      <c r="C1263" s="66" t="s">
        <v>2406</v>
      </c>
      <c r="D1263" s="67">
        <v>1.1304</v>
      </c>
      <c r="E1263" s="68"/>
      <c r="F1263" s="69">
        <v>4.5</v>
      </c>
      <c r="G1263" s="70"/>
      <c r="H1263" s="71">
        <v>2.6</v>
      </c>
      <c r="I1263" s="71">
        <v>0</v>
      </c>
      <c r="J1263" s="71">
        <v>0</v>
      </c>
    </row>
    <row r="1264" customFormat="1" ht="12.75" hidden="1" spans="1:10">
      <c r="A1264" s="64"/>
      <c r="B1264" s="73" t="s">
        <v>2407</v>
      </c>
      <c r="C1264" s="66" t="s">
        <v>2408</v>
      </c>
      <c r="D1264" s="67">
        <v>0.2174</v>
      </c>
      <c r="E1264" s="68"/>
      <c r="F1264" s="69">
        <v>1</v>
      </c>
      <c r="G1264" s="70"/>
      <c r="H1264" s="71">
        <v>0.5</v>
      </c>
      <c r="I1264" s="71">
        <v>0</v>
      </c>
      <c r="J1264" s="71">
        <v>0</v>
      </c>
    </row>
    <row r="1265" customFormat="1" ht="12.75" hidden="1" spans="1:10">
      <c r="A1265" s="64"/>
      <c r="B1265" s="73" t="s">
        <v>2409</v>
      </c>
      <c r="C1265" s="66" t="s">
        <v>2410</v>
      </c>
      <c r="D1265" s="67">
        <v>0.2174</v>
      </c>
      <c r="E1265" s="68"/>
      <c r="F1265" s="69">
        <v>1</v>
      </c>
      <c r="G1265" s="70"/>
      <c r="H1265" s="71">
        <v>0.5</v>
      </c>
      <c r="I1265" s="71">
        <v>0</v>
      </c>
      <c r="J1265" s="71">
        <v>0</v>
      </c>
    </row>
    <row r="1266" customFormat="1" ht="12.75" hidden="1" spans="1:10">
      <c r="A1266" s="64"/>
      <c r="B1266" s="73" t="s">
        <v>2411</v>
      </c>
      <c r="C1266" s="66" t="s">
        <v>2412</v>
      </c>
      <c r="D1266" s="67">
        <v>0.2174</v>
      </c>
      <c r="E1266" s="68"/>
      <c r="F1266" s="69">
        <v>1</v>
      </c>
      <c r="G1266" s="70"/>
      <c r="H1266" s="71">
        <v>0.5</v>
      </c>
      <c r="I1266" s="71">
        <v>0</v>
      </c>
      <c r="J1266" s="71">
        <v>0</v>
      </c>
    </row>
    <row r="1267" customFormat="1" ht="12.75" hidden="1" spans="1:10">
      <c r="A1267" s="64"/>
      <c r="B1267" s="73" t="s">
        <v>2413</v>
      </c>
      <c r="C1267" s="66" t="s">
        <v>2414</v>
      </c>
      <c r="D1267" s="67">
        <v>0.2174</v>
      </c>
      <c r="E1267" s="68"/>
      <c r="F1267" s="69">
        <v>1</v>
      </c>
      <c r="G1267" s="70"/>
      <c r="H1267" s="71">
        <v>0.5</v>
      </c>
      <c r="I1267" s="71">
        <v>0</v>
      </c>
      <c r="J1267" s="71">
        <v>0</v>
      </c>
    </row>
    <row r="1268" customFormat="1" ht="12.75" hidden="1" spans="1:10">
      <c r="A1268" s="64"/>
      <c r="B1268" s="73" t="s">
        <v>2415</v>
      </c>
      <c r="C1268" s="66" t="s">
        <v>2416</v>
      </c>
      <c r="D1268" s="67">
        <v>0.2174</v>
      </c>
      <c r="E1268" s="68"/>
      <c r="F1268" s="69">
        <v>1</v>
      </c>
      <c r="G1268" s="70"/>
      <c r="H1268" s="71">
        <v>0.5</v>
      </c>
      <c r="I1268" s="71">
        <v>0</v>
      </c>
      <c r="J1268" s="71">
        <v>0</v>
      </c>
    </row>
    <row r="1269" customFormat="1" ht="12.75" hidden="1" spans="1:10">
      <c r="A1269" s="64"/>
      <c r="B1269" s="73" t="s">
        <v>2417</v>
      </c>
      <c r="C1269" s="66" t="s">
        <v>2418</v>
      </c>
      <c r="D1269" s="67">
        <v>0.2174</v>
      </c>
      <c r="E1269" s="68"/>
      <c r="F1269" s="69">
        <v>1</v>
      </c>
      <c r="G1269" s="70"/>
      <c r="H1269" s="71">
        <v>0.5</v>
      </c>
      <c r="I1269" s="71">
        <v>0</v>
      </c>
      <c r="J1269" s="71">
        <v>0</v>
      </c>
    </row>
    <row r="1270" customFormat="1" ht="12.75" hidden="1" spans="1:10">
      <c r="A1270" s="64"/>
      <c r="B1270" s="73" t="s">
        <v>2419</v>
      </c>
      <c r="C1270" s="66" t="s">
        <v>2420</v>
      </c>
      <c r="D1270" s="67">
        <v>0.2174</v>
      </c>
      <c r="E1270" s="68"/>
      <c r="F1270" s="69">
        <v>1</v>
      </c>
      <c r="G1270" s="70"/>
      <c r="H1270" s="71">
        <v>0.5</v>
      </c>
      <c r="I1270" s="71">
        <v>0</v>
      </c>
      <c r="J1270" s="71">
        <v>0</v>
      </c>
    </row>
    <row r="1271" customFormat="1" ht="25.5" hidden="1" spans="1:10">
      <c r="A1271" s="64"/>
      <c r="B1271" s="73" t="s">
        <v>2421</v>
      </c>
      <c r="C1271" s="66" t="s">
        <v>2422</v>
      </c>
      <c r="D1271" s="67">
        <v>0.2174</v>
      </c>
      <c r="E1271" s="68"/>
      <c r="F1271" s="69">
        <v>1</v>
      </c>
      <c r="G1271" s="70"/>
      <c r="H1271" s="71">
        <v>0.5</v>
      </c>
      <c r="I1271" s="71">
        <v>0</v>
      </c>
      <c r="J1271" s="71">
        <v>0</v>
      </c>
    </row>
    <row r="1272" customFormat="1" ht="12.75" hidden="1" spans="1:10">
      <c r="A1272" s="64"/>
      <c r="B1272" s="73" t="s">
        <v>2423</v>
      </c>
      <c r="C1272" s="66" t="s">
        <v>2424</v>
      </c>
      <c r="D1272" s="67">
        <v>0.2174</v>
      </c>
      <c r="E1272" s="68"/>
      <c r="F1272" s="69">
        <v>1</v>
      </c>
      <c r="G1272" s="70"/>
      <c r="H1272" s="71">
        <v>0.5</v>
      </c>
      <c r="I1272" s="71">
        <v>0</v>
      </c>
      <c r="J1272" s="71">
        <v>0</v>
      </c>
    </row>
    <row r="1273" customFormat="1" ht="12.75" hidden="1" spans="1:10">
      <c r="A1273" s="64"/>
      <c r="B1273" s="73" t="s">
        <v>2425</v>
      </c>
      <c r="C1273" s="66" t="s">
        <v>2426</v>
      </c>
      <c r="D1273" s="67">
        <v>0.2174</v>
      </c>
      <c r="E1273" s="68"/>
      <c r="F1273" s="69">
        <v>1</v>
      </c>
      <c r="G1273" s="70"/>
      <c r="H1273" s="71">
        <v>0.5</v>
      </c>
      <c r="I1273" s="71">
        <v>0</v>
      </c>
      <c r="J1273" s="71">
        <v>0</v>
      </c>
    </row>
    <row r="1274" customFormat="1" ht="12.75" hidden="1" spans="1:10">
      <c r="A1274" s="64"/>
      <c r="B1274" s="73" t="s">
        <v>2427</v>
      </c>
      <c r="C1274" s="66" t="s">
        <v>2428</v>
      </c>
      <c r="D1274" s="67">
        <v>0.2174</v>
      </c>
      <c r="E1274" s="68"/>
      <c r="F1274" s="69">
        <v>1</v>
      </c>
      <c r="G1274" s="70"/>
      <c r="H1274" s="71">
        <v>0.5</v>
      </c>
      <c r="I1274" s="71">
        <v>0</v>
      </c>
      <c r="J1274" s="71">
        <v>0</v>
      </c>
    </row>
    <row r="1275" customFormat="1" ht="12.75" hidden="1" spans="1:10">
      <c r="A1275" s="64"/>
      <c r="B1275" s="73" t="s">
        <v>2429</v>
      </c>
      <c r="C1275" s="66" t="s">
        <v>2430</v>
      </c>
      <c r="D1275" s="67">
        <v>0.2174</v>
      </c>
      <c r="E1275" s="68"/>
      <c r="F1275" s="69">
        <v>1</v>
      </c>
      <c r="G1275" s="70"/>
      <c r="H1275" s="71">
        <v>0.5</v>
      </c>
      <c r="I1275" s="71">
        <v>0</v>
      </c>
      <c r="J1275" s="71">
        <v>0</v>
      </c>
    </row>
    <row r="1276" customFormat="1" ht="12.75" hidden="1" spans="1:10">
      <c r="A1276" s="64"/>
      <c r="B1276" s="73" t="s">
        <v>2431</v>
      </c>
      <c r="C1276" s="66" t="s">
        <v>2432</v>
      </c>
      <c r="D1276" s="67">
        <v>0.2174</v>
      </c>
      <c r="E1276" s="68"/>
      <c r="F1276" s="69">
        <v>1</v>
      </c>
      <c r="G1276" s="70"/>
      <c r="H1276" s="71">
        <v>0.5</v>
      </c>
      <c r="I1276" s="71">
        <v>0</v>
      </c>
      <c r="J1276" s="71">
        <v>0</v>
      </c>
    </row>
    <row r="1277" customFormat="1" ht="12.75" hidden="1" spans="1:10">
      <c r="A1277" s="64"/>
      <c r="B1277" s="73" t="s">
        <v>2433</v>
      </c>
      <c r="C1277" s="66" t="s">
        <v>2434</v>
      </c>
      <c r="D1277" s="67">
        <v>0.2174</v>
      </c>
      <c r="E1277" s="68"/>
      <c r="F1277" s="69">
        <v>1</v>
      </c>
      <c r="G1277" s="70"/>
      <c r="H1277" s="71">
        <v>0.5</v>
      </c>
      <c r="I1277" s="71">
        <v>0</v>
      </c>
      <c r="J1277" s="71">
        <v>0</v>
      </c>
    </row>
    <row r="1278" customFormat="1" ht="25.5" hidden="1" spans="1:10">
      <c r="A1278" s="64"/>
      <c r="B1278" s="73" t="s">
        <v>2435</v>
      </c>
      <c r="C1278" s="66" t="s">
        <v>2436</v>
      </c>
      <c r="D1278" s="67">
        <v>0.2174</v>
      </c>
      <c r="E1278" s="68"/>
      <c r="F1278" s="69">
        <v>1</v>
      </c>
      <c r="G1278" s="70"/>
      <c r="H1278" s="71">
        <v>0.5</v>
      </c>
      <c r="I1278" s="71">
        <v>0</v>
      </c>
      <c r="J1278" s="71">
        <v>0</v>
      </c>
    </row>
    <row r="1279" customFormat="1" ht="12.75" hidden="1" spans="1:10">
      <c r="A1279" s="64"/>
      <c r="B1279" s="73" t="s">
        <v>2437</v>
      </c>
      <c r="C1279" s="66" t="s">
        <v>2438</v>
      </c>
      <c r="D1279" s="67">
        <v>0.2174</v>
      </c>
      <c r="E1279" s="68"/>
      <c r="F1279" s="69">
        <v>1</v>
      </c>
      <c r="G1279" s="70"/>
      <c r="H1279" s="71">
        <v>0.5</v>
      </c>
      <c r="I1279" s="71">
        <v>0</v>
      </c>
      <c r="J1279" s="71">
        <v>0</v>
      </c>
    </row>
    <row r="1280" customFormat="1" ht="12.75" hidden="1" spans="1:10">
      <c r="A1280" s="64"/>
      <c r="B1280" s="73" t="s">
        <v>2439</v>
      </c>
      <c r="C1280" s="66" t="s">
        <v>2440</v>
      </c>
      <c r="D1280" s="67">
        <v>0.2174</v>
      </c>
      <c r="E1280" s="68"/>
      <c r="F1280" s="69">
        <v>1</v>
      </c>
      <c r="G1280" s="70"/>
      <c r="H1280" s="71">
        <v>0.5</v>
      </c>
      <c r="I1280" s="71">
        <v>0</v>
      </c>
      <c r="J1280" s="71">
        <v>0</v>
      </c>
    </row>
    <row r="1281" customFormat="1" ht="12.75" hidden="1" spans="1:10">
      <c r="A1281" s="64"/>
      <c r="B1281" s="73" t="s">
        <v>2441</v>
      </c>
      <c r="C1281" s="66" t="s">
        <v>2442</v>
      </c>
      <c r="D1281" s="67">
        <v>0.2174</v>
      </c>
      <c r="E1281" s="68"/>
      <c r="F1281" s="69">
        <v>1</v>
      </c>
      <c r="G1281" s="70"/>
      <c r="H1281" s="71">
        <v>0.5</v>
      </c>
      <c r="I1281" s="71">
        <v>0</v>
      </c>
      <c r="J1281" s="71">
        <v>0</v>
      </c>
    </row>
    <row r="1282" customFormat="1" ht="12.75" hidden="1" spans="1:10">
      <c r="A1282" s="64"/>
      <c r="B1282" s="73" t="s">
        <v>2443</v>
      </c>
      <c r="C1282" s="66" t="s">
        <v>2444</v>
      </c>
      <c r="D1282" s="67">
        <v>0.2174</v>
      </c>
      <c r="E1282" s="68"/>
      <c r="F1282" s="69">
        <v>1</v>
      </c>
      <c r="G1282" s="70"/>
      <c r="H1282" s="71">
        <v>0.5</v>
      </c>
      <c r="I1282" s="71">
        <v>0</v>
      </c>
      <c r="J1282" s="71">
        <v>0</v>
      </c>
    </row>
    <row r="1283" customFormat="1" ht="12.75" hidden="1" spans="1:10">
      <c r="A1283" s="64"/>
      <c r="B1283" s="73" t="s">
        <v>2445</v>
      </c>
      <c r="C1283" s="66" t="s">
        <v>2446</v>
      </c>
      <c r="D1283" s="67">
        <v>0.2174</v>
      </c>
      <c r="E1283" s="68"/>
      <c r="F1283" s="69">
        <v>1</v>
      </c>
      <c r="G1283" s="70"/>
      <c r="H1283" s="71">
        <v>0.5</v>
      </c>
      <c r="I1283" s="71">
        <v>0</v>
      </c>
      <c r="J1283" s="71">
        <v>0</v>
      </c>
    </row>
    <row r="1284" customFormat="1" ht="12.75" hidden="1" spans="1:10">
      <c r="A1284" s="64"/>
      <c r="B1284" s="73" t="s">
        <v>2447</v>
      </c>
      <c r="C1284" s="66" t="s">
        <v>2448</v>
      </c>
      <c r="D1284" s="67">
        <v>0.2174</v>
      </c>
      <c r="E1284" s="68"/>
      <c r="F1284" s="69">
        <v>1</v>
      </c>
      <c r="G1284" s="70"/>
      <c r="H1284" s="71">
        <v>0.5</v>
      </c>
      <c r="I1284" s="71">
        <v>0</v>
      </c>
      <c r="J1284" s="71">
        <v>0</v>
      </c>
    </row>
    <row r="1285" customFormat="1" ht="12.75" hidden="1" spans="1:10">
      <c r="A1285" s="64"/>
      <c r="B1285" s="73" t="s">
        <v>2449</v>
      </c>
      <c r="C1285" s="66" t="s">
        <v>2450</v>
      </c>
      <c r="D1285" s="67">
        <v>0.2174</v>
      </c>
      <c r="E1285" s="68"/>
      <c r="F1285" s="69">
        <v>1</v>
      </c>
      <c r="G1285" s="70"/>
      <c r="H1285" s="71">
        <v>0.5</v>
      </c>
      <c r="I1285" s="71">
        <v>0</v>
      </c>
      <c r="J1285" s="71">
        <v>0</v>
      </c>
    </row>
    <row r="1286" customFormat="1" ht="25.5" hidden="1" spans="1:10">
      <c r="A1286" s="64"/>
      <c r="B1286" s="73" t="s">
        <v>2451</v>
      </c>
      <c r="C1286" s="66" t="s">
        <v>2452</v>
      </c>
      <c r="D1286" s="67">
        <v>0.2174</v>
      </c>
      <c r="E1286" s="68"/>
      <c r="F1286" s="69">
        <v>1</v>
      </c>
      <c r="G1286" s="70"/>
      <c r="H1286" s="71">
        <v>0.5</v>
      </c>
      <c r="I1286" s="71">
        <v>0</v>
      </c>
      <c r="J1286" s="71">
        <v>0</v>
      </c>
    </row>
    <row r="1287" customFormat="1" ht="12.75" hidden="1" spans="1:10">
      <c r="A1287" s="64"/>
      <c r="B1287" s="73" t="s">
        <v>2453</v>
      </c>
      <c r="C1287" s="66" t="s">
        <v>2454</v>
      </c>
      <c r="D1287" s="67">
        <v>0.2174</v>
      </c>
      <c r="E1287" s="68"/>
      <c r="F1287" s="69">
        <v>1</v>
      </c>
      <c r="G1287" s="70"/>
      <c r="H1287" s="71">
        <v>0.5</v>
      </c>
      <c r="I1287" s="71">
        <v>0</v>
      </c>
      <c r="J1287" s="71">
        <v>0</v>
      </c>
    </row>
    <row r="1288" customFormat="1" ht="25.5" hidden="1" spans="1:10">
      <c r="A1288" s="64"/>
      <c r="B1288" s="73" t="s">
        <v>2455</v>
      </c>
      <c r="C1288" s="66" t="s">
        <v>2456</v>
      </c>
      <c r="D1288" s="67">
        <v>0.2174</v>
      </c>
      <c r="E1288" s="68"/>
      <c r="F1288" s="69">
        <v>1</v>
      </c>
      <c r="G1288" s="70"/>
      <c r="H1288" s="71">
        <v>0.5</v>
      </c>
      <c r="I1288" s="71">
        <v>0</v>
      </c>
      <c r="J1288" s="71">
        <v>0</v>
      </c>
    </row>
    <row r="1289" customFormat="1" ht="25.5" hidden="1" spans="1:10">
      <c r="A1289" s="64"/>
      <c r="B1289" s="73" t="s">
        <v>2457</v>
      </c>
      <c r="C1289" s="66" t="s">
        <v>2458</v>
      </c>
      <c r="D1289" s="67">
        <v>0.2174</v>
      </c>
      <c r="E1289" s="68"/>
      <c r="F1289" s="69">
        <v>1</v>
      </c>
      <c r="G1289" s="70"/>
      <c r="H1289" s="71">
        <v>0.5</v>
      </c>
      <c r="I1289" s="71">
        <v>0</v>
      </c>
      <c r="J1289" s="71">
        <v>0</v>
      </c>
    </row>
    <row r="1290" customFormat="1" ht="25.5" hidden="1" spans="1:10">
      <c r="A1290" s="64"/>
      <c r="B1290" s="73" t="s">
        <v>2459</v>
      </c>
      <c r="C1290" s="66" t="s">
        <v>2460</v>
      </c>
      <c r="D1290" s="67">
        <v>0.2174</v>
      </c>
      <c r="E1290" s="68"/>
      <c r="F1290" s="69">
        <v>1</v>
      </c>
      <c r="G1290" s="70"/>
      <c r="H1290" s="71">
        <v>0.5</v>
      </c>
      <c r="I1290" s="71">
        <v>0</v>
      </c>
      <c r="J1290" s="71">
        <v>0</v>
      </c>
    </row>
    <row r="1291" customFormat="1" ht="12.75" hidden="1" spans="1:10">
      <c r="A1291" s="64"/>
      <c r="B1291" s="73" t="s">
        <v>2461</v>
      </c>
      <c r="C1291" s="66" t="s">
        <v>2462</v>
      </c>
      <c r="D1291" s="67">
        <v>0.2174</v>
      </c>
      <c r="E1291" s="68"/>
      <c r="F1291" s="69">
        <v>1</v>
      </c>
      <c r="G1291" s="70"/>
      <c r="H1291" s="71">
        <v>0.5</v>
      </c>
      <c r="I1291" s="71">
        <v>0</v>
      </c>
      <c r="J1291" s="71">
        <v>0</v>
      </c>
    </row>
    <row r="1292" customFormat="1" ht="12.75" hidden="1" spans="1:10">
      <c r="A1292" s="64"/>
      <c r="B1292" s="73" t="s">
        <v>2463</v>
      </c>
      <c r="C1292" s="66" t="s">
        <v>2464</v>
      </c>
      <c r="D1292" s="67">
        <v>0.2174</v>
      </c>
      <c r="E1292" s="68"/>
      <c r="F1292" s="69">
        <v>1</v>
      </c>
      <c r="G1292" s="70"/>
      <c r="H1292" s="71">
        <v>0.5</v>
      </c>
      <c r="I1292" s="71">
        <v>0</v>
      </c>
      <c r="J1292" s="71">
        <v>0</v>
      </c>
    </row>
    <row r="1293" customFormat="1" ht="25.5" hidden="1" spans="1:10">
      <c r="A1293" s="64"/>
      <c r="B1293" s="73" t="s">
        <v>2465</v>
      </c>
      <c r="C1293" s="66" t="s">
        <v>2466</v>
      </c>
      <c r="D1293" s="67">
        <v>0.2174</v>
      </c>
      <c r="E1293" s="68"/>
      <c r="F1293" s="69">
        <v>1</v>
      </c>
      <c r="G1293" s="70"/>
      <c r="H1293" s="71">
        <v>0.5</v>
      </c>
      <c r="I1293" s="71">
        <v>0</v>
      </c>
      <c r="J1293" s="71">
        <v>0</v>
      </c>
    </row>
    <row r="1294" customFormat="1" ht="12.75" hidden="1" spans="1:10">
      <c r="A1294" s="64"/>
      <c r="B1294" s="73" t="s">
        <v>2467</v>
      </c>
      <c r="C1294" s="66" t="s">
        <v>2468</v>
      </c>
      <c r="D1294" s="67">
        <v>0.2174</v>
      </c>
      <c r="E1294" s="68"/>
      <c r="F1294" s="69">
        <v>1</v>
      </c>
      <c r="G1294" s="70"/>
      <c r="H1294" s="71">
        <v>0.5</v>
      </c>
      <c r="I1294" s="71">
        <v>0</v>
      </c>
      <c r="J1294" s="71">
        <v>0</v>
      </c>
    </row>
    <row r="1295" customFormat="1" ht="12.75" hidden="1" spans="1:10">
      <c r="A1295" s="64"/>
      <c r="B1295" s="73" t="s">
        <v>2469</v>
      </c>
      <c r="C1295" s="66" t="s">
        <v>2470</v>
      </c>
      <c r="D1295" s="67">
        <v>0.2174</v>
      </c>
      <c r="E1295" s="68"/>
      <c r="F1295" s="69">
        <v>1</v>
      </c>
      <c r="G1295" s="70"/>
      <c r="H1295" s="71">
        <v>0.5</v>
      </c>
      <c r="I1295" s="71">
        <v>0</v>
      </c>
      <c r="J1295" s="71">
        <v>0</v>
      </c>
    </row>
    <row r="1296" customFormat="1" ht="12.75" hidden="1" spans="1:10">
      <c r="A1296" s="64"/>
      <c r="B1296" s="73" t="s">
        <v>2471</v>
      </c>
      <c r="C1296" s="66" t="s">
        <v>2472</v>
      </c>
      <c r="D1296" s="67">
        <v>0.2174</v>
      </c>
      <c r="E1296" s="68"/>
      <c r="F1296" s="69">
        <v>1</v>
      </c>
      <c r="G1296" s="70"/>
      <c r="H1296" s="71">
        <v>0.5</v>
      </c>
      <c r="I1296" s="71">
        <v>0</v>
      </c>
      <c r="J1296" s="71">
        <v>0</v>
      </c>
    </row>
    <row r="1297" customFormat="1" ht="12.75" hidden="1" spans="1:10">
      <c r="A1297" s="64"/>
      <c r="B1297" s="73" t="s">
        <v>2473</v>
      </c>
      <c r="C1297" s="66" t="s">
        <v>2474</v>
      </c>
      <c r="D1297" s="67">
        <v>1.3478</v>
      </c>
      <c r="E1297" s="68"/>
      <c r="F1297" s="69">
        <v>5</v>
      </c>
      <c r="G1297" s="70"/>
      <c r="H1297" s="71">
        <v>3.1</v>
      </c>
      <c r="I1297" s="71">
        <v>0</v>
      </c>
      <c r="J1297" s="71">
        <v>0</v>
      </c>
    </row>
    <row r="1298" customFormat="1" ht="12.75" hidden="1" spans="1:10">
      <c r="A1298" s="64"/>
      <c r="B1298" s="73" t="s">
        <v>2475</v>
      </c>
      <c r="C1298" s="66" t="s">
        <v>2476</v>
      </c>
      <c r="D1298" s="67">
        <v>0.087</v>
      </c>
      <c r="E1298" s="68"/>
      <c r="F1298" s="69">
        <v>0.3</v>
      </c>
      <c r="G1298" s="70"/>
      <c r="H1298" s="71">
        <v>0.2</v>
      </c>
      <c r="I1298" s="71">
        <v>0</v>
      </c>
      <c r="J1298" s="71">
        <v>0</v>
      </c>
    </row>
    <row r="1299" customFormat="1" ht="12.75" hidden="1" spans="1:10">
      <c r="A1299" s="64"/>
      <c r="B1299" s="73" t="s">
        <v>2477</v>
      </c>
      <c r="C1299" s="66" t="s">
        <v>2478</v>
      </c>
      <c r="D1299" s="67">
        <v>0.087</v>
      </c>
      <c r="E1299" s="68"/>
      <c r="F1299" s="69">
        <v>0.5</v>
      </c>
      <c r="G1299" s="70"/>
      <c r="H1299" s="71">
        <v>0.2</v>
      </c>
      <c r="I1299" s="71">
        <v>0</v>
      </c>
      <c r="J1299" s="71">
        <v>0</v>
      </c>
    </row>
    <row r="1300" customFormat="1" ht="12.75" hidden="1" spans="1:10">
      <c r="A1300" s="64"/>
      <c r="B1300" s="73" t="s">
        <v>2479</v>
      </c>
      <c r="C1300" s="66" t="s">
        <v>2480</v>
      </c>
      <c r="D1300" s="67">
        <v>0.3478</v>
      </c>
      <c r="E1300" s="68"/>
      <c r="F1300" s="69">
        <v>1</v>
      </c>
      <c r="G1300" s="70"/>
      <c r="H1300" s="71">
        <v>0.5</v>
      </c>
      <c r="I1300" s="71">
        <v>0</v>
      </c>
      <c r="J1300" s="71">
        <v>0</v>
      </c>
    </row>
    <row r="1301" customFormat="1" ht="12.75" hidden="1" spans="1:10">
      <c r="A1301" s="64"/>
      <c r="B1301" s="73" t="s">
        <v>2481</v>
      </c>
      <c r="C1301" s="66" t="s">
        <v>2482</v>
      </c>
      <c r="D1301" s="67">
        <v>0.0217</v>
      </c>
      <c r="E1301" s="68"/>
      <c r="F1301" s="69">
        <v>0.1</v>
      </c>
      <c r="G1301" s="70"/>
      <c r="H1301" s="71">
        <v>0.05</v>
      </c>
      <c r="I1301" s="71">
        <v>0</v>
      </c>
      <c r="J1301" s="71">
        <v>0</v>
      </c>
    </row>
    <row r="1302" customFormat="1" ht="25.5" hidden="1" spans="1:10">
      <c r="A1302" s="64"/>
      <c r="B1302" s="73" t="s">
        <v>2483</v>
      </c>
      <c r="C1302" s="66" t="s">
        <v>2484</v>
      </c>
      <c r="D1302" s="67">
        <v>1.3043</v>
      </c>
      <c r="E1302" s="68"/>
      <c r="F1302" s="69">
        <v>4</v>
      </c>
      <c r="G1302" s="70"/>
      <c r="H1302" s="71">
        <v>3</v>
      </c>
      <c r="I1302" s="71">
        <v>0</v>
      </c>
      <c r="J1302" s="71">
        <v>0</v>
      </c>
    </row>
    <row r="1303" customFormat="1" ht="12.75" hidden="1" spans="1:10">
      <c r="A1303" s="64"/>
      <c r="B1303" s="73" t="s">
        <v>2485</v>
      </c>
      <c r="C1303" s="66" t="s">
        <v>2486</v>
      </c>
      <c r="D1303" s="67">
        <v>2.087</v>
      </c>
      <c r="E1303" s="68"/>
      <c r="F1303" s="69">
        <v>7.8</v>
      </c>
      <c r="G1303" s="70"/>
      <c r="H1303" s="71">
        <v>4.8</v>
      </c>
      <c r="I1303" s="71">
        <v>0</v>
      </c>
      <c r="J1303" s="71">
        <v>0</v>
      </c>
    </row>
    <row r="1304" customFormat="1" ht="25.5" hidden="1" spans="1:10">
      <c r="A1304" s="64"/>
      <c r="B1304" s="73" t="s">
        <v>2487</v>
      </c>
      <c r="C1304" s="66" t="s">
        <v>2488</v>
      </c>
      <c r="D1304" s="67">
        <v>0.3913</v>
      </c>
      <c r="E1304" s="68"/>
      <c r="F1304" s="69">
        <v>1.4</v>
      </c>
      <c r="G1304" s="70"/>
      <c r="H1304" s="71">
        <v>0.9</v>
      </c>
      <c r="I1304" s="71">
        <v>0</v>
      </c>
      <c r="J1304" s="71">
        <v>0</v>
      </c>
    </row>
    <row r="1305" customFormat="1" ht="12.75" hidden="1" spans="1:10">
      <c r="A1305" s="64"/>
      <c r="B1305" s="73" t="s">
        <v>2489</v>
      </c>
      <c r="C1305" s="66" t="s">
        <v>2490</v>
      </c>
      <c r="D1305" s="67">
        <v>1.3043</v>
      </c>
      <c r="E1305" s="68"/>
      <c r="F1305" s="69">
        <v>4.8</v>
      </c>
      <c r="G1305" s="70"/>
      <c r="H1305" s="71">
        <v>3</v>
      </c>
      <c r="I1305" s="71">
        <v>0</v>
      </c>
      <c r="J1305" s="71">
        <v>0</v>
      </c>
    </row>
    <row r="1306" customFormat="1" ht="12.75" hidden="1" spans="1:10">
      <c r="A1306" s="64"/>
      <c r="B1306" s="73" t="s">
        <v>2491</v>
      </c>
      <c r="C1306" s="66" t="s">
        <v>2492</v>
      </c>
      <c r="D1306" s="67">
        <v>0.4348</v>
      </c>
      <c r="E1306" s="68"/>
      <c r="F1306" s="69">
        <v>1.5</v>
      </c>
      <c r="G1306" s="70"/>
      <c r="H1306" s="71">
        <v>1</v>
      </c>
      <c r="I1306" s="71">
        <v>0</v>
      </c>
      <c r="J1306" s="71">
        <v>0</v>
      </c>
    </row>
    <row r="1307" customFormat="1" ht="12.75" hidden="1" spans="1:10">
      <c r="A1307" s="64"/>
      <c r="B1307" s="73" t="s">
        <v>2493</v>
      </c>
      <c r="C1307" s="66" t="s">
        <v>2494</v>
      </c>
      <c r="D1307" s="67">
        <v>0.3913</v>
      </c>
      <c r="E1307" s="68"/>
      <c r="F1307" s="69">
        <v>1.4</v>
      </c>
      <c r="G1307" s="70"/>
      <c r="H1307" s="71">
        <v>0.9</v>
      </c>
      <c r="I1307" s="71">
        <v>0</v>
      </c>
      <c r="J1307" s="71">
        <v>0</v>
      </c>
    </row>
    <row r="1308" customFormat="1" ht="12.75" hidden="1" spans="1:10">
      <c r="A1308" s="64"/>
      <c r="B1308" s="73" t="s">
        <v>2495</v>
      </c>
      <c r="C1308" s="66" t="s">
        <v>2496</v>
      </c>
      <c r="D1308" s="67">
        <v>0.4348</v>
      </c>
      <c r="E1308" s="68"/>
      <c r="F1308" s="69">
        <v>2</v>
      </c>
      <c r="G1308" s="70"/>
      <c r="H1308" s="71">
        <v>1</v>
      </c>
      <c r="I1308" s="71">
        <v>0</v>
      </c>
      <c r="J1308" s="71">
        <v>0</v>
      </c>
    </row>
    <row r="1309" customFormat="1" ht="12.75" hidden="1" spans="1:10">
      <c r="A1309" s="64"/>
      <c r="B1309" s="73" t="s">
        <v>2497</v>
      </c>
      <c r="C1309" s="66" t="s">
        <v>2498</v>
      </c>
      <c r="D1309" s="67">
        <v>1.3478</v>
      </c>
      <c r="E1309" s="68"/>
      <c r="F1309" s="69">
        <v>4.9</v>
      </c>
      <c r="G1309" s="70"/>
      <c r="H1309" s="71">
        <v>3.1</v>
      </c>
      <c r="I1309" s="71">
        <v>0</v>
      </c>
      <c r="J1309" s="71">
        <v>0</v>
      </c>
    </row>
    <row r="1310" customFormat="1" ht="12.75" hidden="1" spans="1:10">
      <c r="A1310" s="64"/>
      <c r="B1310" s="73" t="s">
        <v>2499</v>
      </c>
      <c r="C1310" s="66" t="s">
        <v>2500</v>
      </c>
      <c r="D1310" s="67">
        <v>3.3478</v>
      </c>
      <c r="E1310" s="68"/>
      <c r="F1310" s="79">
        <v>12.5</v>
      </c>
      <c r="G1310" s="80"/>
      <c r="H1310" s="71">
        <v>7.7</v>
      </c>
      <c r="I1310" s="71">
        <v>0</v>
      </c>
      <c r="J1310" s="71">
        <v>0</v>
      </c>
    </row>
    <row r="1311" customFormat="1" ht="25.5" hidden="1" spans="1:10">
      <c r="A1311" s="64"/>
      <c r="B1311" s="73" t="s">
        <v>2501</v>
      </c>
      <c r="C1311" s="66" t="s">
        <v>2502</v>
      </c>
      <c r="D1311" s="82">
        <v>15.3478</v>
      </c>
      <c r="E1311" s="83"/>
      <c r="F1311" s="79">
        <v>56.5</v>
      </c>
      <c r="G1311" s="80"/>
      <c r="H1311" s="71">
        <v>35.3</v>
      </c>
      <c r="I1311" s="71">
        <v>0</v>
      </c>
      <c r="J1311" s="71">
        <v>0</v>
      </c>
    </row>
    <row r="1312" customFormat="1" ht="12.75" hidden="1" spans="1:10">
      <c r="A1312" s="64"/>
      <c r="B1312" s="73" t="s">
        <v>2503</v>
      </c>
      <c r="C1312" s="66" t="s">
        <v>2504</v>
      </c>
      <c r="D1312" s="67">
        <v>1.0435</v>
      </c>
      <c r="E1312" s="68"/>
      <c r="F1312" s="69">
        <v>3.9</v>
      </c>
      <c r="G1312" s="70"/>
      <c r="H1312" s="71">
        <v>2.4</v>
      </c>
      <c r="I1312" s="71">
        <v>0</v>
      </c>
      <c r="J1312" s="71">
        <v>0</v>
      </c>
    </row>
    <row r="1313" customFormat="1" ht="12.75" hidden="1" spans="1:10">
      <c r="A1313" s="64"/>
      <c r="B1313" s="73" t="s">
        <v>2505</v>
      </c>
      <c r="C1313" s="66" t="s">
        <v>2506</v>
      </c>
      <c r="D1313" s="67">
        <v>0.5652</v>
      </c>
      <c r="E1313" s="68"/>
      <c r="F1313" s="69">
        <v>2</v>
      </c>
      <c r="G1313" s="70"/>
      <c r="H1313" s="71">
        <v>1.3</v>
      </c>
      <c r="I1313" s="71">
        <v>0</v>
      </c>
      <c r="J1313" s="71">
        <v>0</v>
      </c>
    </row>
    <row r="1314" customFormat="1" ht="12.75" hidden="1" spans="1:10">
      <c r="A1314" s="64"/>
      <c r="B1314" s="73" t="s">
        <v>2507</v>
      </c>
      <c r="C1314" s="66" t="s">
        <v>2508</v>
      </c>
      <c r="D1314" s="67">
        <v>0.5652</v>
      </c>
      <c r="E1314" s="68"/>
      <c r="F1314" s="69">
        <v>2.1</v>
      </c>
      <c r="G1314" s="70"/>
      <c r="H1314" s="71">
        <v>1.3</v>
      </c>
      <c r="I1314" s="71">
        <v>0</v>
      </c>
      <c r="J1314" s="71">
        <v>0</v>
      </c>
    </row>
    <row r="1315" customFormat="1" ht="12.75" hidden="1" spans="1:10">
      <c r="A1315" s="64"/>
      <c r="B1315" s="73" t="s">
        <v>2509</v>
      </c>
      <c r="C1315" s="66" t="s">
        <v>2510</v>
      </c>
      <c r="D1315" s="67">
        <v>0.5652</v>
      </c>
      <c r="E1315" s="68"/>
      <c r="F1315" s="69">
        <v>2.1</v>
      </c>
      <c r="G1315" s="70"/>
      <c r="H1315" s="71">
        <v>1.3</v>
      </c>
      <c r="I1315" s="71">
        <v>0</v>
      </c>
      <c r="J1315" s="71">
        <v>0</v>
      </c>
    </row>
    <row r="1316" customFormat="1" ht="12.75" hidden="1" spans="1:10">
      <c r="A1316" s="64"/>
      <c r="B1316" s="73" t="s">
        <v>2511</v>
      </c>
      <c r="C1316" s="66" t="s">
        <v>2512</v>
      </c>
      <c r="D1316" s="67">
        <v>0.8261</v>
      </c>
      <c r="E1316" s="68"/>
      <c r="F1316" s="69">
        <v>3</v>
      </c>
      <c r="G1316" s="70"/>
      <c r="H1316" s="71">
        <v>1.9</v>
      </c>
      <c r="I1316" s="71">
        <v>0</v>
      </c>
      <c r="J1316" s="71">
        <v>0</v>
      </c>
    </row>
    <row r="1317" customFormat="1" ht="12.75" hidden="1" spans="1:10">
      <c r="A1317" s="64"/>
      <c r="B1317" s="73" t="s">
        <v>2513</v>
      </c>
      <c r="C1317" s="66" t="s">
        <v>2514</v>
      </c>
      <c r="D1317" s="67">
        <v>0.8261</v>
      </c>
      <c r="E1317" s="68"/>
      <c r="F1317" s="69">
        <v>2.85</v>
      </c>
      <c r="G1317" s="70"/>
      <c r="H1317" s="71">
        <v>2</v>
      </c>
      <c r="I1317" s="71">
        <v>0</v>
      </c>
      <c r="J1317" s="71">
        <v>0</v>
      </c>
    </row>
    <row r="1318" customFormat="1" ht="12.75" hidden="1" spans="1:10">
      <c r="A1318" s="64"/>
      <c r="B1318" s="73" t="s">
        <v>2515</v>
      </c>
      <c r="C1318" s="66" t="s">
        <v>2516</v>
      </c>
      <c r="D1318" s="67">
        <v>0.6522</v>
      </c>
      <c r="E1318" s="68"/>
      <c r="F1318" s="69">
        <v>2.25</v>
      </c>
      <c r="G1318" s="70"/>
      <c r="H1318" s="71">
        <v>1.5</v>
      </c>
      <c r="I1318" s="71">
        <v>0</v>
      </c>
      <c r="J1318" s="71">
        <v>0</v>
      </c>
    </row>
    <row r="1319" customFormat="1" ht="12.75" hidden="1" spans="1:10">
      <c r="A1319" s="64"/>
      <c r="B1319" s="73" t="s">
        <v>2517</v>
      </c>
      <c r="C1319" s="66" t="s">
        <v>2518</v>
      </c>
      <c r="D1319" s="67">
        <v>0.3913</v>
      </c>
      <c r="E1319" s="68"/>
      <c r="F1319" s="69">
        <v>1</v>
      </c>
      <c r="G1319" s="70"/>
      <c r="H1319" s="71">
        <v>0.9</v>
      </c>
      <c r="I1319" s="71">
        <v>0</v>
      </c>
      <c r="J1319" s="71">
        <v>0</v>
      </c>
    </row>
    <row r="1320" customFormat="1" ht="12.75" hidden="1" spans="1:10">
      <c r="A1320" s="64"/>
      <c r="B1320" s="73" t="s">
        <v>2519</v>
      </c>
      <c r="C1320" s="66" t="s">
        <v>2520</v>
      </c>
      <c r="D1320" s="67">
        <v>0.1739</v>
      </c>
      <c r="E1320" s="68"/>
      <c r="F1320" s="69">
        <v>0.6</v>
      </c>
      <c r="G1320" s="70"/>
      <c r="H1320" s="71">
        <v>0.4</v>
      </c>
      <c r="I1320" s="71">
        <v>0</v>
      </c>
      <c r="J1320" s="71">
        <v>0</v>
      </c>
    </row>
    <row r="1321" customFormat="1" ht="12.75" hidden="1" spans="1:10">
      <c r="A1321" s="64"/>
      <c r="B1321" s="73" t="s">
        <v>2521</v>
      </c>
      <c r="C1321" s="66" t="s">
        <v>2522</v>
      </c>
      <c r="D1321" s="67">
        <v>0.087</v>
      </c>
      <c r="E1321" s="68"/>
      <c r="F1321" s="69">
        <v>0.3</v>
      </c>
      <c r="G1321" s="70"/>
      <c r="H1321" s="71">
        <v>0.2</v>
      </c>
      <c r="I1321" s="71">
        <v>0</v>
      </c>
      <c r="J1321" s="71">
        <v>0</v>
      </c>
    </row>
    <row r="1322" customFormat="1" ht="12.75" hidden="1" spans="1:10">
      <c r="A1322" s="64"/>
      <c r="B1322" s="65">
        <v>6932654236310</v>
      </c>
      <c r="C1322" s="66" t="s">
        <v>2523</v>
      </c>
      <c r="D1322" s="67">
        <v>0.1304</v>
      </c>
      <c r="E1322" s="68"/>
      <c r="F1322" s="69">
        <v>0.5</v>
      </c>
      <c r="G1322" s="70"/>
      <c r="H1322" s="71">
        <v>0.3</v>
      </c>
      <c r="I1322" s="71">
        <v>0</v>
      </c>
      <c r="J1322" s="71">
        <v>0</v>
      </c>
    </row>
    <row r="1323" customFormat="1" ht="12.75" hidden="1" spans="1:10">
      <c r="A1323" s="64"/>
      <c r="B1323" s="73" t="s">
        <v>2524</v>
      </c>
      <c r="C1323" s="66" t="s">
        <v>2525</v>
      </c>
      <c r="D1323" s="67">
        <v>0.2174</v>
      </c>
      <c r="E1323" s="68"/>
      <c r="F1323" s="69">
        <v>1</v>
      </c>
      <c r="G1323" s="70"/>
      <c r="H1323" s="71">
        <v>0.5</v>
      </c>
      <c r="I1323" s="71">
        <v>0</v>
      </c>
      <c r="J1323" s="71">
        <v>0</v>
      </c>
    </row>
    <row r="1324" customFormat="1" ht="12.75" hidden="1" spans="1:10">
      <c r="A1324" s="64"/>
      <c r="B1324" s="73" t="s">
        <v>2526</v>
      </c>
      <c r="C1324" s="66" t="s">
        <v>2527</v>
      </c>
      <c r="D1324" s="67">
        <v>0.1739</v>
      </c>
      <c r="E1324" s="68"/>
      <c r="F1324" s="69">
        <v>0.6</v>
      </c>
      <c r="G1324" s="70"/>
      <c r="H1324" s="71">
        <v>0.4</v>
      </c>
      <c r="I1324" s="71">
        <v>0</v>
      </c>
      <c r="J1324" s="71">
        <v>0</v>
      </c>
    </row>
    <row r="1325" customFormat="1" ht="12.75" hidden="1" spans="1:10">
      <c r="A1325" s="64"/>
      <c r="B1325" s="73" t="s">
        <v>2528</v>
      </c>
      <c r="C1325" s="66" t="s">
        <v>2529</v>
      </c>
      <c r="D1325" s="67">
        <v>0.1304</v>
      </c>
      <c r="E1325" s="68"/>
      <c r="F1325" s="69">
        <v>0.5</v>
      </c>
      <c r="G1325" s="70"/>
      <c r="H1325" s="71">
        <v>0.3</v>
      </c>
      <c r="I1325" s="71">
        <v>0</v>
      </c>
      <c r="J1325" s="71">
        <v>0</v>
      </c>
    </row>
    <row r="1326" customFormat="1" ht="12.75" hidden="1" spans="1:10">
      <c r="A1326" s="64"/>
      <c r="B1326" s="73" t="s">
        <v>2530</v>
      </c>
      <c r="C1326" s="66" t="s">
        <v>2531</v>
      </c>
      <c r="D1326" s="67">
        <v>0.1304</v>
      </c>
      <c r="E1326" s="68"/>
      <c r="F1326" s="69">
        <v>0.5</v>
      </c>
      <c r="G1326" s="70"/>
      <c r="H1326" s="71">
        <v>0.3</v>
      </c>
      <c r="I1326" s="71">
        <v>0</v>
      </c>
      <c r="J1326" s="71">
        <v>0</v>
      </c>
    </row>
    <row r="1327" customFormat="1" ht="12.75" hidden="1" spans="1:10">
      <c r="A1327" s="64"/>
      <c r="B1327" s="73" t="s">
        <v>2532</v>
      </c>
      <c r="C1327" s="66" t="s">
        <v>2533</v>
      </c>
      <c r="D1327" s="67">
        <v>0.1304</v>
      </c>
      <c r="E1327" s="68"/>
      <c r="F1327" s="69">
        <v>0.5</v>
      </c>
      <c r="G1327" s="70"/>
      <c r="H1327" s="71">
        <v>0.3</v>
      </c>
      <c r="I1327" s="71">
        <v>0</v>
      </c>
      <c r="J1327" s="71">
        <v>0</v>
      </c>
    </row>
    <row r="1328" customFormat="1" ht="12.75" hidden="1" spans="1:10">
      <c r="A1328" s="64"/>
      <c r="B1328" s="73" t="s">
        <v>2534</v>
      </c>
      <c r="C1328" s="66" t="s">
        <v>2535</v>
      </c>
      <c r="D1328" s="67">
        <v>0.1304</v>
      </c>
      <c r="E1328" s="68"/>
      <c r="F1328" s="69">
        <v>0.5</v>
      </c>
      <c r="G1328" s="70"/>
      <c r="H1328" s="71">
        <v>0.3</v>
      </c>
      <c r="I1328" s="71">
        <v>0</v>
      </c>
      <c r="J1328" s="71">
        <v>0</v>
      </c>
    </row>
    <row r="1329" customFormat="1" ht="12.75" hidden="1" spans="1:10">
      <c r="A1329" s="64"/>
      <c r="B1329" s="73" t="s">
        <v>2536</v>
      </c>
      <c r="C1329" s="66" t="s">
        <v>2537</v>
      </c>
      <c r="D1329" s="67">
        <v>0.1304</v>
      </c>
      <c r="E1329" s="68"/>
      <c r="F1329" s="69">
        <v>0.5</v>
      </c>
      <c r="G1329" s="70"/>
      <c r="H1329" s="71">
        <v>0.3</v>
      </c>
      <c r="I1329" s="71">
        <v>0</v>
      </c>
      <c r="J1329" s="71">
        <v>0</v>
      </c>
    </row>
    <row r="1330" customFormat="1" ht="12.75" hidden="1" spans="1:10">
      <c r="A1330" s="64"/>
      <c r="B1330" s="73" t="s">
        <v>2538</v>
      </c>
      <c r="C1330" s="66" t="s">
        <v>2539</v>
      </c>
      <c r="D1330" s="67">
        <v>0.2609</v>
      </c>
      <c r="E1330" s="68"/>
      <c r="F1330" s="69">
        <v>1</v>
      </c>
      <c r="G1330" s="70"/>
      <c r="H1330" s="71">
        <v>0.6</v>
      </c>
      <c r="I1330" s="71">
        <v>0</v>
      </c>
      <c r="J1330" s="71">
        <v>0</v>
      </c>
    </row>
    <row r="1331" customFormat="1" ht="12.75" hidden="1" spans="1:10">
      <c r="A1331" s="64"/>
      <c r="B1331" s="73" t="s">
        <v>2540</v>
      </c>
      <c r="C1331" s="66" t="s">
        <v>2541</v>
      </c>
      <c r="D1331" s="67">
        <v>0.2609</v>
      </c>
      <c r="E1331" s="68"/>
      <c r="F1331" s="69">
        <v>1</v>
      </c>
      <c r="G1331" s="70"/>
      <c r="H1331" s="71">
        <v>0.6</v>
      </c>
      <c r="I1331" s="71">
        <v>0</v>
      </c>
      <c r="J1331" s="71">
        <v>0</v>
      </c>
    </row>
    <row r="1332" customFormat="1" ht="12.75" hidden="1" spans="1:10">
      <c r="A1332" s="64"/>
      <c r="B1332" s="73" t="s">
        <v>2542</v>
      </c>
      <c r="C1332" s="66" t="s">
        <v>2543</v>
      </c>
      <c r="D1332" s="67">
        <v>0.2609</v>
      </c>
      <c r="E1332" s="68"/>
      <c r="F1332" s="69">
        <v>1</v>
      </c>
      <c r="G1332" s="70"/>
      <c r="H1332" s="71">
        <v>0.6</v>
      </c>
      <c r="I1332" s="71">
        <v>0</v>
      </c>
      <c r="J1332" s="71">
        <v>0</v>
      </c>
    </row>
    <row r="1333" customFormat="1" ht="12.75" hidden="1" spans="1:10">
      <c r="A1333" s="64"/>
      <c r="B1333" s="73" t="s">
        <v>2544</v>
      </c>
      <c r="C1333" s="66" t="s">
        <v>2545</v>
      </c>
      <c r="D1333" s="67">
        <v>0.2609</v>
      </c>
      <c r="E1333" s="68"/>
      <c r="F1333" s="69">
        <v>1</v>
      </c>
      <c r="G1333" s="70"/>
      <c r="H1333" s="71">
        <v>0.6</v>
      </c>
      <c r="I1333" s="71">
        <v>0</v>
      </c>
      <c r="J1333" s="71">
        <v>0</v>
      </c>
    </row>
    <row r="1334" customFormat="1" ht="12.75" hidden="1" spans="1:10">
      <c r="A1334" s="64"/>
      <c r="B1334" s="73" t="s">
        <v>2546</v>
      </c>
      <c r="C1334" s="66" t="s">
        <v>2547</v>
      </c>
      <c r="D1334" s="67">
        <v>0.0435</v>
      </c>
      <c r="E1334" s="68"/>
      <c r="F1334" s="69">
        <v>0.25</v>
      </c>
      <c r="G1334" s="70"/>
      <c r="H1334" s="71">
        <v>0.1</v>
      </c>
      <c r="I1334" s="71">
        <v>0</v>
      </c>
      <c r="J1334" s="71">
        <v>0</v>
      </c>
    </row>
    <row r="1335" customFormat="1" ht="12.75" hidden="1" spans="1:10">
      <c r="A1335" s="64"/>
      <c r="B1335" s="73" t="s">
        <v>2548</v>
      </c>
      <c r="C1335" s="66" t="s">
        <v>2549</v>
      </c>
      <c r="D1335" s="67">
        <v>0.087</v>
      </c>
      <c r="E1335" s="68"/>
      <c r="F1335" s="69">
        <v>0.3</v>
      </c>
      <c r="G1335" s="70"/>
      <c r="H1335" s="71">
        <v>0.2</v>
      </c>
      <c r="I1335" s="71">
        <v>0</v>
      </c>
      <c r="J1335" s="71">
        <v>0</v>
      </c>
    </row>
    <row r="1336" customFormat="1" ht="12.75" hidden="1" spans="1:10">
      <c r="A1336" s="64"/>
      <c r="B1336" s="73" t="s">
        <v>2550</v>
      </c>
      <c r="C1336" s="66" t="s">
        <v>2551</v>
      </c>
      <c r="D1336" s="67">
        <v>0.3043</v>
      </c>
      <c r="E1336" s="68"/>
      <c r="F1336" s="69">
        <v>1</v>
      </c>
      <c r="G1336" s="70"/>
      <c r="H1336" s="71">
        <v>0.7</v>
      </c>
      <c r="I1336" s="71">
        <v>0</v>
      </c>
      <c r="J1336" s="71">
        <v>0</v>
      </c>
    </row>
    <row r="1337" customFormat="1" ht="12.75" hidden="1" spans="1:10">
      <c r="A1337" s="64"/>
      <c r="B1337" s="73" t="s">
        <v>2552</v>
      </c>
      <c r="C1337" s="66" t="s">
        <v>2553</v>
      </c>
      <c r="D1337" s="67">
        <v>0.1304</v>
      </c>
      <c r="E1337" s="68"/>
      <c r="F1337" s="69">
        <v>0.5</v>
      </c>
      <c r="G1337" s="70"/>
      <c r="H1337" s="71">
        <v>0.3</v>
      </c>
      <c r="I1337" s="71">
        <v>0</v>
      </c>
      <c r="J1337" s="71">
        <v>0</v>
      </c>
    </row>
    <row r="1338" customFormat="1" ht="12.75" hidden="1" spans="1:10">
      <c r="A1338" s="64"/>
      <c r="B1338" s="73" t="s">
        <v>2554</v>
      </c>
      <c r="C1338" s="66" t="s">
        <v>2555</v>
      </c>
      <c r="D1338" s="67">
        <v>0.2174</v>
      </c>
      <c r="E1338" s="68"/>
      <c r="F1338" s="69">
        <v>1.5</v>
      </c>
      <c r="G1338" s="70"/>
      <c r="H1338" s="71">
        <v>0.5</v>
      </c>
      <c r="I1338" s="71">
        <v>0</v>
      </c>
      <c r="J1338" s="71">
        <v>0</v>
      </c>
    </row>
    <row r="1339" customFormat="1" ht="12.75" hidden="1" spans="1:10">
      <c r="A1339" s="64"/>
      <c r="B1339" s="73" t="s">
        <v>2556</v>
      </c>
      <c r="C1339" s="66" t="s">
        <v>2557</v>
      </c>
      <c r="D1339" s="67">
        <v>0.1304</v>
      </c>
      <c r="E1339" s="68"/>
      <c r="F1339" s="69">
        <v>0.5</v>
      </c>
      <c r="G1339" s="70"/>
      <c r="H1339" s="71">
        <v>0.3</v>
      </c>
      <c r="I1339" s="71">
        <v>0</v>
      </c>
      <c r="J1339" s="71">
        <v>0</v>
      </c>
    </row>
    <row r="1340" customFormat="1" ht="12.75" hidden="1" spans="1:10">
      <c r="A1340" s="64"/>
      <c r="B1340" s="73" t="s">
        <v>2558</v>
      </c>
      <c r="C1340" s="66" t="s">
        <v>2559</v>
      </c>
      <c r="D1340" s="67">
        <v>0.2174</v>
      </c>
      <c r="E1340" s="68"/>
      <c r="F1340" s="69">
        <v>0.7</v>
      </c>
      <c r="G1340" s="70"/>
      <c r="H1340" s="71">
        <v>0.5</v>
      </c>
      <c r="I1340" s="71">
        <v>0</v>
      </c>
      <c r="J1340" s="71">
        <v>0</v>
      </c>
    </row>
    <row r="1341" customFormat="1" ht="12.75" hidden="1" spans="1:10">
      <c r="A1341" s="64"/>
      <c r="B1341" s="73" t="s">
        <v>2560</v>
      </c>
      <c r="C1341" s="66" t="s">
        <v>2561</v>
      </c>
      <c r="D1341" s="67">
        <v>0.4348</v>
      </c>
      <c r="E1341" s="68"/>
      <c r="F1341" s="69">
        <v>1.5</v>
      </c>
      <c r="G1341" s="70"/>
      <c r="H1341" s="71">
        <v>1</v>
      </c>
      <c r="I1341" s="71">
        <v>0</v>
      </c>
      <c r="J1341" s="71">
        <v>0</v>
      </c>
    </row>
    <row r="1342" customFormat="1" ht="12.75" hidden="1" spans="1:10">
      <c r="A1342" s="64"/>
      <c r="B1342" s="73" t="s">
        <v>2562</v>
      </c>
      <c r="C1342" s="66" t="s">
        <v>2563</v>
      </c>
      <c r="D1342" s="67">
        <v>0.4348</v>
      </c>
      <c r="E1342" s="68"/>
      <c r="F1342" s="69">
        <v>1.5</v>
      </c>
      <c r="G1342" s="70"/>
      <c r="H1342" s="71">
        <v>1</v>
      </c>
      <c r="I1342" s="71">
        <v>0</v>
      </c>
      <c r="J1342" s="71">
        <v>0</v>
      </c>
    </row>
    <row r="1343" customFormat="1" ht="12.75" hidden="1" spans="1:10">
      <c r="A1343" s="64"/>
      <c r="B1343" s="73" t="s">
        <v>2564</v>
      </c>
      <c r="C1343" s="66" t="s">
        <v>2565</v>
      </c>
      <c r="D1343" s="67">
        <v>0.5652</v>
      </c>
      <c r="E1343" s="68"/>
      <c r="F1343" s="69">
        <v>2.1</v>
      </c>
      <c r="G1343" s="70"/>
      <c r="H1343" s="71">
        <v>1.3</v>
      </c>
      <c r="I1343" s="71">
        <v>0</v>
      </c>
      <c r="J1343" s="71">
        <v>0</v>
      </c>
    </row>
    <row r="1344" customFormat="1" ht="12.75" hidden="1" spans="1:10">
      <c r="A1344" s="64"/>
      <c r="B1344" s="73" t="s">
        <v>2566</v>
      </c>
      <c r="C1344" s="66" t="s">
        <v>2567</v>
      </c>
      <c r="D1344" s="67">
        <v>0.2609</v>
      </c>
      <c r="E1344" s="68"/>
      <c r="F1344" s="69">
        <v>1</v>
      </c>
      <c r="G1344" s="70"/>
      <c r="H1344" s="71">
        <v>0.6</v>
      </c>
      <c r="I1344" s="71">
        <v>0</v>
      </c>
      <c r="J1344" s="71">
        <v>0</v>
      </c>
    </row>
    <row r="1345" customFormat="1" ht="12.75" hidden="1" spans="1:10">
      <c r="A1345" s="64"/>
      <c r="B1345" s="73" t="s">
        <v>2568</v>
      </c>
      <c r="C1345" s="66" t="s">
        <v>2569</v>
      </c>
      <c r="D1345" s="67">
        <v>0.5217</v>
      </c>
      <c r="E1345" s="68"/>
      <c r="F1345" s="69">
        <v>1.9</v>
      </c>
      <c r="G1345" s="70"/>
      <c r="H1345" s="71">
        <v>1.2</v>
      </c>
      <c r="I1345" s="71">
        <v>0</v>
      </c>
      <c r="J1345" s="71">
        <v>0</v>
      </c>
    </row>
    <row r="1346" customFormat="1" ht="12.75" hidden="1" spans="1:10">
      <c r="A1346" s="64"/>
      <c r="B1346" s="73" t="s">
        <v>2570</v>
      </c>
      <c r="C1346" s="66" t="s">
        <v>2571</v>
      </c>
      <c r="D1346" s="67">
        <v>0.3043</v>
      </c>
      <c r="E1346" s="68"/>
      <c r="F1346" s="69">
        <v>1.1</v>
      </c>
      <c r="G1346" s="70"/>
      <c r="H1346" s="71">
        <v>0.7</v>
      </c>
      <c r="I1346" s="71">
        <v>0</v>
      </c>
      <c r="J1346" s="71">
        <v>0</v>
      </c>
    </row>
    <row r="1347" customFormat="1" ht="12.75" hidden="1" spans="1:10">
      <c r="A1347" s="64"/>
      <c r="B1347" s="73" t="s">
        <v>2572</v>
      </c>
      <c r="C1347" s="66" t="s">
        <v>2573</v>
      </c>
      <c r="D1347" s="67">
        <v>0.3043</v>
      </c>
      <c r="E1347" s="68"/>
      <c r="F1347" s="69">
        <v>1</v>
      </c>
      <c r="G1347" s="70"/>
      <c r="H1347" s="71">
        <v>0.7</v>
      </c>
      <c r="I1347" s="71">
        <v>0</v>
      </c>
      <c r="J1347" s="71">
        <v>0</v>
      </c>
    </row>
    <row r="1348" customFormat="1" ht="12.75" hidden="1" spans="1:10">
      <c r="A1348" s="64"/>
      <c r="B1348" s="73" t="s">
        <v>2574</v>
      </c>
      <c r="C1348" s="66" t="s">
        <v>2575</v>
      </c>
      <c r="D1348" s="67">
        <v>0.3043</v>
      </c>
      <c r="E1348" s="68"/>
      <c r="F1348" s="69">
        <v>1.1</v>
      </c>
      <c r="G1348" s="70"/>
      <c r="H1348" s="71">
        <v>0.7</v>
      </c>
      <c r="I1348" s="71">
        <v>0</v>
      </c>
      <c r="J1348" s="71">
        <v>0</v>
      </c>
    </row>
    <row r="1349" customFormat="1" ht="25.5" hidden="1" spans="1:10">
      <c r="A1349" s="64"/>
      <c r="B1349" s="73" t="s">
        <v>2576</v>
      </c>
      <c r="C1349" s="66" t="s">
        <v>2577</v>
      </c>
      <c r="D1349" s="67">
        <v>0.2174</v>
      </c>
      <c r="E1349" s="68"/>
      <c r="F1349" s="69">
        <v>0.7</v>
      </c>
      <c r="G1349" s="70"/>
      <c r="H1349" s="71">
        <v>0.5</v>
      </c>
      <c r="I1349" s="71">
        <v>0</v>
      </c>
      <c r="J1349" s="71">
        <v>0</v>
      </c>
    </row>
    <row r="1350" customFormat="1" ht="12.75" hidden="1" spans="1:10">
      <c r="A1350" s="64"/>
      <c r="B1350" s="73" t="s">
        <v>2578</v>
      </c>
      <c r="C1350" s="66" t="s">
        <v>2579</v>
      </c>
      <c r="D1350" s="67">
        <v>0.3478</v>
      </c>
      <c r="E1350" s="68"/>
      <c r="F1350" s="69">
        <v>1.3</v>
      </c>
      <c r="G1350" s="70"/>
      <c r="H1350" s="71">
        <v>0.8</v>
      </c>
      <c r="I1350" s="71">
        <v>0</v>
      </c>
      <c r="J1350" s="71">
        <v>0</v>
      </c>
    </row>
    <row r="1351" customFormat="1" ht="12.75" hidden="1" spans="1:10">
      <c r="A1351" s="64"/>
      <c r="B1351" s="73" t="s">
        <v>2580</v>
      </c>
      <c r="C1351" s="66" t="s">
        <v>2581</v>
      </c>
      <c r="D1351" s="67">
        <v>0.3043</v>
      </c>
      <c r="E1351" s="68"/>
      <c r="F1351" s="69">
        <v>1.1</v>
      </c>
      <c r="G1351" s="70"/>
      <c r="H1351" s="71">
        <v>0.7</v>
      </c>
      <c r="I1351" s="71">
        <v>0</v>
      </c>
      <c r="J1351" s="71">
        <v>0</v>
      </c>
    </row>
    <row r="1352" customFormat="1" ht="12.75" hidden="1" spans="1:10">
      <c r="A1352" s="64"/>
      <c r="B1352" s="73" t="s">
        <v>2582</v>
      </c>
      <c r="C1352" s="66" t="s">
        <v>2583</v>
      </c>
      <c r="D1352" s="67">
        <v>0.3913</v>
      </c>
      <c r="E1352" s="68"/>
      <c r="F1352" s="69">
        <v>1.4</v>
      </c>
      <c r="G1352" s="70"/>
      <c r="H1352" s="71">
        <v>0.9</v>
      </c>
      <c r="I1352" s="71">
        <v>0</v>
      </c>
      <c r="J1352" s="71">
        <v>0</v>
      </c>
    </row>
    <row r="1353" customFormat="1" ht="12.75" hidden="1" spans="1:10">
      <c r="A1353" s="64"/>
      <c r="B1353" s="73" t="s">
        <v>2584</v>
      </c>
      <c r="C1353" s="66" t="s">
        <v>2585</v>
      </c>
      <c r="D1353" s="67">
        <v>0.3478</v>
      </c>
      <c r="E1353" s="68"/>
      <c r="F1353" s="69">
        <v>1.5</v>
      </c>
      <c r="G1353" s="70"/>
      <c r="H1353" s="71">
        <v>0.8</v>
      </c>
      <c r="I1353" s="71">
        <v>0</v>
      </c>
      <c r="J1353" s="71">
        <v>0</v>
      </c>
    </row>
    <row r="1354" customFormat="1" ht="12.75" hidden="1" spans="1:10">
      <c r="A1354" s="64"/>
      <c r="B1354" s="73" t="s">
        <v>2586</v>
      </c>
      <c r="C1354" s="66" t="s">
        <v>2587</v>
      </c>
      <c r="D1354" s="67">
        <v>0.2609</v>
      </c>
      <c r="E1354" s="68"/>
      <c r="F1354" s="69">
        <v>0.9</v>
      </c>
      <c r="G1354" s="70"/>
      <c r="H1354" s="71">
        <v>0.6</v>
      </c>
      <c r="I1354" s="71">
        <v>0</v>
      </c>
      <c r="J1354" s="71">
        <v>0</v>
      </c>
    </row>
    <row r="1355" customFormat="1" ht="12.75" hidden="1" spans="1:10">
      <c r="A1355" s="64"/>
      <c r="B1355" s="73" t="s">
        <v>2588</v>
      </c>
      <c r="C1355" s="66" t="s">
        <v>2589</v>
      </c>
      <c r="D1355" s="67">
        <v>0.2609</v>
      </c>
      <c r="E1355" s="68"/>
      <c r="F1355" s="69">
        <v>1</v>
      </c>
      <c r="G1355" s="70"/>
      <c r="H1355" s="71">
        <v>0.6</v>
      </c>
      <c r="I1355" s="71">
        <v>0</v>
      </c>
      <c r="J1355" s="71">
        <v>0</v>
      </c>
    </row>
    <row r="1356" customFormat="1" ht="12.75" hidden="1" spans="1:10">
      <c r="A1356" s="64"/>
      <c r="B1356" s="73" t="s">
        <v>2590</v>
      </c>
      <c r="C1356" s="66" t="s">
        <v>2591</v>
      </c>
      <c r="D1356" s="67">
        <v>0.3478</v>
      </c>
      <c r="E1356" s="68"/>
      <c r="F1356" s="69">
        <v>1.1</v>
      </c>
      <c r="G1356" s="70"/>
      <c r="H1356" s="71">
        <v>0.8</v>
      </c>
      <c r="I1356" s="71">
        <v>0</v>
      </c>
      <c r="J1356" s="71">
        <v>0</v>
      </c>
    </row>
    <row r="1357" customFormat="1" ht="12.75" hidden="1" spans="1:10">
      <c r="A1357" s="64"/>
      <c r="B1357" s="73" t="s">
        <v>2592</v>
      </c>
      <c r="C1357" s="66" t="s">
        <v>2593</v>
      </c>
      <c r="D1357" s="67">
        <v>0.2174</v>
      </c>
      <c r="E1357" s="68"/>
      <c r="F1357" s="69">
        <v>1.1</v>
      </c>
      <c r="G1357" s="70"/>
      <c r="H1357" s="71">
        <v>0.5</v>
      </c>
      <c r="I1357" s="71">
        <v>0</v>
      </c>
      <c r="J1357" s="71">
        <v>0</v>
      </c>
    </row>
    <row r="1358" customFormat="1" ht="12.75" hidden="1" spans="1:10">
      <c r="A1358" s="64"/>
      <c r="B1358" s="73" t="s">
        <v>2594</v>
      </c>
      <c r="C1358" s="66" t="s">
        <v>2595</v>
      </c>
      <c r="D1358" s="67">
        <v>0.1739</v>
      </c>
      <c r="E1358" s="68"/>
      <c r="F1358" s="69">
        <v>0.7</v>
      </c>
      <c r="G1358" s="70"/>
      <c r="H1358" s="71">
        <v>0.4</v>
      </c>
      <c r="I1358" s="71">
        <v>0</v>
      </c>
      <c r="J1358" s="71">
        <v>0</v>
      </c>
    </row>
    <row r="1359" customFormat="1" ht="12.75" hidden="1" spans="1:10">
      <c r="A1359" s="64"/>
      <c r="B1359" s="73" t="s">
        <v>2596</v>
      </c>
      <c r="C1359" s="66" t="s">
        <v>2597</v>
      </c>
      <c r="D1359" s="67">
        <v>0.2609</v>
      </c>
      <c r="E1359" s="68"/>
      <c r="F1359" s="69">
        <v>0.9</v>
      </c>
      <c r="G1359" s="70"/>
      <c r="H1359" s="71">
        <v>0.6</v>
      </c>
      <c r="I1359" s="71">
        <v>0</v>
      </c>
      <c r="J1359" s="71">
        <v>0</v>
      </c>
    </row>
    <row r="1360" customFormat="1" ht="25.5" hidden="1" spans="1:10">
      <c r="A1360" s="64"/>
      <c r="B1360" s="73" t="s">
        <v>2598</v>
      </c>
      <c r="C1360" s="66" t="s">
        <v>2599</v>
      </c>
      <c r="D1360" s="67">
        <v>0.2174</v>
      </c>
      <c r="E1360" s="68"/>
      <c r="F1360" s="69">
        <v>1.1</v>
      </c>
      <c r="G1360" s="70"/>
      <c r="H1360" s="71">
        <v>0.8</v>
      </c>
      <c r="I1360" s="71">
        <v>0</v>
      </c>
      <c r="J1360" s="71">
        <v>0</v>
      </c>
    </row>
    <row r="1361" customFormat="1" ht="25.5" hidden="1" spans="1:10">
      <c r="A1361" s="64"/>
      <c r="B1361" s="73" t="s">
        <v>2600</v>
      </c>
      <c r="C1361" s="66" t="s">
        <v>2601</v>
      </c>
      <c r="D1361" s="67">
        <v>0.2609</v>
      </c>
      <c r="E1361" s="68"/>
      <c r="F1361" s="69">
        <v>1</v>
      </c>
      <c r="G1361" s="70"/>
      <c r="H1361" s="71">
        <v>0.6</v>
      </c>
      <c r="I1361" s="71">
        <v>0</v>
      </c>
      <c r="J1361" s="71">
        <v>0</v>
      </c>
    </row>
    <row r="1362" customFormat="1" ht="12.75" hidden="1" spans="1:10">
      <c r="A1362" s="64"/>
      <c r="B1362" s="73" t="s">
        <v>2602</v>
      </c>
      <c r="C1362" s="66" t="s">
        <v>2603</v>
      </c>
      <c r="D1362" s="67">
        <v>0.1739</v>
      </c>
      <c r="E1362" s="68"/>
      <c r="F1362" s="69">
        <v>0.7</v>
      </c>
      <c r="G1362" s="70"/>
      <c r="H1362" s="71">
        <v>0.4</v>
      </c>
      <c r="I1362" s="71">
        <v>0</v>
      </c>
      <c r="J1362" s="71">
        <v>0</v>
      </c>
    </row>
    <row r="1363" customFormat="1" ht="12.75" hidden="1" spans="1:10">
      <c r="A1363" s="64"/>
      <c r="B1363" s="73" t="s">
        <v>2604</v>
      </c>
      <c r="C1363" s="66" t="s">
        <v>2605</v>
      </c>
      <c r="D1363" s="67">
        <v>0.2609</v>
      </c>
      <c r="E1363" s="68"/>
      <c r="F1363" s="69">
        <v>0.9</v>
      </c>
      <c r="G1363" s="70"/>
      <c r="H1363" s="71">
        <v>0.6</v>
      </c>
      <c r="I1363" s="71">
        <v>0</v>
      </c>
      <c r="J1363" s="71">
        <v>0</v>
      </c>
    </row>
    <row r="1364" customFormat="1" ht="12.75" hidden="1" spans="1:10">
      <c r="A1364" s="64"/>
      <c r="B1364" s="73" t="s">
        <v>2606</v>
      </c>
      <c r="C1364" s="66" t="s">
        <v>2607</v>
      </c>
      <c r="D1364" s="67">
        <v>0.4348</v>
      </c>
      <c r="E1364" s="68"/>
      <c r="F1364" s="69">
        <v>2</v>
      </c>
      <c r="G1364" s="70"/>
      <c r="H1364" s="71">
        <v>1</v>
      </c>
      <c r="I1364" s="71">
        <v>0</v>
      </c>
      <c r="J1364" s="71">
        <v>0</v>
      </c>
    </row>
    <row r="1365" customFormat="1" ht="12.75" hidden="1" spans="1:10">
      <c r="A1365" s="64"/>
      <c r="B1365" s="73" t="s">
        <v>2608</v>
      </c>
      <c r="C1365" s="66" t="s">
        <v>2609</v>
      </c>
      <c r="D1365" s="67">
        <v>0.4348</v>
      </c>
      <c r="E1365" s="68"/>
      <c r="F1365" s="69">
        <v>1.6</v>
      </c>
      <c r="G1365" s="70"/>
      <c r="H1365" s="71">
        <v>1</v>
      </c>
      <c r="I1365" s="71">
        <v>0</v>
      </c>
      <c r="J1365" s="71">
        <v>0</v>
      </c>
    </row>
    <row r="1366" customFormat="1" ht="12.75" hidden="1" spans="1:10">
      <c r="A1366" s="64"/>
      <c r="B1366" s="73" t="s">
        <v>2610</v>
      </c>
      <c r="C1366" s="66" t="s">
        <v>2611</v>
      </c>
      <c r="D1366" s="67">
        <v>0.2174</v>
      </c>
      <c r="E1366" s="68"/>
      <c r="F1366" s="69">
        <v>1</v>
      </c>
      <c r="G1366" s="70"/>
      <c r="H1366" s="71">
        <v>0.5</v>
      </c>
      <c r="I1366" s="71">
        <v>0</v>
      </c>
      <c r="J1366" s="71">
        <v>0</v>
      </c>
    </row>
    <row r="1367" customFormat="1" ht="12.75" hidden="1" spans="1:10">
      <c r="A1367" s="74"/>
      <c r="B1367" s="73" t="s">
        <v>2612</v>
      </c>
      <c r="C1367" s="66" t="s">
        <v>2613</v>
      </c>
      <c r="D1367" s="67">
        <v>0.0435</v>
      </c>
      <c r="E1367" s="68"/>
      <c r="F1367" s="69">
        <v>0.25</v>
      </c>
      <c r="G1367" s="70"/>
      <c r="H1367" s="71">
        <v>0.1</v>
      </c>
      <c r="I1367" s="71">
        <v>0</v>
      </c>
      <c r="J1367" s="71">
        <v>0</v>
      </c>
    </row>
    <row r="1368" customFormat="1" ht="12.75" hidden="1" spans="1:10">
      <c r="A1368" s="75"/>
      <c r="B1368" s="73" t="s">
        <v>2614</v>
      </c>
      <c r="C1368" s="66" t="s">
        <v>2613</v>
      </c>
      <c r="D1368" s="67">
        <v>0.0435</v>
      </c>
      <c r="E1368" s="68"/>
      <c r="F1368" s="69">
        <v>0.2</v>
      </c>
      <c r="G1368" s="70"/>
      <c r="H1368" s="71">
        <v>0.1</v>
      </c>
      <c r="I1368" s="71">
        <v>0</v>
      </c>
      <c r="J1368" s="71">
        <v>0</v>
      </c>
    </row>
    <row r="1369" customFormat="1" ht="12.75" hidden="1" spans="1:10">
      <c r="A1369" s="64"/>
      <c r="B1369" s="73" t="s">
        <v>2615</v>
      </c>
      <c r="C1369" s="66" t="s">
        <v>2616</v>
      </c>
      <c r="D1369" s="67">
        <v>0.0435</v>
      </c>
      <c r="E1369" s="68"/>
      <c r="F1369" s="69">
        <v>0.25</v>
      </c>
      <c r="G1369" s="70"/>
      <c r="H1369" s="71">
        <v>0.1</v>
      </c>
      <c r="I1369" s="71">
        <v>0</v>
      </c>
      <c r="J1369" s="71">
        <v>0</v>
      </c>
    </row>
    <row r="1370" customFormat="1" ht="12.75" hidden="1" spans="1:10">
      <c r="A1370" s="64"/>
      <c r="B1370" s="73" t="s">
        <v>2617</v>
      </c>
      <c r="C1370" s="66" t="s">
        <v>2618</v>
      </c>
      <c r="D1370" s="67">
        <v>0.4348</v>
      </c>
      <c r="E1370" s="68"/>
      <c r="F1370" s="69">
        <v>1.6</v>
      </c>
      <c r="G1370" s="70"/>
      <c r="H1370" s="71">
        <v>1</v>
      </c>
      <c r="I1370" s="71">
        <v>0</v>
      </c>
      <c r="J1370" s="71">
        <v>0</v>
      </c>
    </row>
    <row r="1371" customFormat="1" ht="12.75" hidden="1" spans="1:10">
      <c r="A1371" s="64"/>
      <c r="B1371" s="73" t="s">
        <v>2619</v>
      </c>
      <c r="C1371" s="66" t="s">
        <v>2620</v>
      </c>
      <c r="D1371" s="67">
        <v>0.6522</v>
      </c>
      <c r="E1371" s="68"/>
      <c r="F1371" s="69">
        <v>2.5</v>
      </c>
      <c r="G1371" s="70"/>
      <c r="H1371" s="71">
        <v>1.5</v>
      </c>
      <c r="I1371" s="71">
        <v>0</v>
      </c>
      <c r="J1371" s="71">
        <v>0</v>
      </c>
    </row>
    <row r="1372" customFormat="1" ht="12.75" hidden="1" spans="1:10">
      <c r="A1372" s="64"/>
      <c r="B1372" s="73" t="s">
        <v>2621</v>
      </c>
      <c r="C1372" s="66" t="s">
        <v>2622</v>
      </c>
      <c r="D1372" s="67">
        <v>0.5652</v>
      </c>
      <c r="E1372" s="68"/>
      <c r="F1372" s="69">
        <v>2</v>
      </c>
      <c r="G1372" s="70"/>
      <c r="H1372" s="71">
        <v>1.3</v>
      </c>
      <c r="I1372" s="71">
        <v>0</v>
      </c>
      <c r="J1372" s="71">
        <v>0</v>
      </c>
    </row>
    <row r="1373" customFormat="1" ht="12.75" hidden="1" spans="1:10">
      <c r="A1373" s="64"/>
      <c r="B1373" s="73" t="s">
        <v>2623</v>
      </c>
      <c r="C1373" s="66" t="s">
        <v>2624</v>
      </c>
      <c r="D1373" s="67">
        <v>0.2174</v>
      </c>
      <c r="E1373" s="68"/>
      <c r="F1373" s="69">
        <v>1</v>
      </c>
      <c r="G1373" s="70"/>
      <c r="H1373" s="71">
        <v>0.5</v>
      </c>
      <c r="I1373" s="71">
        <v>0</v>
      </c>
      <c r="J1373" s="71">
        <v>0</v>
      </c>
    </row>
    <row r="1374" customFormat="1" ht="12.75" hidden="1" spans="1:10">
      <c r="A1374" s="64"/>
      <c r="B1374" s="73" t="s">
        <v>2625</v>
      </c>
      <c r="C1374" s="66" t="s">
        <v>2624</v>
      </c>
      <c r="D1374" s="67">
        <v>0.6522</v>
      </c>
      <c r="E1374" s="68"/>
      <c r="F1374" s="69">
        <v>3</v>
      </c>
      <c r="G1374" s="70"/>
      <c r="H1374" s="71">
        <v>1.5</v>
      </c>
      <c r="I1374" s="71">
        <v>0</v>
      </c>
      <c r="J1374" s="71">
        <v>0</v>
      </c>
    </row>
    <row r="1375" customFormat="1" ht="12.75" hidden="1" spans="1:10">
      <c r="A1375" s="64"/>
      <c r="B1375" s="73" t="s">
        <v>2626</v>
      </c>
      <c r="C1375" s="66" t="s">
        <v>2627</v>
      </c>
      <c r="D1375" s="67">
        <v>0.6957</v>
      </c>
      <c r="E1375" s="68"/>
      <c r="F1375" s="69">
        <v>2.5</v>
      </c>
      <c r="G1375" s="70"/>
      <c r="H1375" s="71">
        <v>1.6</v>
      </c>
      <c r="I1375" s="71">
        <v>0</v>
      </c>
      <c r="J1375" s="71">
        <v>0</v>
      </c>
    </row>
    <row r="1376" customFormat="1" ht="12.75" hidden="1" spans="1:10">
      <c r="A1376" s="64"/>
      <c r="B1376" s="73" t="s">
        <v>2628</v>
      </c>
      <c r="C1376" s="66" t="s">
        <v>2629</v>
      </c>
      <c r="D1376" s="67">
        <v>0.6087</v>
      </c>
      <c r="E1376" s="68"/>
      <c r="F1376" s="69">
        <v>2.2</v>
      </c>
      <c r="G1376" s="70"/>
      <c r="H1376" s="71">
        <v>1.4</v>
      </c>
      <c r="I1376" s="71">
        <v>0</v>
      </c>
      <c r="J1376" s="71">
        <v>0</v>
      </c>
    </row>
    <row r="1377" customFormat="1" ht="12.75" hidden="1" spans="1:10">
      <c r="A1377" s="64"/>
      <c r="B1377" s="73" t="s">
        <v>2630</v>
      </c>
      <c r="C1377" s="66" t="s">
        <v>2631</v>
      </c>
      <c r="D1377" s="67">
        <v>0.6087</v>
      </c>
      <c r="E1377" s="68"/>
      <c r="F1377" s="69">
        <v>2.2</v>
      </c>
      <c r="G1377" s="70"/>
      <c r="H1377" s="71">
        <v>1.4</v>
      </c>
      <c r="I1377" s="71">
        <v>0</v>
      </c>
      <c r="J1377" s="71">
        <v>0</v>
      </c>
    </row>
    <row r="1378" customFormat="1" ht="12.75" hidden="1" spans="1:10">
      <c r="A1378" s="64"/>
      <c r="B1378" s="73" t="s">
        <v>2632</v>
      </c>
      <c r="C1378" s="66" t="s">
        <v>2633</v>
      </c>
      <c r="D1378" s="67">
        <v>0.6522</v>
      </c>
      <c r="E1378" s="68"/>
      <c r="F1378" s="69">
        <v>3</v>
      </c>
      <c r="G1378" s="70"/>
      <c r="H1378" s="71">
        <v>1.5</v>
      </c>
      <c r="I1378" s="71">
        <v>0</v>
      </c>
      <c r="J1378" s="71">
        <v>0</v>
      </c>
    </row>
    <row r="1379" customFormat="1" ht="12.75" hidden="1" spans="1:10">
      <c r="A1379" s="64"/>
      <c r="B1379" s="73" t="s">
        <v>2634</v>
      </c>
      <c r="C1379" s="66" t="s">
        <v>2635</v>
      </c>
      <c r="D1379" s="67">
        <v>0.6957</v>
      </c>
      <c r="E1379" s="68"/>
      <c r="F1379" s="69">
        <v>3</v>
      </c>
      <c r="G1379" s="70"/>
      <c r="H1379" s="71">
        <v>1.6</v>
      </c>
      <c r="I1379" s="71">
        <v>0</v>
      </c>
      <c r="J1379" s="71">
        <v>0</v>
      </c>
    </row>
    <row r="1380" customFormat="1" ht="12.75" hidden="1" spans="1:10">
      <c r="A1380" s="64"/>
      <c r="B1380" s="73" t="s">
        <v>2636</v>
      </c>
      <c r="C1380" s="66" t="s">
        <v>2637</v>
      </c>
      <c r="D1380" s="67">
        <v>0.6957</v>
      </c>
      <c r="E1380" s="68"/>
      <c r="F1380" s="69">
        <v>2.5</v>
      </c>
      <c r="G1380" s="70"/>
      <c r="H1380" s="71">
        <v>1.6</v>
      </c>
      <c r="I1380" s="71">
        <v>0</v>
      </c>
      <c r="J1380" s="71">
        <v>0</v>
      </c>
    </row>
    <row r="1381" customFormat="1" ht="12.75" hidden="1" spans="1:10">
      <c r="A1381" s="64"/>
      <c r="B1381" s="73" t="s">
        <v>2638</v>
      </c>
      <c r="C1381" s="66" t="s">
        <v>2639</v>
      </c>
      <c r="D1381" s="67">
        <v>0.6957</v>
      </c>
      <c r="E1381" s="68"/>
      <c r="F1381" s="69">
        <v>3</v>
      </c>
      <c r="G1381" s="70"/>
      <c r="H1381" s="71">
        <v>1.6</v>
      </c>
      <c r="I1381" s="71">
        <v>0</v>
      </c>
      <c r="J1381" s="71">
        <v>0</v>
      </c>
    </row>
    <row r="1382" customFormat="1" ht="12.75" hidden="1" spans="1:10">
      <c r="A1382" s="64"/>
      <c r="B1382" s="73" t="s">
        <v>2640</v>
      </c>
      <c r="C1382" s="66" t="s">
        <v>2641</v>
      </c>
      <c r="D1382" s="67">
        <v>0.6957</v>
      </c>
      <c r="E1382" s="68"/>
      <c r="F1382" s="69">
        <v>2.5</v>
      </c>
      <c r="G1382" s="70"/>
      <c r="H1382" s="71">
        <v>1.6</v>
      </c>
      <c r="I1382" s="71">
        <v>0</v>
      </c>
      <c r="J1382" s="71">
        <v>0</v>
      </c>
    </row>
    <row r="1383" customFormat="1" ht="12.75" hidden="1" spans="1:10">
      <c r="A1383" s="64"/>
      <c r="B1383" s="73" t="s">
        <v>2642</v>
      </c>
      <c r="C1383" s="66" t="s">
        <v>2643</v>
      </c>
      <c r="D1383" s="67">
        <v>0.6957</v>
      </c>
      <c r="E1383" s="68"/>
      <c r="F1383" s="69">
        <v>3</v>
      </c>
      <c r="G1383" s="70"/>
      <c r="H1383" s="71">
        <v>1.6</v>
      </c>
      <c r="I1383" s="71">
        <v>0</v>
      </c>
      <c r="J1383" s="71">
        <v>0</v>
      </c>
    </row>
    <row r="1384" customFormat="1" ht="12.75" hidden="1" spans="1:10">
      <c r="A1384" s="64"/>
      <c r="B1384" s="73" t="s">
        <v>2644</v>
      </c>
      <c r="C1384" s="66" t="s">
        <v>2645</v>
      </c>
      <c r="D1384" s="67">
        <v>0.6522</v>
      </c>
      <c r="E1384" s="68"/>
      <c r="F1384" s="69">
        <v>3</v>
      </c>
      <c r="G1384" s="70"/>
      <c r="H1384" s="71">
        <v>1.5</v>
      </c>
      <c r="I1384" s="71">
        <v>0</v>
      </c>
      <c r="J1384" s="71">
        <v>0</v>
      </c>
    </row>
    <row r="1385" customFormat="1" ht="12.75" hidden="1" spans="1:10">
      <c r="A1385" s="64"/>
      <c r="B1385" s="73" t="s">
        <v>2646</v>
      </c>
      <c r="C1385" s="66" t="s">
        <v>2647</v>
      </c>
      <c r="D1385" s="67">
        <v>0.6957</v>
      </c>
      <c r="E1385" s="68"/>
      <c r="F1385" s="69">
        <v>3</v>
      </c>
      <c r="G1385" s="70"/>
      <c r="H1385" s="71">
        <v>1.6</v>
      </c>
      <c r="I1385" s="71">
        <v>0</v>
      </c>
      <c r="J1385" s="71">
        <v>0</v>
      </c>
    </row>
    <row r="1386" customFormat="1" ht="12.75" hidden="1" spans="1:10">
      <c r="A1386" s="64"/>
      <c r="B1386" s="73" t="s">
        <v>2648</v>
      </c>
      <c r="C1386" s="66" t="s">
        <v>2649</v>
      </c>
      <c r="D1386" s="67">
        <v>1.0435</v>
      </c>
      <c r="E1386" s="68"/>
      <c r="F1386" s="69">
        <v>3.8</v>
      </c>
      <c r="G1386" s="70"/>
      <c r="H1386" s="71">
        <v>2.4</v>
      </c>
      <c r="I1386" s="71">
        <v>0</v>
      </c>
      <c r="J1386" s="71">
        <v>0</v>
      </c>
    </row>
    <row r="1387" customFormat="1" ht="12.75" hidden="1" spans="1:10">
      <c r="A1387" s="64"/>
      <c r="B1387" s="73" t="s">
        <v>2650</v>
      </c>
      <c r="C1387" s="66" t="s">
        <v>2651</v>
      </c>
      <c r="D1387" s="67">
        <v>0.7826</v>
      </c>
      <c r="E1387" s="68"/>
      <c r="F1387" s="69">
        <v>2.8</v>
      </c>
      <c r="G1387" s="70"/>
      <c r="H1387" s="71">
        <v>1.8</v>
      </c>
      <c r="I1387" s="71">
        <v>0</v>
      </c>
      <c r="J1387" s="71">
        <v>0</v>
      </c>
    </row>
    <row r="1388" customFormat="1" ht="12.75" hidden="1" spans="1:10">
      <c r="A1388" s="64"/>
      <c r="B1388" s="73" t="s">
        <v>2652</v>
      </c>
      <c r="C1388" s="66" t="s">
        <v>2653</v>
      </c>
      <c r="D1388" s="67">
        <v>1</v>
      </c>
      <c r="E1388" s="68"/>
      <c r="F1388" s="69">
        <v>3.7</v>
      </c>
      <c r="G1388" s="70"/>
      <c r="H1388" s="71">
        <v>2.3</v>
      </c>
      <c r="I1388" s="71">
        <v>0</v>
      </c>
      <c r="J1388" s="71">
        <v>0</v>
      </c>
    </row>
    <row r="1389" customFormat="1" ht="25.5" hidden="1" spans="1:10">
      <c r="A1389" s="64"/>
      <c r="B1389" s="73" t="s">
        <v>2654</v>
      </c>
      <c r="C1389" s="66" t="s">
        <v>2655</v>
      </c>
      <c r="D1389" s="67">
        <v>0.6522</v>
      </c>
      <c r="E1389" s="68"/>
      <c r="F1389" s="69">
        <v>3</v>
      </c>
      <c r="G1389" s="70"/>
      <c r="H1389" s="71">
        <v>1.5</v>
      </c>
      <c r="I1389" s="71">
        <v>0</v>
      </c>
      <c r="J1389" s="71">
        <v>0</v>
      </c>
    </row>
    <row r="1390" customFormat="1" ht="25.5" hidden="1" spans="1:10">
      <c r="A1390" s="64"/>
      <c r="B1390" s="73" t="s">
        <v>2656</v>
      </c>
      <c r="C1390" s="66" t="s">
        <v>2657</v>
      </c>
      <c r="D1390" s="67">
        <v>0.7826</v>
      </c>
      <c r="E1390" s="68"/>
      <c r="F1390" s="69">
        <v>3</v>
      </c>
      <c r="G1390" s="70"/>
      <c r="H1390" s="71">
        <v>1.8</v>
      </c>
      <c r="I1390" s="71">
        <v>0</v>
      </c>
      <c r="J1390" s="71">
        <v>0</v>
      </c>
    </row>
    <row r="1391" customFormat="1" ht="12.75" hidden="1" spans="1:10">
      <c r="A1391" s="64"/>
      <c r="B1391" s="73" t="s">
        <v>2658</v>
      </c>
      <c r="C1391" s="66" t="s">
        <v>2659</v>
      </c>
      <c r="D1391" s="67">
        <v>0.7826</v>
      </c>
      <c r="E1391" s="68"/>
      <c r="F1391" s="69">
        <v>3</v>
      </c>
      <c r="G1391" s="70"/>
      <c r="H1391" s="71">
        <v>1.8</v>
      </c>
      <c r="I1391" s="71">
        <v>0</v>
      </c>
      <c r="J1391" s="71">
        <v>0</v>
      </c>
    </row>
    <row r="1392" customFormat="1" ht="25.5" hidden="1" spans="1:10">
      <c r="A1392" s="64"/>
      <c r="B1392" s="73" t="s">
        <v>2660</v>
      </c>
      <c r="C1392" s="66" t="s">
        <v>2661</v>
      </c>
      <c r="D1392" s="67">
        <v>0.7826</v>
      </c>
      <c r="E1392" s="68"/>
      <c r="F1392" s="69">
        <v>3</v>
      </c>
      <c r="G1392" s="70"/>
      <c r="H1392" s="71">
        <v>1.8</v>
      </c>
      <c r="I1392" s="71">
        <v>0</v>
      </c>
      <c r="J1392" s="71">
        <v>0</v>
      </c>
    </row>
    <row r="1393" customFormat="1" ht="12.75" hidden="1" spans="1:10">
      <c r="A1393" s="64"/>
      <c r="B1393" s="73" t="s">
        <v>2662</v>
      </c>
      <c r="C1393" s="66" t="s">
        <v>2663</v>
      </c>
      <c r="D1393" s="67">
        <v>0.6957</v>
      </c>
      <c r="E1393" s="68"/>
      <c r="F1393" s="69">
        <v>3</v>
      </c>
      <c r="G1393" s="70"/>
      <c r="H1393" s="71">
        <v>1.8</v>
      </c>
      <c r="I1393" s="71">
        <v>0</v>
      </c>
      <c r="J1393" s="71">
        <v>0</v>
      </c>
    </row>
    <row r="1394" customFormat="1" ht="12.75" hidden="1" spans="1:10">
      <c r="A1394" s="64"/>
      <c r="B1394" s="73" t="s">
        <v>2664</v>
      </c>
      <c r="C1394" s="66" t="s">
        <v>2665</v>
      </c>
      <c r="D1394" s="67">
        <v>0.7826</v>
      </c>
      <c r="E1394" s="68"/>
      <c r="F1394" s="69">
        <v>3</v>
      </c>
      <c r="G1394" s="70"/>
      <c r="H1394" s="71">
        <v>1.8</v>
      </c>
      <c r="I1394" s="71">
        <v>0</v>
      </c>
      <c r="J1394" s="71">
        <v>0</v>
      </c>
    </row>
    <row r="1395" customFormat="1" ht="12.75" hidden="1" spans="1:10">
      <c r="A1395" s="64"/>
      <c r="B1395" s="73" t="s">
        <v>2666</v>
      </c>
      <c r="C1395" s="66" t="s">
        <v>2667</v>
      </c>
      <c r="D1395" s="67">
        <v>1.087</v>
      </c>
      <c r="E1395" s="68"/>
      <c r="F1395" s="69">
        <v>4</v>
      </c>
      <c r="G1395" s="70"/>
      <c r="H1395" s="71">
        <v>2.5</v>
      </c>
      <c r="I1395" s="71">
        <v>0</v>
      </c>
      <c r="J1395" s="71">
        <v>0</v>
      </c>
    </row>
    <row r="1396" customFormat="1" ht="25.5" hidden="1" spans="1:10">
      <c r="A1396" s="64"/>
      <c r="B1396" s="73" t="s">
        <v>2668</v>
      </c>
      <c r="C1396" s="66" t="s">
        <v>2669</v>
      </c>
      <c r="D1396" s="67">
        <v>1.087</v>
      </c>
      <c r="E1396" s="68"/>
      <c r="F1396" s="69">
        <v>4</v>
      </c>
      <c r="G1396" s="70"/>
      <c r="H1396" s="71">
        <v>2.5</v>
      </c>
      <c r="I1396" s="71">
        <v>0</v>
      </c>
      <c r="J1396" s="71">
        <v>0</v>
      </c>
    </row>
    <row r="1397" customFormat="1" ht="25.5" hidden="1" spans="1:10">
      <c r="A1397" s="64"/>
      <c r="B1397" s="73" t="s">
        <v>2670</v>
      </c>
      <c r="C1397" s="66" t="s">
        <v>2671</v>
      </c>
      <c r="D1397" s="67">
        <v>1.087</v>
      </c>
      <c r="E1397" s="68"/>
      <c r="F1397" s="69">
        <v>4</v>
      </c>
      <c r="G1397" s="70"/>
      <c r="H1397" s="71">
        <v>2.5</v>
      </c>
      <c r="I1397" s="71">
        <v>0</v>
      </c>
      <c r="J1397" s="71">
        <v>0</v>
      </c>
    </row>
    <row r="1398" customFormat="1" ht="12.75" hidden="1" spans="1:10">
      <c r="A1398" s="64"/>
      <c r="B1398" s="73" t="s">
        <v>2672</v>
      </c>
      <c r="C1398" s="66" t="s">
        <v>2673</v>
      </c>
      <c r="D1398" s="67">
        <v>1.087</v>
      </c>
      <c r="E1398" s="68"/>
      <c r="F1398" s="69">
        <v>4</v>
      </c>
      <c r="G1398" s="70"/>
      <c r="H1398" s="71">
        <v>2.5</v>
      </c>
      <c r="I1398" s="71">
        <v>0</v>
      </c>
      <c r="J1398" s="71">
        <v>0</v>
      </c>
    </row>
    <row r="1399" customFormat="1" ht="12.75" hidden="1" spans="1:10">
      <c r="A1399" s="64"/>
      <c r="B1399" s="73" t="s">
        <v>2674</v>
      </c>
      <c r="C1399" s="66" t="s">
        <v>2675</v>
      </c>
      <c r="D1399" s="67">
        <v>1.087</v>
      </c>
      <c r="E1399" s="68"/>
      <c r="F1399" s="69">
        <v>4</v>
      </c>
      <c r="G1399" s="70"/>
      <c r="H1399" s="71">
        <v>2.5</v>
      </c>
      <c r="I1399" s="71">
        <v>0</v>
      </c>
      <c r="J1399" s="71">
        <v>0</v>
      </c>
    </row>
    <row r="1400" customFormat="1" ht="12.75" hidden="1" spans="1:10">
      <c r="A1400" s="64"/>
      <c r="B1400" s="73" t="s">
        <v>2676</v>
      </c>
      <c r="C1400" s="66" t="s">
        <v>2677</v>
      </c>
      <c r="D1400" s="67">
        <v>1.087</v>
      </c>
      <c r="E1400" s="68"/>
      <c r="F1400" s="69">
        <v>4</v>
      </c>
      <c r="G1400" s="70"/>
      <c r="H1400" s="71">
        <v>2.5</v>
      </c>
      <c r="I1400" s="71">
        <v>0</v>
      </c>
      <c r="J1400" s="71">
        <v>0</v>
      </c>
    </row>
    <row r="1401" customFormat="1" ht="12.75" hidden="1" spans="1:10">
      <c r="A1401" s="64"/>
      <c r="B1401" s="73" t="s">
        <v>2678</v>
      </c>
      <c r="C1401" s="66" t="s">
        <v>2679</v>
      </c>
      <c r="D1401" s="67">
        <v>1.087</v>
      </c>
      <c r="E1401" s="68"/>
      <c r="F1401" s="69">
        <v>4</v>
      </c>
      <c r="G1401" s="70"/>
      <c r="H1401" s="71">
        <v>2.5</v>
      </c>
      <c r="I1401" s="71">
        <v>0</v>
      </c>
      <c r="J1401" s="71">
        <v>0</v>
      </c>
    </row>
    <row r="1402" customFormat="1" ht="12.75" hidden="1" spans="1:10">
      <c r="A1402" s="64"/>
      <c r="B1402" s="73" t="s">
        <v>2680</v>
      </c>
      <c r="C1402" s="66" t="s">
        <v>2681</v>
      </c>
      <c r="D1402" s="67">
        <v>1.087</v>
      </c>
      <c r="E1402" s="68"/>
      <c r="F1402" s="69">
        <v>4</v>
      </c>
      <c r="G1402" s="70"/>
      <c r="H1402" s="71">
        <v>2.5</v>
      </c>
      <c r="I1402" s="71">
        <v>0</v>
      </c>
      <c r="J1402" s="71">
        <v>0</v>
      </c>
    </row>
    <row r="1403" customFormat="1" ht="12.75" hidden="1" spans="1:10">
      <c r="A1403" s="64"/>
      <c r="B1403" s="73" t="s">
        <v>3778</v>
      </c>
      <c r="C1403" s="66" t="s">
        <v>2683</v>
      </c>
      <c r="D1403" s="67">
        <v>1.087</v>
      </c>
      <c r="E1403" s="68"/>
      <c r="F1403" s="69">
        <v>4</v>
      </c>
      <c r="G1403" s="70"/>
      <c r="H1403" s="71">
        <v>2.5</v>
      </c>
      <c r="I1403" s="71">
        <v>0</v>
      </c>
      <c r="J1403" s="71">
        <v>0</v>
      </c>
    </row>
    <row r="1404" customFormat="1" ht="12.75" hidden="1" spans="1:10">
      <c r="A1404" s="64"/>
      <c r="B1404" s="73" t="s">
        <v>2684</v>
      </c>
      <c r="C1404" s="66" t="s">
        <v>2685</v>
      </c>
      <c r="D1404" s="67">
        <v>0.5435</v>
      </c>
      <c r="E1404" s="68"/>
      <c r="F1404" s="69">
        <v>2.5</v>
      </c>
      <c r="G1404" s="70"/>
      <c r="H1404" s="71">
        <v>1.25</v>
      </c>
      <c r="I1404" s="71">
        <v>0</v>
      </c>
      <c r="J1404" s="71">
        <v>0</v>
      </c>
    </row>
    <row r="1405" customFormat="1" ht="12.75" hidden="1" spans="1:10">
      <c r="A1405" s="64"/>
      <c r="B1405" s="73" t="s">
        <v>2686</v>
      </c>
      <c r="C1405" s="66" t="s">
        <v>2687</v>
      </c>
      <c r="D1405" s="67">
        <v>0.4348</v>
      </c>
      <c r="E1405" s="68"/>
      <c r="F1405" s="69">
        <v>2.5</v>
      </c>
      <c r="G1405" s="70"/>
      <c r="H1405" s="71">
        <v>1</v>
      </c>
      <c r="I1405" s="71">
        <v>0</v>
      </c>
      <c r="J1405" s="71">
        <v>0</v>
      </c>
    </row>
    <row r="1406" customFormat="1" ht="12.75" hidden="1" spans="1:10">
      <c r="A1406" s="64"/>
      <c r="B1406" s="73" t="s">
        <v>2688</v>
      </c>
      <c r="C1406" s="66" t="s">
        <v>2689</v>
      </c>
      <c r="D1406" s="67">
        <v>0.7826</v>
      </c>
      <c r="E1406" s="68"/>
      <c r="F1406" s="69">
        <v>2.5</v>
      </c>
      <c r="G1406" s="70"/>
      <c r="H1406" s="71">
        <v>1.8</v>
      </c>
      <c r="I1406" s="71">
        <v>0</v>
      </c>
      <c r="J1406" s="71">
        <v>0</v>
      </c>
    </row>
    <row r="1407" customFormat="1" ht="12.75" hidden="1" spans="1:10">
      <c r="A1407" s="64"/>
      <c r="B1407" s="73" t="s">
        <v>2690</v>
      </c>
      <c r="C1407" s="66" t="s">
        <v>2691</v>
      </c>
      <c r="D1407" s="67">
        <v>0.4348</v>
      </c>
      <c r="E1407" s="68"/>
      <c r="F1407" s="69">
        <v>2.5</v>
      </c>
      <c r="G1407" s="70"/>
      <c r="H1407" s="71">
        <v>1</v>
      </c>
      <c r="I1407" s="71">
        <v>0</v>
      </c>
      <c r="J1407" s="71">
        <v>0</v>
      </c>
    </row>
    <row r="1408" customFormat="1" ht="12.75" hidden="1" spans="1:10">
      <c r="A1408" s="64"/>
      <c r="B1408" s="73" t="s">
        <v>2692</v>
      </c>
      <c r="C1408" s="66" t="s">
        <v>2693</v>
      </c>
      <c r="D1408" s="67">
        <v>0.4348</v>
      </c>
      <c r="E1408" s="68"/>
      <c r="F1408" s="69">
        <v>2.5</v>
      </c>
      <c r="G1408" s="70"/>
      <c r="H1408" s="71">
        <v>1</v>
      </c>
      <c r="I1408" s="71">
        <v>0</v>
      </c>
      <c r="J1408" s="71">
        <v>0</v>
      </c>
    </row>
    <row r="1409" customFormat="1" ht="12.75" hidden="1" spans="1:10">
      <c r="A1409" s="64"/>
      <c r="B1409" s="73" t="s">
        <v>2694</v>
      </c>
      <c r="C1409" s="66" t="s">
        <v>2695</v>
      </c>
      <c r="D1409" s="67">
        <v>0.4348</v>
      </c>
      <c r="E1409" s="68"/>
      <c r="F1409" s="69">
        <v>2.5</v>
      </c>
      <c r="G1409" s="70"/>
      <c r="H1409" s="71">
        <v>1</v>
      </c>
      <c r="I1409" s="71">
        <v>0</v>
      </c>
      <c r="J1409" s="71">
        <v>0</v>
      </c>
    </row>
    <row r="1410" customFormat="1" ht="12.75" hidden="1" spans="1:10">
      <c r="A1410" s="64"/>
      <c r="B1410" s="73" t="s">
        <v>2696</v>
      </c>
      <c r="C1410" s="66" t="s">
        <v>2697</v>
      </c>
      <c r="D1410" s="67">
        <v>0.4348</v>
      </c>
      <c r="E1410" s="68"/>
      <c r="F1410" s="69">
        <v>2.5</v>
      </c>
      <c r="G1410" s="70"/>
      <c r="H1410" s="71">
        <v>1</v>
      </c>
      <c r="I1410" s="71">
        <v>0</v>
      </c>
      <c r="J1410" s="71">
        <v>0</v>
      </c>
    </row>
    <row r="1411" customFormat="1" ht="12.75" hidden="1" spans="1:10">
      <c r="A1411" s="64"/>
      <c r="B1411" s="73" t="s">
        <v>2698</v>
      </c>
      <c r="C1411" s="66" t="s">
        <v>2699</v>
      </c>
      <c r="D1411" s="67">
        <v>0.3913</v>
      </c>
      <c r="E1411" s="68"/>
      <c r="F1411" s="69">
        <v>1.4</v>
      </c>
      <c r="G1411" s="70"/>
      <c r="H1411" s="71">
        <v>0.9</v>
      </c>
      <c r="I1411" s="71">
        <v>0</v>
      </c>
      <c r="J1411" s="71">
        <v>0</v>
      </c>
    </row>
    <row r="1412" customFormat="1" ht="12.75" hidden="1" spans="1:10">
      <c r="A1412" s="64"/>
      <c r="B1412" s="73" t="s">
        <v>2700</v>
      </c>
      <c r="C1412" s="66" t="s">
        <v>2701</v>
      </c>
      <c r="D1412" s="67">
        <v>0.6522</v>
      </c>
      <c r="E1412" s="68"/>
      <c r="F1412" s="69">
        <v>3</v>
      </c>
      <c r="G1412" s="70"/>
      <c r="H1412" s="71">
        <v>1.5</v>
      </c>
      <c r="I1412" s="71">
        <v>0</v>
      </c>
      <c r="J1412" s="71">
        <v>0</v>
      </c>
    </row>
    <row r="1413" customFormat="1" ht="12.75" hidden="1" spans="1:10">
      <c r="A1413" s="64"/>
      <c r="B1413" s="73" t="s">
        <v>2702</v>
      </c>
      <c r="C1413" s="66" t="s">
        <v>2703</v>
      </c>
      <c r="D1413" s="67">
        <v>1</v>
      </c>
      <c r="E1413" s="68"/>
      <c r="F1413" s="69">
        <v>3</v>
      </c>
      <c r="G1413" s="70"/>
      <c r="H1413" s="71">
        <v>2.5</v>
      </c>
      <c r="I1413" s="71">
        <v>0</v>
      </c>
      <c r="J1413" s="71">
        <v>0</v>
      </c>
    </row>
    <row r="1414" customFormat="1" ht="12.75" hidden="1" spans="1:10">
      <c r="A1414" s="64"/>
      <c r="B1414" s="73" t="s">
        <v>2704</v>
      </c>
      <c r="C1414" s="66" t="s">
        <v>2705</v>
      </c>
      <c r="D1414" s="67">
        <v>1</v>
      </c>
      <c r="E1414" s="68"/>
      <c r="F1414" s="69">
        <v>3.7</v>
      </c>
      <c r="G1414" s="70"/>
      <c r="H1414" s="71">
        <v>2.3</v>
      </c>
      <c r="I1414" s="71">
        <v>0</v>
      </c>
      <c r="J1414" s="71">
        <v>0</v>
      </c>
    </row>
    <row r="1415" customFormat="1" ht="12.75" hidden="1" spans="1:10">
      <c r="A1415" s="64"/>
      <c r="B1415" s="73" t="s">
        <v>2706</v>
      </c>
      <c r="C1415" s="66" t="s">
        <v>2707</v>
      </c>
      <c r="D1415" s="67">
        <v>0.6522</v>
      </c>
      <c r="E1415" s="68"/>
      <c r="F1415" s="69">
        <v>3</v>
      </c>
      <c r="G1415" s="70"/>
      <c r="H1415" s="71">
        <v>1.5</v>
      </c>
      <c r="I1415" s="71">
        <v>0</v>
      </c>
      <c r="J1415" s="71">
        <v>0</v>
      </c>
    </row>
    <row r="1416" customFormat="1" ht="12.75" hidden="1" spans="1:10">
      <c r="A1416" s="64"/>
      <c r="B1416" s="73" t="s">
        <v>2708</v>
      </c>
      <c r="C1416" s="66" t="s">
        <v>2709</v>
      </c>
      <c r="D1416" s="67">
        <v>7.8261</v>
      </c>
      <c r="E1416" s="68"/>
      <c r="F1416" s="79">
        <v>20</v>
      </c>
      <c r="G1416" s="80"/>
      <c r="H1416" s="71">
        <v>18</v>
      </c>
      <c r="I1416" s="71">
        <v>0</v>
      </c>
      <c r="J1416" s="71">
        <v>0</v>
      </c>
    </row>
    <row r="1417" customFormat="1" ht="12.75" hidden="1" spans="1:10">
      <c r="A1417" s="64"/>
      <c r="B1417" s="73" t="s">
        <v>2710</v>
      </c>
      <c r="C1417" s="66" t="s">
        <v>2711</v>
      </c>
      <c r="D1417" s="67">
        <v>0.087</v>
      </c>
      <c r="E1417" s="68"/>
      <c r="F1417" s="69">
        <v>0.3</v>
      </c>
      <c r="G1417" s="70"/>
      <c r="H1417" s="71">
        <v>0.2</v>
      </c>
      <c r="I1417" s="71">
        <v>0</v>
      </c>
      <c r="J1417" s="71">
        <v>0</v>
      </c>
    </row>
    <row r="1418" customFormat="1" ht="12.75" hidden="1" spans="1:10">
      <c r="A1418" s="64"/>
      <c r="B1418" s="73" t="s">
        <v>2712</v>
      </c>
      <c r="C1418" s="66" t="s">
        <v>2713</v>
      </c>
      <c r="D1418" s="67">
        <v>0.1304</v>
      </c>
      <c r="E1418" s="68"/>
      <c r="F1418" s="69">
        <v>0.5</v>
      </c>
      <c r="G1418" s="70"/>
      <c r="H1418" s="71">
        <v>0.3</v>
      </c>
      <c r="I1418" s="71">
        <v>0</v>
      </c>
      <c r="J1418" s="71">
        <v>0</v>
      </c>
    </row>
    <row r="1419" customFormat="1" ht="12.75" hidden="1" spans="1:10">
      <c r="A1419" s="64"/>
      <c r="B1419" s="73" t="s">
        <v>2714</v>
      </c>
      <c r="C1419" s="66" t="s">
        <v>2715</v>
      </c>
      <c r="D1419" s="67">
        <v>0.1739</v>
      </c>
      <c r="E1419" s="68"/>
      <c r="F1419" s="69">
        <v>0.6</v>
      </c>
      <c r="G1419" s="70"/>
      <c r="H1419" s="71">
        <v>0.4</v>
      </c>
      <c r="I1419" s="71">
        <v>0</v>
      </c>
      <c r="J1419" s="71">
        <v>0</v>
      </c>
    </row>
    <row r="1420" customFormat="1" ht="12.75" hidden="1" spans="1:10">
      <c r="A1420" s="64"/>
      <c r="B1420" s="73" t="s">
        <v>2716</v>
      </c>
      <c r="C1420" s="66" t="s">
        <v>2717</v>
      </c>
      <c r="D1420" s="67">
        <v>0.2609</v>
      </c>
      <c r="E1420" s="68"/>
      <c r="F1420" s="69">
        <v>1</v>
      </c>
      <c r="G1420" s="70"/>
      <c r="H1420" s="71">
        <v>0.6</v>
      </c>
      <c r="I1420" s="71">
        <v>0</v>
      </c>
      <c r="J1420" s="71">
        <v>0</v>
      </c>
    </row>
    <row r="1421" customFormat="1" ht="12.75" hidden="1" spans="1:10">
      <c r="A1421" s="64"/>
      <c r="B1421" s="73" t="s">
        <v>2718</v>
      </c>
      <c r="C1421" s="66" t="s">
        <v>2719</v>
      </c>
      <c r="D1421" s="67">
        <v>0.2609</v>
      </c>
      <c r="E1421" s="68"/>
      <c r="F1421" s="69">
        <v>1</v>
      </c>
      <c r="G1421" s="70"/>
      <c r="H1421" s="71">
        <v>0.6</v>
      </c>
      <c r="I1421" s="71">
        <v>0</v>
      </c>
      <c r="J1421" s="71">
        <v>0</v>
      </c>
    </row>
    <row r="1422" customFormat="1" ht="12.75" hidden="1" spans="1:10">
      <c r="A1422" s="64"/>
      <c r="B1422" s="73" t="s">
        <v>2720</v>
      </c>
      <c r="C1422" s="66" t="s">
        <v>2721</v>
      </c>
      <c r="D1422" s="67">
        <v>1</v>
      </c>
      <c r="E1422" s="68"/>
      <c r="F1422" s="69">
        <v>3.6</v>
      </c>
      <c r="G1422" s="70"/>
      <c r="H1422" s="71">
        <v>2.3</v>
      </c>
      <c r="I1422" s="71">
        <v>0</v>
      </c>
      <c r="J1422" s="71">
        <v>0</v>
      </c>
    </row>
    <row r="1423" customFormat="1" ht="12.75" hidden="1" spans="1:10">
      <c r="A1423" s="64"/>
      <c r="B1423" s="73" t="s">
        <v>2722</v>
      </c>
      <c r="C1423" s="66" t="s">
        <v>2723</v>
      </c>
      <c r="D1423" s="67">
        <v>0.3913</v>
      </c>
      <c r="E1423" s="68"/>
      <c r="F1423" s="69">
        <v>1</v>
      </c>
      <c r="G1423" s="70"/>
      <c r="H1423" s="71">
        <v>0.9</v>
      </c>
      <c r="I1423" s="71">
        <v>0</v>
      </c>
      <c r="J1423" s="71">
        <v>0</v>
      </c>
    </row>
    <row r="1424" customFormat="1" ht="12.75" hidden="1" spans="1:10">
      <c r="A1424" s="64"/>
      <c r="B1424" s="73" t="s">
        <v>2724</v>
      </c>
      <c r="C1424" s="66" t="s">
        <v>2725</v>
      </c>
      <c r="D1424" s="67">
        <v>3.3043</v>
      </c>
      <c r="E1424" s="68"/>
      <c r="F1424" s="79">
        <v>15</v>
      </c>
      <c r="G1424" s="80"/>
      <c r="H1424" s="71">
        <v>7.6</v>
      </c>
      <c r="I1424" s="71">
        <v>0</v>
      </c>
      <c r="J1424" s="71">
        <v>0</v>
      </c>
    </row>
    <row r="1425" customFormat="1" ht="12.75" hidden="1" spans="1:10">
      <c r="A1425" s="64"/>
      <c r="B1425" s="73" t="s">
        <v>2726</v>
      </c>
      <c r="C1425" s="66" t="s">
        <v>2727</v>
      </c>
      <c r="D1425" s="67">
        <v>0.2609</v>
      </c>
      <c r="E1425" s="68"/>
      <c r="F1425" s="69">
        <v>0</v>
      </c>
      <c r="G1425" s="70"/>
      <c r="H1425" s="71">
        <v>0</v>
      </c>
      <c r="I1425" s="71">
        <v>0.6</v>
      </c>
      <c r="J1425" s="71">
        <v>0</v>
      </c>
    </row>
    <row r="1426" customFormat="1" ht="12.75" hidden="1" spans="1:10">
      <c r="A1426" s="64"/>
      <c r="B1426" s="65">
        <v>4895026732341</v>
      </c>
      <c r="C1426" s="66" t="s">
        <v>2728</v>
      </c>
      <c r="D1426" s="67">
        <v>0.2609</v>
      </c>
      <c r="E1426" s="68"/>
      <c r="F1426" s="69">
        <v>0</v>
      </c>
      <c r="G1426" s="70"/>
      <c r="H1426" s="71">
        <v>0</v>
      </c>
      <c r="I1426" s="71">
        <v>0.6</v>
      </c>
      <c r="J1426" s="71">
        <v>0</v>
      </c>
    </row>
    <row r="1427" customFormat="1" ht="12.75" hidden="1" spans="1:10">
      <c r="A1427" s="64"/>
      <c r="B1427" s="65">
        <v>4895026732358</v>
      </c>
      <c r="C1427" s="66" t="s">
        <v>2729</v>
      </c>
      <c r="D1427" s="67">
        <v>0.2609</v>
      </c>
      <c r="E1427" s="68"/>
      <c r="F1427" s="69">
        <v>0</v>
      </c>
      <c r="G1427" s="70"/>
      <c r="H1427" s="71">
        <v>0</v>
      </c>
      <c r="I1427" s="71">
        <v>0.6</v>
      </c>
      <c r="J1427" s="71">
        <v>0</v>
      </c>
    </row>
    <row r="1428" customFormat="1" ht="12.75" hidden="1" spans="1:10">
      <c r="A1428" s="64"/>
      <c r="B1428" s="73" t="s">
        <v>2730</v>
      </c>
      <c r="C1428" s="66" t="s">
        <v>2731</v>
      </c>
      <c r="D1428" s="67">
        <v>0.2609</v>
      </c>
      <c r="E1428" s="68"/>
      <c r="F1428" s="69">
        <v>0</v>
      </c>
      <c r="G1428" s="70"/>
      <c r="H1428" s="71">
        <v>0</v>
      </c>
      <c r="I1428" s="71">
        <v>0.6</v>
      </c>
      <c r="J1428" s="71">
        <v>0</v>
      </c>
    </row>
    <row r="1429" customFormat="1" ht="12.75" hidden="1" spans="1:10">
      <c r="A1429" s="64"/>
      <c r="B1429" s="73" t="s">
        <v>2732</v>
      </c>
      <c r="C1429" s="66" t="s">
        <v>2733</v>
      </c>
      <c r="D1429" s="67">
        <v>1.3913</v>
      </c>
      <c r="E1429" s="68"/>
      <c r="F1429" s="69">
        <v>5</v>
      </c>
      <c r="G1429" s="70"/>
      <c r="H1429" s="71">
        <v>3.2</v>
      </c>
      <c r="I1429" s="71">
        <v>0</v>
      </c>
      <c r="J1429" s="71">
        <v>0</v>
      </c>
    </row>
    <row r="1430" customFormat="1" ht="12.75" hidden="1" spans="1:10">
      <c r="A1430" s="64"/>
      <c r="B1430" s="73" t="s">
        <v>2734</v>
      </c>
      <c r="C1430" s="66" t="s">
        <v>2735</v>
      </c>
      <c r="D1430" s="67">
        <v>0.3478</v>
      </c>
      <c r="E1430" s="68"/>
      <c r="F1430" s="69">
        <v>1.3</v>
      </c>
      <c r="G1430" s="70"/>
      <c r="H1430" s="71">
        <v>0.8</v>
      </c>
      <c r="I1430" s="71">
        <v>0</v>
      </c>
      <c r="J1430" s="71">
        <v>0</v>
      </c>
    </row>
    <row r="1431" customFormat="1" ht="12.75" hidden="1" spans="1:10">
      <c r="A1431" s="64"/>
      <c r="B1431" s="73" t="s">
        <v>2736</v>
      </c>
      <c r="C1431" s="66" t="s">
        <v>2737</v>
      </c>
      <c r="D1431" s="67">
        <v>0.087</v>
      </c>
      <c r="E1431" s="68"/>
      <c r="F1431" s="69">
        <v>0.5</v>
      </c>
      <c r="G1431" s="70"/>
      <c r="H1431" s="71">
        <v>0.3</v>
      </c>
      <c r="I1431" s="71">
        <v>0</v>
      </c>
      <c r="J1431" s="71">
        <v>0</v>
      </c>
    </row>
    <row r="1432" customFormat="1" ht="12.75" hidden="1" spans="1:10">
      <c r="A1432" s="64"/>
      <c r="B1432" s="73" t="s">
        <v>2738</v>
      </c>
      <c r="C1432" s="66" t="s">
        <v>2739</v>
      </c>
      <c r="D1432" s="82">
        <v>11.8696</v>
      </c>
      <c r="E1432" s="83"/>
      <c r="F1432" s="79">
        <v>43.7</v>
      </c>
      <c r="G1432" s="80"/>
      <c r="H1432" s="71">
        <v>27.3</v>
      </c>
      <c r="I1432" s="71">
        <v>0</v>
      </c>
      <c r="J1432" s="71">
        <v>0</v>
      </c>
    </row>
    <row r="1433" customFormat="1" ht="12.75" hidden="1" spans="1:10">
      <c r="A1433" s="64"/>
      <c r="B1433" s="73" t="s">
        <v>2740</v>
      </c>
      <c r="C1433" s="66" t="s">
        <v>2741</v>
      </c>
      <c r="D1433" s="67">
        <v>4.9565</v>
      </c>
      <c r="E1433" s="68"/>
      <c r="F1433" s="79">
        <v>18.5</v>
      </c>
      <c r="G1433" s="80"/>
      <c r="H1433" s="71">
        <v>11.4</v>
      </c>
      <c r="I1433" s="71">
        <v>0</v>
      </c>
      <c r="J1433" s="71">
        <v>0</v>
      </c>
    </row>
    <row r="1434" customFormat="1" ht="12.75" hidden="1" spans="1:10">
      <c r="A1434" s="64"/>
      <c r="B1434" s="73" t="s">
        <v>2742</v>
      </c>
      <c r="C1434" s="66" t="s">
        <v>2743</v>
      </c>
      <c r="D1434" s="67">
        <v>5.8261</v>
      </c>
      <c r="E1434" s="68"/>
      <c r="F1434" s="79">
        <v>21</v>
      </c>
      <c r="G1434" s="80"/>
      <c r="H1434" s="71">
        <v>13.4</v>
      </c>
      <c r="I1434" s="71">
        <v>0</v>
      </c>
      <c r="J1434" s="71">
        <v>0</v>
      </c>
    </row>
    <row r="1435" customFormat="1" ht="12.75" hidden="1" spans="1:10">
      <c r="A1435" s="64"/>
      <c r="B1435" s="73" t="s">
        <v>2744</v>
      </c>
      <c r="C1435" s="66" t="s">
        <v>2745</v>
      </c>
      <c r="D1435" s="67">
        <v>6.5217</v>
      </c>
      <c r="E1435" s="68"/>
      <c r="F1435" s="79">
        <v>21.5</v>
      </c>
      <c r="G1435" s="80"/>
      <c r="H1435" s="71">
        <v>15</v>
      </c>
      <c r="I1435" s="71">
        <v>0</v>
      </c>
      <c r="J1435" s="71">
        <v>0</v>
      </c>
    </row>
    <row r="1436" customFormat="1" ht="12.75" hidden="1" spans="1:10">
      <c r="A1436" s="64"/>
      <c r="B1436" s="73" t="s">
        <v>2746</v>
      </c>
      <c r="C1436" s="66" t="s">
        <v>2747</v>
      </c>
      <c r="D1436" s="67">
        <v>0.1304</v>
      </c>
      <c r="E1436" s="68"/>
      <c r="F1436" s="69">
        <v>1</v>
      </c>
      <c r="G1436" s="70"/>
      <c r="H1436" s="71">
        <v>0.5</v>
      </c>
      <c r="I1436" s="71">
        <v>0</v>
      </c>
      <c r="J1436" s="71">
        <v>0</v>
      </c>
    </row>
    <row r="1437" customFormat="1" ht="12.75" hidden="1" spans="1:10">
      <c r="A1437" s="64"/>
      <c r="B1437" s="73" t="s">
        <v>2748</v>
      </c>
      <c r="C1437" s="66" t="s">
        <v>2749</v>
      </c>
      <c r="D1437" s="67">
        <v>1.5652</v>
      </c>
      <c r="E1437" s="68"/>
      <c r="F1437" s="69">
        <v>6</v>
      </c>
      <c r="G1437" s="70"/>
      <c r="H1437" s="71">
        <v>3.6</v>
      </c>
      <c r="I1437" s="71">
        <v>0</v>
      </c>
      <c r="J1437" s="71">
        <v>0</v>
      </c>
    </row>
    <row r="1438" customFormat="1" ht="12.75" hidden="1" spans="1:10">
      <c r="A1438" s="64"/>
      <c r="B1438" s="73" t="s">
        <v>2750</v>
      </c>
      <c r="C1438" s="66" t="s">
        <v>2751</v>
      </c>
      <c r="D1438" s="67">
        <v>0.0435</v>
      </c>
      <c r="E1438" s="68"/>
      <c r="F1438" s="69">
        <v>0.25</v>
      </c>
      <c r="G1438" s="70"/>
      <c r="H1438" s="71">
        <v>0.1</v>
      </c>
      <c r="I1438" s="71">
        <v>0</v>
      </c>
      <c r="J1438" s="71">
        <v>0</v>
      </c>
    </row>
    <row r="1439" customFormat="1" ht="12.75" hidden="1" spans="1:10">
      <c r="A1439" s="64"/>
      <c r="B1439" s="73" t="s">
        <v>2752</v>
      </c>
      <c r="C1439" s="66" t="s">
        <v>2753</v>
      </c>
      <c r="D1439" s="67">
        <v>0.2174</v>
      </c>
      <c r="E1439" s="68"/>
      <c r="F1439" s="69">
        <v>1</v>
      </c>
      <c r="G1439" s="70"/>
      <c r="H1439" s="71">
        <v>0.5</v>
      </c>
      <c r="I1439" s="71">
        <v>0</v>
      </c>
      <c r="J1439" s="71">
        <v>0</v>
      </c>
    </row>
    <row r="1440" customFormat="1" ht="12.75" hidden="1" spans="1:10">
      <c r="A1440" s="64"/>
      <c r="B1440" s="73" t="s">
        <v>2754</v>
      </c>
      <c r="C1440" s="66" t="s">
        <v>2755</v>
      </c>
      <c r="D1440" s="67">
        <v>0.2174</v>
      </c>
      <c r="E1440" s="68"/>
      <c r="F1440" s="69">
        <v>0.8</v>
      </c>
      <c r="G1440" s="70"/>
      <c r="H1440" s="71">
        <v>0.5</v>
      </c>
      <c r="I1440" s="71">
        <v>0</v>
      </c>
      <c r="J1440" s="71">
        <v>0</v>
      </c>
    </row>
    <row r="1441" customFormat="1" ht="12.75" hidden="1" spans="1:10">
      <c r="A1441" s="64"/>
      <c r="B1441" s="73" t="s">
        <v>2756</v>
      </c>
      <c r="C1441" s="66" t="s">
        <v>2757</v>
      </c>
      <c r="D1441" s="67">
        <v>0.4348</v>
      </c>
      <c r="E1441" s="68"/>
      <c r="F1441" s="69">
        <v>1.4</v>
      </c>
      <c r="G1441" s="70"/>
      <c r="H1441" s="71">
        <v>1</v>
      </c>
      <c r="I1441" s="71">
        <v>0</v>
      </c>
      <c r="J1441" s="71">
        <v>0</v>
      </c>
    </row>
    <row r="1442" customFormat="1" ht="12.75" hidden="1" spans="1:10">
      <c r="A1442" s="64"/>
      <c r="B1442" s="73" t="s">
        <v>2758</v>
      </c>
      <c r="C1442" s="66" t="s">
        <v>2759</v>
      </c>
      <c r="D1442" s="67">
        <v>1.2174</v>
      </c>
      <c r="E1442" s="68"/>
      <c r="F1442" s="69">
        <v>4.5</v>
      </c>
      <c r="G1442" s="70"/>
      <c r="H1442" s="71">
        <v>2.8</v>
      </c>
      <c r="I1442" s="71">
        <v>0</v>
      </c>
      <c r="J1442" s="71">
        <v>0</v>
      </c>
    </row>
    <row r="1443" customFormat="1" ht="12.75" hidden="1" spans="1:10">
      <c r="A1443" s="64"/>
      <c r="B1443" s="73" t="s">
        <v>2760</v>
      </c>
      <c r="C1443" s="66" t="s">
        <v>2761</v>
      </c>
      <c r="D1443" s="67">
        <v>0.913</v>
      </c>
      <c r="E1443" s="68"/>
      <c r="F1443" s="69">
        <v>3.3</v>
      </c>
      <c r="G1443" s="70"/>
      <c r="H1443" s="71">
        <v>2.1</v>
      </c>
      <c r="I1443" s="71">
        <v>0</v>
      </c>
      <c r="J1443" s="71">
        <v>0</v>
      </c>
    </row>
    <row r="1444" customFormat="1" ht="12.75" hidden="1" spans="1:10">
      <c r="A1444" s="64"/>
      <c r="B1444" s="73" t="s">
        <v>2762</v>
      </c>
      <c r="C1444" s="66" t="s">
        <v>2763</v>
      </c>
      <c r="D1444" s="67">
        <v>0.5652</v>
      </c>
      <c r="E1444" s="68"/>
      <c r="F1444" s="69">
        <v>2.1</v>
      </c>
      <c r="G1444" s="70"/>
      <c r="H1444" s="71">
        <v>1.3</v>
      </c>
      <c r="I1444" s="71">
        <v>0</v>
      </c>
      <c r="J1444" s="71">
        <v>0</v>
      </c>
    </row>
    <row r="1445" customFormat="1" ht="12.75" hidden="1" spans="1:10">
      <c r="A1445" s="64"/>
      <c r="B1445" s="73" t="s">
        <v>2764</v>
      </c>
      <c r="C1445" s="66" t="s">
        <v>2765</v>
      </c>
      <c r="D1445" s="67">
        <v>2.087</v>
      </c>
      <c r="E1445" s="68"/>
      <c r="F1445" s="69">
        <v>7.8</v>
      </c>
      <c r="G1445" s="70"/>
      <c r="H1445" s="71">
        <v>4.8</v>
      </c>
      <c r="I1445" s="71">
        <v>0</v>
      </c>
      <c r="J1445" s="71">
        <v>0</v>
      </c>
    </row>
    <row r="1446" customFormat="1" ht="12.75" hidden="1" spans="1:10">
      <c r="A1446" s="64"/>
      <c r="B1446" s="73" t="s">
        <v>2766</v>
      </c>
      <c r="C1446" s="66" t="s">
        <v>2767</v>
      </c>
      <c r="D1446" s="67">
        <v>0.5652</v>
      </c>
      <c r="E1446" s="68"/>
      <c r="F1446" s="69">
        <v>2.1</v>
      </c>
      <c r="G1446" s="70"/>
      <c r="H1446" s="71">
        <v>1.3</v>
      </c>
      <c r="I1446" s="71">
        <v>0</v>
      </c>
      <c r="J1446" s="71">
        <v>0</v>
      </c>
    </row>
    <row r="1447" customFormat="1" ht="12.75" hidden="1" spans="1:10">
      <c r="A1447" s="64"/>
      <c r="B1447" s="65">
        <v>6936874693458</v>
      </c>
      <c r="C1447" s="66" t="s">
        <v>2768</v>
      </c>
      <c r="D1447" s="67">
        <v>0.0435</v>
      </c>
      <c r="E1447" s="68"/>
      <c r="F1447" s="69">
        <v>0.25</v>
      </c>
      <c r="G1447" s="70"/>
      <c r="H1447" s="71">
        <v>0.1</v>
      </c>
      <c r="I1447" s="71">
        <v>0</v>
      </c>
      <c r="J1447" s="71">
        <v>0</v>
      </c>
    </row>
    <row r="1448" customFormat="1" ht="12.75" hidden="1" spans="1:10">
      <c r="A1448" s="64"/>
      <c r="B1448" s="73" t="s">
        <v>2769</v>
      </c>
      <c r="C1448" s="66" t="s">
        <v>2770</v>
      </c>
      <c r="D1448" s="67">
        <v>0.5652</v>
      </c>
      <c r="E1448" s="68"/>
      <c r="F1448" s="69">
        <v>2</v>
      </c>
      <c r="G1448" s="70"/>
      <c r="H1448" s="71">
        <v>1.3</v>
      </c>
      <c r="I1448" s="71">
        <v>0</v>
      </c>
      <c r="J1448" s="71">
        <v>0</v>
      </c>
    </row>
    <row r="1449" customFormat="1" ht="12.75" hidden="1" spans="1:10">
      <c r="A1449" s="64"/>
      <c r="B1449" s="73" t="s">
        <v>2771</v>
      </c>
      <c r="C1449" s="66" t="s">
        <v>2772</v>
      </c>
      <c r="D1449" s="67">
        <v>0.4783</v>
      </c>
      <c r="E1449" s="68"/>
      <c r="F1449" s="69">
        <v>1.7</v>
      </c>
      <c r="G1449" s="70"/>
      <c r="H1449" s="71">
        <v>1.1</v>
      </c>
      <c r="I1449" s="71">
        <v>0</v>
      </c>
      <c r="J1449" s="71">
        <v>0</v>
      </c>
    </row>
    <row r="1450" customFormat="1" ht="12.75" hidden="1" spans="1:10">
      <c r="A1450" s="64"/>
      <c r="B1450" s="73" t="s">
        <v>2773</v>
      </c>
      <c r="C1450" s="66" t="s">
        <v>2774</v>
      </c>
      <c r="D1450" s="67">
        <v>0.6522</v>
      </c>
      <c r="E1450" s="68"/>
      <c r="F1450" s="69">
        <v>2.5</v>
      </c>
      <c r="G1450" s="70"/>
      <c r="H1450" s="71">
        <v>1.5</v>
      </c>
      <c r="I1450" s="71">
        <v>0</v>
      </c>
      <c r="J1450" s="71">
        <v>0</v>
      </c>
    </row>
    <row r="1451" customFormat="1" ht="12.75" hidden="1" spans="1:10">
      <c r="A1451" s="64"/>
      <c r="B1451" s="73" t="s">
        <v>2775</v>
      </c>
      <c r="C1451" s="66" t="s">
        <v>2776</v>
      </c>
      <c r="D1451" s="67">
        <v>0.7391</v>
      </c>
      <c r="E1451" s="68"/>
      <c r="F1451" s="69">
        <v>2.8</v>
      </c>
      <c r="G1451" s="70"/>
      <c r="H1451" s="71">
        <v>1.7</v>
      </c>
      <c r="I1451" s="71">
        <v>0</v>
      </c>
      <c r="J1451" s="71">
        <v>0</v>
      </c>
    </row>
    <row r="1452" customFormat="1" ht="12.75" hidden="1" spans="1:10">
      <c r="A1452" s="64"/>
      <c r="B1452" s="73" t="s">
        <v>2777</v>
      </c>
      <c r="C1452" s="66" t="s">
        <v>2778</v>
      </c>
      <c r="D1452" s="67">
        <v>0.9565</v>
      </c>
      <c r="E1452" s="68"/>
      <c r="F1452" s="69">
        <v>3.5</v>
      </c>
      <c r="G1452" s="70"/>
      <c r="H1452" s="71">
        <v>2.2</v>
      </c>
      <c r="I1452" s="71">
        <v>0</v>
      </c>
      <c r="J1452" s="71">
        <v>0</v>
      </c>
    </row>
    <row r="1453" customFormat="1" ht="12.75" hidden="1" spans="1:10">
      <c r="A1453" s="64"/>
      <c r="B1453" s="73" t="s">
        <v>2779</v>
      </c>
      <c r="C1453" s="66" t="s">
        <v>2780</v>
      </c>
      <c r="D1453" s="67">
        <v>1.5217</v>
      </c>
      <c r="E1453" s="68"/>
      <c r="F1453" s="69">
        <v>3.6</v>
      </c>
      <c r="G1453" s="70"/>
      <c r="H1453" s="71">
        <v>3.5</v>
      </c>
      <c r="I1453" s="71">
        <v>0</v>
      </c>
      <c r="J1453" s="71">
        <v>0</v>
      </c>
    </row>
    <row r="1454" customFormat="1" ht="12.75" hidden="1" spans="1:10">
      <c r="A1454" s="64"/>
      <c r="B1454" s="73" t="s">
        <v>2781</v>
      </c>
      <c r="C1454" s="66" t="s">
        <v>2782</v>
      </c>
      <c r="D1454" s="67">
        <v>0.9565</v>
      </c>
      <c r="E1454" s="68"/>
      <c r="F1454" s="69">
        <v>3.6</v>
      </c>
      <c r="G1454" s="70"/>
      <c r="H1454" s="71">
        <v>2.2</v>
      </c>
      <c r="I1454" s="71">
        <v>0</v>
      </c>
      <c r="J1454" s="71">
        <v>0</v>
      </c>
    </row>
    <row r="1455" customFormat="1" ht="12.75" hidden="1" spans="1:10">
      <c r="A1455" s="64"/>
      <c r="B1455" s="73" t="s">
        <v>2783</v>
      </c>
      <c r="C1455" s="66" t="s">
        <v>2784</v>
      </c>
      <c r="D1455" s="67">
        <v>0.9565</v>
      </c>
      <c r="E1455" s="68"/>
      <c r="F1455" s="69">
        <v>3.6</v>
      </c>
      <c r="G1455" s="70"/>
      <c r="H1455" s="71">
        <v>2.2</v>
      </c>
      <c r="I1455" s="71">
        <v>0</v>
      </c>
      <c r="J1455" s="71">
        <v>0</v>
      </c>
    </row>
    <row r="1456" customFormat="1" ht="12.75" hidden="1" spans="1:10">
      <c r="A1456" s="64"/>
      <c r="B1456" s="73" t="s">
        <v>2785</v>
      </c>
      <c r="C1456" s="66" t="s">
        <v>2786</v>
      </c>
      <c r="D1456" s="67">
        <v>1.0435</v>
      </c>
      <c r="E1456" s="68"/>
      <c r="F1456" s="69">
        <v>3.8</v>
      </c>
      <c r="G1456" s="70"/>
      <c r="H1456" s="71">
        <v>2.4</v>
      </c>
      <c r="I1456" s="71">
        <v>0</v>
      </c>
      <c r="J1456" s="71">
        <v>0</v>
      </c>
    </row>
    <row r="1457" customFormat="1" ht="12.75" hidden="1" spans="1:10">
      <c r="A1457" s="64"/>
      <c r="B1457" s="73" t="s">
        <v>2787</v>
      </c>
      <c r="C1457" s="66" t="s">
        <v>2788</v>
      </c>
      <c r="D1457" s="67">
        <v>0.7391</v>
      </c>
      <c r="E1457" s="68"/>
      <c r="F1457" s="69">
        <v>2.8</v>
      </c>
      <c r="G1457" s="70"/>
      <c r="H1457" s="71">
        <v>1.7</v>
      </c>
      <c r="I1457" s="71">
        <v>0</v>
      </c>
      <c r="J1457" s="71">
        <v>0</v>
      </c>
    </row>
    <row r="1458" customFormat="1" ht="12.75" hidden="1" spans="1:10">
      <c r="A1458" s="64"/>
      <c r="B1458" s="73" t="s">
        <v>2789</v>
      </c>
      <c r="C1458" s="66" t="s">
        <v>2790</v>
      </c>
      <c r="D1458" s="67">
        <v>0.2174</v>
      </c>
      <c r="E1458" s="68"/>
      <c r="F1458" s="69">
        <v>0.7</v>
      </c>
      <c r="G1458" s="70"/>
      <c r="H1458" s="71">
        <v>0.5</v>
      </c>
      <c r="I1458" s="71">
        <v>0</v>
      </c>
      <c r="J1458" s="71">
        <v>0</v>
      </c>
    </row>
    <row r="1459" customFormat="1" ht="12.75" hidden="1" spans="1:10">
      <c r="A1459" s="64"/>
      <c r="B1459" s="73" t="s">
        <v>2791</v>
      </c>
      <c r="C1459" s="66" t="s">
        <v>2792</v>
      </c>
      <c r="D1459" s="67">
        <v>0.2174</v>
      </c>
      <c r="E1459" s="68"/>
      <c r="F1459" s="69">
        <v>0.7</v>
      </c>
      <c r="G1459" s="70"/>
      <c r="H1459" s="71">
        <v>0.5</v>
      </c>
      <c r="I1459" s="71">
        <v>0</v>
      </c>
      <c r="J1459" s="71">
        <v>0</v>
      </c>
    </row>
    <row r="1460" customFormat="1" ht="12.75" hidden="1" spans="1:10">
      <c r="A1460" s="64"/>
      <c r="B1460" s="73" t="s">
        <v>2793</v>
      </c>
      <c r="C1460" s="66" t="s">
        <v>2794</v>
      </c>
      <c r="D1460" s="67">
        <v>0.2174</v>
      </c>
      <c r="E1460" s="68"/>
      <c r="F1460" s="69">
        <v>0.7</v>
      </c>
      <c r="G1460" s="70"/>
      <c r="H1460" s="71">
        <v>0.5</v>
      </c>
      <c r="I1460" s="71">
        <v>0</v>
      </c>
      <c r="J1460" s="71">
        <v>0</v>
      </c>
    </row>
    <row r="1461" customFormat="1" ht="12.75" hidden="1" spans="1:10">
      <c r="A1461" s="64"/>
      <c r="B1461" s="73" t="s">
        <v>2795</v>
      </c>
      <c r="C1461" s="66" t="s">
        <v>2796</v>
      </c>
      <c r="D1461" s="67">
        <v>0.2174</v>
      </c>
      <c r="E1461" s="68"/>
      <c r="F1461" s="69">
        <v>0.7</v>
      </c>
      <c r="G1461" s="70"/>
      <c r="H1461" s="71">
        <v>0.5</v>
      </c>
      <c r="I1461" s="71">
        <v>0</v>
      </c>
      <c r="J1461" s="71">
        <v>0</v>
      </c>
    </row>
    <row r="1462" customFormat="1" ht="12.75" hidden="1" spans="1:10">
      <c r="A1462" s="64"/>
      <c r="B1462" s="73" t="s">
        <v>2797</v>
      </c>
      <c r="C1462" s="66" t="s">
        <v>2798</v>
      </c>
      <c r="D1462" s="67">
        <v>6.087</v>
      </c>
      <c r="E1462" s="68"/>
      <c r="F1462" s="79">
        <v>15</v>
      </c>
      <c r="G1462" s="80"/>
      <c r="H1462" s="71">
        <v>14</v>
      </c>
      <c r="I1462" s="71">
        <v>0</v>
      </c>
      <c r="J1462" s="71">
        <v>0</v>
      </c>
    </row>
    <row r="1463" customFormat="1" ht="12.75" hidden="1" spans="1:10">
      <c r="A1463" s="64"/>
      <c r="B1463" s="73" t="s">
        <v>2799</v>
      </c>
      <c r="C1463" s="66" t="s">
        <v>2800</v>
      </c>
      <c r="D1463" s="67">
        <v>0.1304</v>
      </c>
      <c r="E1463" s="68"/>
      <c r="F1463" s="69">
        <v>0.4</v>
      </c>
      <c r="G1463" s="70"/>
      <c r="H1463" s="71">
        <v>0.3</v>
      </c>
      <c r="I1463" s="71">
        <v>0</v>
      </c>
      <c r="J1463" s="71">
        <v>0</v>
      </c>
    </row>
    <row r="1464" customFormat="1" ht="12.75" hidden="1" spans="1:10">
      <c r="A1464" s="64"/>
      <c r="B1464" s="73" t="s">
        <v>2801</v>
      </c>
      <c r="C1464" s="66" t="s">
        <v>2802</v>
      </c>
      <c r="D1464" s="67">
        <v>0.1304</v>
      </c>
      <c r="E1464" s="68"/>
      <c r="F1464" s="69">
        <v>0.75</v>
      </c>
      <c r="G1464" s="70"/>
      <c r="H1464" s="71">
        <v>0.3</v>
      </c>
      <c r="I1464" s="71">
        <v>0</v>
      </c>
      <c r="J1464" s="71">
        <v>0</v>
      </c>
    </row>
    <row r="1465" customFormat="1" ht="25.5" hidden="1" spans="1:10">
      <c r="A1465" s="64"/>
      <c r="B1465" s="73" t="s">
        <v>2803</v>
      </c>
      <c r="C1465" s="66" t="s">
        <v>2804</v>
      </c>
      <c r="D1465" s="67">
        <v>0.0435</v>
      </c>
      <c r="E1465" s="68"/>
      <c r="F1465" s="69">
        <v>0.25</v>
      </c>
      <c r="G1465" s="70"/>
      <c r="H1465" s="71">
        <v>0.1</v>
      </c>
      <c r="I1465" s="71">
        <v>0</v>
      </c>
      <c r="J1465" s="71">
        <v>0</v>
      </c>
    </row>
    <row r="1466" customFormat="1" ht="25.5" hidden="1" spans="1:10">
      <c r="A1466" s="64"/>
      <c r="B1466" s="73" t="s">
        <v>2805</v>
      </c>
      <c r="C1466" s="66" t="s">
        <v>2806</v>
      </c>
      <c r="D1466" s="67">
        <v>0.0435</v>
      </c>
      <c r="E1466" s="68"/>
      <c r="F1466" s="69">
        <v>0.5</v>
      </c>
      <c r="G1466" s="70"/>
      <c r="H1466" s="71">
        <v>0.1</v>
      </c>
      <c r="I1466" s="71">
        <v>0</v>
      </c>
      <c r="J1466" s="71">
        <v>0</v>
      </c>
    </row>
    <row r="1467" customFormat="1" ht="12.75" hidden="1" spans="1:10">
      <c r="A1467" s="64"/>
      <c r="B1467" s="73" t="s">
        <v>2807</v>
      </c>
      <c r="C1467" s="66" t="s">
        <v>2808</v>
      </c>
      <c r="D1467" s="67">
        <v>0.1739</v>
      </c>
      <c r="E1467" s="68"/>
      <c r="F1467" s="69">
        <v>0.7</v>
      </c>
      <c r="G1467" s="70"/>
      <c r="H1467" s="71">
        <v>0.4</v>
      </c>
      <c r="I1467" s="71">
        <v>0</v>
      </c>
      <c r="J1467" s="71">
        <v>0</v>
      </c>
    </row>
    <row r="1468" customFormat="1" ht="12.75" hidden="1" spans="1:10">
      <c r="A1468" s="64"/>
      <c r="B1468" s="73" t="s">
        <v>2809</v>
      </c>
      <c r="C1468" s="66" t="s">
        <v>2810</v>
      </c>
      <c r="D1468" s="67">
        <v>0.3478</v>
      </c>
      <c r="E1468" s="68"/>
      <c r="F1468" s="69">
        <v>1</v>
      </c>
      <c r="G1468" s="70"/>
      <c r="H1468" s="71">
        <v>0.8</v>
      </c>
      <c r="I1468" s="71">
        <v>0</v>
      </c>
      <c r="J1468" s="71">
        <v>0</v>
      </c>
    </row>
    <row r="1469" customFormat="1" ht="12.75" hidden="1" spans="1:10">
      <c r="A1469" s="64"/>
      <c r="B1469" s="73" t="s">
        <v>2811</v>
      </c>
      <c r="C1469" s="66" t="s">
        <v>2812</v>
      </c>
      <c r="D1469" s="67">
        <v>0.9565</v>
      </c>
      <c r="E1469" s="68"/>
      <c r="F1469" s="69">
        <v>3.5</v>
      </c>
      <c r="G1469" s="70"/>
      <c r="H1469" s="71">
        <v>2.2</v>
      </c>
      <c r="I1469" s="71">
        <v>0</v>
      </c>
      <c r="J1469" s="71">
        <v>0</v>
      </c>
    </row>
    <row r="1470" customFormat="1" ht="12.75" hidden="1" spans="1:10">
      <c r="A1470" s="64"/>
      <c r="B1470" s="73" t="s">
        <v>2813</v>
      </c>
      <c r="C1470" s="66" t="s">
        <v>2814</v>
      </c>
      <c r="D1470" s="67">
        <v>1.2174</v>
      </c>
      <c r="E1470" s="68"/>
      <c r="F1470" s="69">
        <v>4.5</v>
      </c>
      <c r="G1470" s="70"/>
      <c r="H1470" s="71">
        <v>2.8</v>
      </c>
      <c r="I1470" s="71">
        <v>0</v>
      </c>
      <c r="J1470" s="71">
        <v>0</v>
      </c>
    </row>
    <row r="1471" customFormat="1" ht="12.75" hidden="1" spans="1:10">
      <c r="A1471" s="64"/>
      <c r="B1471" s="73" t="s">
        <v>2815</v>
      </c>
      <c r="C1471" s="66" t="s">
        <v>2816</v>
      </c>
      <c r="D1471" s="67">
        <v>1.6522</v>
      </c>
      <c r="E1471" s="68"/>
      <c r="F1471" s="69">
        <v>6</v>
      </c>
      <c r="G1471" s="70"/>
      <c r="H1471" s="71">
        <v>3.8</v>
      </c>
      <c r="I1471" s="71">
        <v>0</v>
      </c>
      <c r="J1471" s="71">
        <v>0</v>
      </c>
    </row>
    <row r="1472" customFormat="1" ht="12.75" hidden="1" spans="1:10">
      <c r="A1472" s="64"/>
      <c r="B1472" s="73" t="s">
        <v>2817</v>
      </c>
      <c r="C1472" s="66" t="s">
        <v>2818</v>
      </c>
      <c r="D1472" s="67">
        <v>0.1304</v>
      </c>
      <c r="E1472" s="68"/>
      <c r="F1472" s="69">
        <v>0.5</v>
      </c>
      <c r="G1472" s="70"/>
      <c r="H1472" s="71">
        <v>0.3</v>
      </c>
      <c r="I1472" s="71">
        <v>0</v>
      </c>
      <c r="J1472" s="71">
        <v>0</v>
      </c>
    </row>
    <row r="1473" customFormat="1" ht="12.75" hidden="1" spans="1:10">
      <c r="A1473" s="64"/>
      <c r="B1473" s="73" t="s">
        <v>2819</v>
      </c>
      <c r="C1473" s="66" t="s">
        <v>2820</v>
      </c>
      <c r="D1473" s="67">
        <v>0.2174</v>
      </c>
      <c r="E1473" s="68"/>
      <c r="F1473" s="69">
        <v>0</v>
      </c>
      <c r="G1473" s="70"/>
      <c r="H1473" s="71">
        <v>0</v>
      </c>
      <c r="I1473" s="71">
        <v>0.5</v>
      </c>
      <c r="J1473" s="71">
        <v>0.3</v>
      </c>
    </row>
    <row r="1474" customFormat="1" ht="12.75" hidden="1" spans="1:10">
      <c r="A1474" s="64"/>
      <c r="B1474" s="73" t="s">
        <v>2821</v>
      </c>
      <c r="C1474" s="66" t="s">
        <v>2822</v>
      </c>
      <c r="D1474" s="67">
        <v>0.6522</v>
      </c>
      <c r="E1474" s="68"/>
      <c r="F1474" s="69">
        <v>3</v>
      </c>
      <c r="G1474" s="70"/>
      <c r="H1474" s="71">
        <v>1.5</v>
      </c>
      <c r="I1474" s="71">
        <v>0</v>
      </c>
      <c r="J1474" s="71">
        <v>0</v>
      </c>
    </row>
    <row r="1475" customFormat="1" ht="12.75" hidden="1" spans="1:10">
      <c r="A1475" s="64"/>
      <c r="B1475" s="73" t="s">
        <v>2823</v>
      </c>
      <c r="C1475" s="66" t="s">
        <v>2824</v>
      </c>
      <c r="D1475" s="67">
        <v>0.2174</v>
      </c>
      <c r="E1475" s="68"/>
      <c r="F1475" s="69">
        <v>0.8</v>
      </c>
      <c r="G1475" s="70"/>
      <c r="H1475" s="71">
        <v>0.5</v>
      </c>
      <c r="I1475" s="71">
        <v>0</v>
      </c>
      <c r="J1475" s="71">
        <v>0</v>
      </c>
    </row>
    <row r="1476" customFormat="1" ht="12.75" hidden="1" spans="1:10">
      <c r="A1476" s="64"/>
      <c r="B1476" s="73" t="s">
        <v>2825</v>
      </c>
      <c r="C1476" s="66" t="s">
        <v>2826</v>
      </c>
      <c r="D1476" s="67">
        <v>6.4348</v>
      </c>
      <c r="E1476" s="68"/>
      <c r="F1476" s="79">
        <v>24</v>
      </c>
      <c r="G1476" s="80"/>
      <c r="H1476" s="71">
        <v>14.8</v>
      </c>
      <c r="I1476" s="71">
        <v>0</v>
      </c>
      <c r="J1476" s="71">
        <v>0</v>
      </c>
    </row>
    <row r="1477" customFormat="1" ht="12.75" hidden="1" spans="1:10">
      <c r="A1477" s="64"/>
      <c r="B1477" s="73" t="s">
        <v>2827</v>
      </c>
      <c r="C1477" s="66" t="s">
        <v>2828</v>
      </c>
      <c r="D1477" s="67">
        <v>0.2609</v>
      </c>
      <c r="E1477" s="68"/>
      <c r="F1477" s="69">
        <v>1</v>
      </c>
      <c r="G1477" s="70"/>
      <c r="H1477" s="71">
        <v>0.6</v>
      </c>
      <c r="I1477" s="71">
        <v>0</v>
      </c>
      <c r="J1477" s="71">
        <v>0</v>
      </c>
    </row>
    <row r="1478" customFormat="1" ht="12.75" hidden="1" spans="1:10">
      <c r="A1478" s="64"/>
      <c r="B1478" s="73" t="s">
        <v>2829</v>
      </c>
      <c r="C1478" s="66" t="s">
        <v>2830</v>
      </c>
      <c r="D1478" s="67">
        <v>0.2609</v>
      </c>
      <c r="E1478" s="68"/>
      <c r="F1478" s="69">
        <v>1</v>
      </c>
      <c r="G1478" s="70"/>
      <c r="H1478" s="71">
        <v>0.6</v>
      </c>
      <c r="I1478" s="71">
        <v>0</v>
      </c>
      <c r="J1478" s="71">
        <v>0</v>
      </c>
    </row>
    <row r="1479" customFormat="1" ht="12.75" hidden="1" spans="1:10">
      <c r="A1479" s="64"/>
      <c r="B1479" s="73" t="s">
        <v>2831</v>
      </c>
      <c r="C1479" s="66" t="s">
        <v>2832</v>
      </c>
      <c r="D1479" s="67">
        <v>0.3043</v>
      </c>
      <c r="E1479" s="68"/>
      <c r="F1479" s="69">
        <v>1</v>
      </c>
      <c r="G1479" s="70"/>
      <c r="H1479" s="71">
        <v>0.7</v>
      </c>
      <c r="I1479" s="71">
        <v>0</v>
      </c>
      <c r="J1479" s="71">
        <v>0</v>
      </c>
    </row>
    <row r="1480" customFormat="1" ht="12.75" hidden="1" spans="1:10">
      <c r="A1480" s="64"/>
      <c r="B1480" s="73" t="s">
        <v>2833</v>
      </c>
      <c r="C1480" s="66" t="s">
        <v>2834</v>
      </c>
      <c r="D1480" s="67">
        <v>0.3913</v>
      </c>
      <c r="E1480" s="68"/>
      <c r="F1480" s="69">
        <v>1.4</v>
      </c>
      <c r="G1480" s="70"/>
      <c r="H1480" s="71">
        <v>0.9</v>
      </c>
      <c r="I1480" s="71">
        <v>0</v>
      </c>
      <c r="J1480" s="71">
        <v>0</v>
      </c>
    </row>
    <row r="1481" customFormat="1" ht="12.75" hidden="1" spans="1:10">
      <c r="A1481" s="64"/>
      <c r="B1481" s="73" t="s">
        <v>2835</v>
      </c>
      <c r="C1481" s="66" t="s">
        <v>2836</v>
      </c>
      <c r="D1481" s="67">
        <v>0.3913</v>
      </c>
      <c r="E1481" s="68"/>
      <c r="F1481" s="69">
        <v>1.4</v>
      </c>
      <c r="G1481" s="70"/>
      <c r="H1481" s="71">
        <v>0.9</v>
      </c>
      <c r="I1481" s="71">
        <v>0</v>
      </c>
      <c r="J1481" s="71">
        <v>0</v>
      </c>
    </row>
    <row r="1482" customFormat="1" ht="12.75" hidden="1" spans="1:10">
      <c r="A1482" s="64"/>
      <c r="B1482" s="73" t="s">
        <v>2837</v>
      </c>
      <c r="C1482" s="66" t="s">
        <v>2838</v>
      </c>
      <c r="D1482" s="67">
        <v>0.4348</v>
      </c>
      <c r="E1482" s="68"/>
      <c r="F1482" s="69">
        <v>1.6</v>
      </c>
      <c r="G1482" s="70"/>
      <c r="H1482" s="71">
        <v>1</v>
      </c>
      <c r="I1482" s="71">
        <v>0</v>
      </c>
      <c r="J1482" s="71">
        <v>0</v>
      </c>
    </row>
    <row r="1483" customFormat="1" ht="12.75" hidden="1" spans="1:10">
      <c r="A1483" s="64"/>
      <c r="B1483" s="73" t="s">
        <v>2839</v>
      </c>
      <c r="C1483" s="66" t="s">
        <v>2840</v>
      </c>
      <c r="D1483" s="67">
        <v>0.5652</v>
      </c>
      <c r="E1483" s="68"/>
      <c r="F1483" s="69">
        <v>2.1</v>
      </c>
      <c r="G1483" s="70"/>
      <c r="H1483" s="71">
        <v>1.3</v>
      </c>
      <c r="I1483" s="71">
        <v>0</v>
      </c>
      <c r="J1483" s="71">
        <v>0</v>
      </c>
    </row>
    <row r="1484" customFormat="1" ht="12.75" hidden="1" spans="1:10">
      <c r="A1484" s="64"/>
      <c r="B1484" s="73" t="s">
        <v>2841</v>
      </c>
      <c r="C1484" s="66" t="s">
        <v>2842</v>
      </c>
      <c r="D1484" s="67">
        <v>0.4348</v>
      </c>
      <c r="E1484" s="68"/>
      <c r="F1484" s="69">
        <v>1.6</v>
      </c>
      <c r="G1484" s="70"/>
      <c r="H1484" s="71">
        <v>1</v>
      </c>
      <c r="I1484" s="71">
        <v>0</v>
      </c>
      <c r="J1484" s="71">
        <v>0</v>
      </c>
    </row>
    <row r="1485" customFormat="1" ht="12.75" hidden="1" spans="1:10">
      <c r="A1485" s="64"/>
      <c r="B1485" s="73" t="s">
        <v>2843</v>
      </c>
      <c r="C1485" s="66" t="s">
        <v>2844</v>
      </c>
      <c r="D1485" s="67">
        <v>0.5652</v>
      </c>
      <c r="E1485" s="68"/>
      <c r="F1485" s="69">
        <v>2.1</v>
      </c>
      <c r="G1485" s="70"/>
      <c r="H1485" s="71">
        <v>1.3</v>
      </c>
      <c r="I1485" s="71">
        <v>0</v>
      </c>
      <c r="J1485" s="71">
        <v>0</v>
      </c>
    </row>
    <row r="1486" customFormat="1" ht="12.75" hidden="1" spans="1:10">
      <c r="A1486" s="64"/>
      <c r="B1486" s="73" t="s">
        <v>2845</v>
      </c>
      <c r="C1486" s="66" t="s">
        <v>2846</v>
      </c>
      <c r="D1486" s="67">
        <v>0.2609</v>
      </c>
      <c r="E1486" s="68"/>
      <c r="F1486" s="69">
        <v>1</v>
      </c>
      <c r="G1486" s="70"/>
      <c r="H1486" s="71">
        <v>0.6</v>
      </c>
      <c r="I1486" s="71">
        <v>0</v>
      </c>
      <c r="J1486" s="71">
        <v>0</v>
      </c>
    </row>
    <row r="1487" customFormat="1" ht="12.75" hidden="1" spans="1:10">
      <c r="A1487" s="64"/>
      <c r="B1487" s="73" t="s">
        <v>2847</v>
      </c>
      <c r="C1487" s="66" t="s">
        <v>2848</v>
      </c>
      <c r="D1487" s="67">
        <v>0.3043</v>
      </c>
      <c r="E1487" s="68"/>
      <c r="F1487" s="69">
        <v>1</v>
      </c>
      <c r="G1487" s="70"/>
      <c r="H1487" s="71">
        <v>0.7</v>
      </c>
      <c r="I1487" s="71">
        <v>0</v>
      </c>
      <c r="J1487" s="71">
        <v>0</v>
      </c>
    </row>
    <row r="1488" customFormat="1" ht="12.75" hidden="1" spans="1:10">
      <c r="A1488" s="64"/>
      <c r="B1488" s="73" t="s">
        <v>2849</v>
      </c>
      <c r="C1488" s="66" t="s">
        <v>2850</v>
      </c>
      <c r="D1488" s="67">
        <v>1.9565</v>
      </c>
      <c r="E1488" s="68"/>
      <c r="F1488" s="69">
        <v>7</v>
      </c>
      <c r="G1488" s="70"/>
      <c r="H1488" s="71">
        <v>4.5</v>
      </c>
      <c r="I1488" s="71">
        <v>0</v>
      </c>
      <c r="J1488" s="71">
        <v>0</v>
      </c>
    </row>
    <row r="1489" ht="12.75" hidden="1" spans="1:21">
      <c r="A1489" s="64"/>
      <c r="B1489" s="73" t="s">
        <v>2851</v>
      </c>
      <c r="C1489" s="66" t="s">
        <v>2852</v>
      </c>
      <c r="D1489" s="67">
        <v>1.9565</v>
      </c>
      <c r="E1489" s="68"/>
      <c r="F1489" s="69">
        <v>7</v>
      </c>
      <c r="G1489" s="70"/>
      <c r="H1489" s="71">
        <v>4.5</v>
      </c>
      <c r="I1489" s="71">
        <v>0</v>
      </c>
      <c r="J1489" s="71">
        <v>0</v>
      </c>
      <c r="M1489"/>
      <c r="N1489"/>
      <c r="O1489"/>
      <c r="P1489"/>
      <c r="Q1489"/>
      <c r="R1489"/>
      <c r="S1489"/>
      <c r="T1489"/>
      <c r="U1489"/>
    </row>
    <row r="1490" ht="12.75" hidden="1" spans="1:21">
      <c r="A1490" s="64"/>
      <c r="B1490" s="73" t="s">
        <v>2853</v>
      </c>
      <c r="C1490" s="66" t="s">
        <v>2854</v>
      </c>
      <c r="D1490" s="67">
        <v>2.1304</v>
      </c>
      <c r="E1490" s="68"/>
      <c r="F1490" s="69">
        <v>7</v>
      </c>
      <c r="G1490" s="70"/>
      <c r="H1490" s="71">
        <v>4.9</v>
      </c>
      <c r="I1490" s="71">
        <v>0</v>
      </c>
      <c r="J1490" s="71">
        <v>0</v>
      </c>
      <c r="M1490"/>
      <c r="N1490"/>
      <c r="O1490"/>
      <c r="P1490"/>
      <c r="Q1490"/>
      <c r="R1490"/>
      <c r="S1490"/>
      <c r="T1490"/>
      <c r="U1490"/>
    </row>
    <row r="1491" ht="12.75" hidden="1" spans="1:21">
      <c r="A1491" s="64"/>
      <c r="B1491" s="73" t="s">
        <v>2855</v>
      </c>
      <c r="C1491" s="66" t="s">
        <v>2856</v>
      </c>
      <c r="D1491" s="67">
        <v>0.2609</v>
      </c>
      <c r="E1491" s="68"/>
      <c r="F1491" s="69">
        <v>1</v>
      </c>
      <c r="G1491" s="70"/>
      <c r="H1491" s="71">
        <v>0.6</v>
      </c>
      <c r="I1491" s="71">
        <v>0</v>
      </c>
      <c r="J1491" s="71">
        <v>0</v>
      </c>
      <c r="M1491"/>
      <c r="N1491"/>
      <c r="O1491"/>
      <c r="P1491"/>
      <c r="Q1491"/>
      <c r="R1491"/>
      <c r="S1491"/>
      <c r="T1491"/>
      <c r="U1491"/>
    </row>
    <row r="1492" ht="12.75" hidden="1" spans="1:21">
      <c r="A1492" s="64"/>
      <c r="B1492" s="73" t="s">
        <v>2857</v>
      </c>
      <c r="C1492" s="66" t="s">
        <v>2858</v>
      </c>
      <c r="D1492" s="67">
        <v>0.1739</v>
      </c>
      <c r="E1492" s="68"/>
      <c r="F1492" s="69">
        <v>0.6</v>
      </c>
      <c r="G1492" s="70"/>
      <c r="H1492" s="71">
        <v>0.4</v>
      </c>
      <c r="I1492" s="71">
        <v>0</v>
      </c>
      <c r="J1492" s="71">
        <v>0</v>
      </c>
      <c r="M1492"/>
      <c r="N1492"/>
      <c r="O1492"/>
      <c r="P1492"/>
      <c r="Q1492"/>
      <c r="R1492"/>
      <c r="S1492"/>
      <c r="T1492"/>
      <c r="U1492"/>
    </row>
    <row r="1493" ht="12.75" hidden="1" spans="1:21">
      <c r="A1493" s="64"/>
      <c r="B1493" s="73" t="s">
        <v>2859</v>
      </c>
      <c r="C1493" s="66" t="s">
        <v>2860</v>
      </c>
      <c r="D1493" s="67">
        <v>0.1739</v>
      </c>
      <c r="E1493" s="68"/>
      <c r="F1493" s="69">
        <v>0.6</v>
      </c>
      <c r="G1493" s="70"/>
      <c r="H1493" s="71">
        <v>0.4</v>
      </c>
      <c r="I1493" s="71">
        <v>0</v>
      </c>
      <c r="J1493" s="71">
        <v>0</v>
      </c>
      <c r="M1493"/>
      <c r="N1493"/>
      <c r="O1493"/>
      <c r="P1493"/>
      <c r="Q1493"/>
      <c r="R1493"/>
      <c r="S1493"/>
      <c r="T1493"/>
      <c r="U1493"/>
    </row>
    <row r="1494" ht="12.75" hidden="1" spans="1:21">
      <c r="A1494" s="64"/>
      <c r="B1494" s="73" t="s">
        <v>2861</v>
      </c>
      <c r="C1494" s="66" t="s">
        <v>2862</v>
      </c>
      <c r="D1494" s="67">
        <v>0.1739</v>
      </c>
      <c r="E1494" s="68"/>
      <c r="F1494" s="69">
        <v>0.6</v>
      </c>
      <c r="G1494" s="70"/>
      <c r="H1494" s="71">
        <v>0.4</v>
      </c>
      <c r="I1494" s="71">
        <v>0</v>
      </c>
      <c r="J1494" s="71">
        <v>0</v>
      </c>
      <c r="M1494"/>
      <c r="N1494"/>
      <c r="O1494"/>
      <c r="P1494"/>
      <c r="Q1494"/>
      <c r="R1494"/>
      <c r="S1494"/>
      <c r="T1494"/>
      <c r="U1494"/>
    </row>
    <row r="1495" ht="12.75" hidden="1" spans="1:21">
      <c r="A1495" s="64"/>
      <c r="B1495" s="73" t="s">
        <v>2863</v>
      </c>
      <c r="C1495" s="66" t="s">
        <v>2864</v>
      </c>
      <c r="D1495" s="67">
        <v>0.4783</v>
      </c>
      <c r="E1495" s="68"/>
      <c r="F1495" s="69">
        <v>2</v>
      </c>
      <c r="G1495" s="70"/>
      <c r="H1495" s="71">
        <v>1.1</v>
      </c>
      <c r="I1495" s="71">
        <v>0</v>
      </c>
      <c r="J1495" s="71">
        <v>0</v>
      </c>
      <c r="M1495"/>
      <c r="N1495"/>
      <c r="O1495"/>
      <c r="P1495"/>
      <c r="Q1495"/>
      <c r="R1495"/>
      <c r="S1495"/>
      <c r="T1495"/>
      <c r="U1495"/>
    </row>
    <row r="1496" ht="38.25" spans="1:20">
      <c r="A1496" s="72" t="s">
        <v>3773</v>
      </c>
      <c r="B1496" s="73" t="s">
        <v>2865</v>
      </c>
      <c r="C1496" s="66" t="s">
        <v>2866</v>
      </c>
      <c r="D1496" s="67">
        <v>0.5217</v>
      </c>
      <c r="E1496" s="68"/>
      <c r="F1496" s="69">
        <v>2</v>
      </c>
      <c r="G1496" s="70"/>
      <c r="H1496" s="71">
        <v>1.2</v>
      </c>
      <c r="I1496" s="71"/>
      <c r="J1496" s="71"/>
      <c r="M1496" s="32">
        <v>3</v>
      </c>
      <c r="N1496" s="77">
        <f>+F1496</f>
        <v>2</v>
      </c>
      <c r="O1496" s="77">
        <f>+M1496*N1496</f>
        <v>6</v>
      </c>
      <c r="R1496" s="3">
        <f>+M1496</f>
        <v>3</v>
      </c>
      <c r="S1496" s="49">
        <f>+H1496</f>
        <v>1.2</v>
      </c>
      <c r="T1496" s="49">
        <f>+R1496*S1496</f>
        <v>3.6</v>
      </c>
    </row>
    <row r="1497" ht="12.75" hidden="1" spans="1:21">
      <c r="A1497" s="64"/>
      <c r="B1497" s="73" t="s">
        <v>2867</v>
      </c>
      <c r="C1497" s="66" t="s">
        <v>2868</v>
      </c>
      <c r="D1497" s="67">
        <v>2.8261</v>
      </c>
      <c r="E1497" s="68"/>
      <c r="F1497" s="79">
        <v>10</v>
      </c>
      <c r="G1497" s="80"/>
      <c r="H1497" s="71">
        <v>6.5</v>
      </c>
      <c r="I1497" s="71">
        <v>0</v>
      </c>
      <c r="J1497" s="71">
        <v>0</v>
      </c>
      <c r="M1497"/>
      <c r="N1497"/>
      <c r="O1497"/>
      <c r="P1497"/>
      <c r="Q1497"/>
      <c r="R1497"/>
      <c r="S1497"/>
      <c r="T1497"/>
      <c r="U1497"/>
    </row>
    <row r="1498" ht="12.75" hidden="1" spans="1:21">
      <c r="A1498" s="64"/>
      <c r="B1498" s="73" t="s">
        <v>2869</v>
      </c>
      <c r="C1498" s="66" t="s">
        <v>2870</v>
      </c>
      <c r="D1498" s="67">
        <v>0.2174</v>
      </c>
      <c r="E1498" s="68"/>
      <c r="F1498" s="69">
        <v>0.8</v>
      </c>
      <c r="G1498" s="70"/>
      <c r="H1498" s="71">
        <v>0.5</v>
      </c>
      <c r="I1498" s="71">
        <v>0</v>
      </c>
      <c r="J1498" s="71">
        <v>0</v>
      </c>
      <c r="M1498"/>
      <c r="N1498"/>
      <c r="O1498"/>
      <c r="P1498"/>
      <c r="Q1498"/>
      <c r="R1498"/>
      <c r="S1498"/>
      <c r="T1498"/>
      <c r="U1498"/>
    </row>
    <row r="1499" ht="12.75" hidden="1" spans="1:21">
      <c r="A1499" s="64"/>
      <c r="B1499" s="73" t="s">
        <v>2871</v>
      </c>
      <c r="C1499" s="66" t="s">
        <v>2872</v>
      </c>
      <c r="D1499" s="67">
        <v>0.2609</v>
      </c>
      <c r="E1499" s="68"/>
      <c r="F1499" s="69">
        <v>2</v>
      </c>
      <c r="G1499" s="70"/>
      <c r="H1499" s="71">
        <v>0.6</v>
      </c>
      <c r="I1499" s="71">
        <v>0</v>
      </c>
      <c r="J1499" s="71">
        <v>0</v>
      </c>
      <c r="M1499"/>
      <c r="N1499"/>
      <c r="O1499"/>
      <c r="P1499"/>
      <c r="Q1499"/>
      <c r="R1499"/>
      <c r="S1499"/>
      <c r="T1499"/>
      <c r="U1499"/>
    </row>
    <row r="1500" ht="12.75" hidden="1" spans="1:21">
      <c r="A1500" s="64"/>
      <c r="B1500" s="73" t="s">
        <v>2873</v>
      </c>
      <c r="C1500" s="66" t="s">
        <v>2874</v>
      </c>
      <c r="D1500" s="67">
        <v>0.2609</v>
      </c>
      <c r="E1500" s="68"/>
      <c r="F1500" s="69">
        <v>1</v>
      </c>
      <c r="G1500" s="70"/>
      <c r="H1500" s="71">
        <v>0.6</v>
      </c>
      <c r="I1500" s="71">
        <v>0</v>
      </c>
      <c r="J1500" s="71">
        <v>0</v>
      </c>
      <c r="M1500"/>
      <c r="N1500"/>
      <c r="O1500"/>
      <c r="P1500"/>
      <c r="Q1500"/>
      <c r="R1500"/>
      <c r="S1500"/>
      <c r="T1500"/>
      <c r="U1500"/>
    </row>
    <row r="1501" ht="12.75" hidden="1" spans="1:21">
      <c r="A1501" s="64"/>
      <c r="B1501" s="73" t="s">
        <v>2875</v>
      </c>
      <c r="C1501" s="66" t="s">
        <v>2876</v>
      </c>
      <c r="D1501" s="67">
        <v>1.8261</v>
      </c>
      <c r="E1501" s="68"/>
      <c r="F1501" s="69">
        <v>6.7</v>
      </c>
      <c r="G1501" s="70"/>
      <c r="H1501" s="71">
        <v>4.2</v>
      </c>
      <c r="I1501" s="71">
        <v>0</v>
      </c>
      <c r="J1501" s="71">
        <v>0</v>
      </c>
      <c r="M1501"/>
      <c r="N1501"/>
      <c r="O1501"/>
      <c r="P1501"/>
      <c r="Q1501"/>
      <c r="R1501"/>
      <c r="S1501"/>
      <c r="T1501"/>
      <c r="U1501"/>
    </row>
    <row r="1502" ht="12.75" hidden="1" spans="1:21">
      <c r="A1502" s="64"/>
      <c r="B1502" s="73" t="s">
        <v>2877</v>
      </c>
      <c r="C1502" s="66" t="s">
        <v>2878</v>
      </c>
      <c r="D1502" s="67">
        <v>2</v>
      </c>
      <c r="E1502" s="68"/>
      <c r="F1502" s="69">
        <v>8</v>
      </c>
      <c r="G1502" s="70"/>
      <c r="H1502" s="71">
        <v>4.6</v>
      </c>
      <c r="I1502" s="71">
        <v>0</v>
      </c>
      <c r="J1502" s="71">
        <v>0</v>
      </c>
      <c r="M1502"/>
      <c r="N1502"/>
      <c r="O1502"/>
      <c r="P1502"/>
      <c r="Q1502"/>
      <c r="R1502"/>
      <c r="S1502"/>
      <c r="T1502"/>
      <c r="U1502"/>
    </row>
    <row r="1503" ht="12.75" hidden="1" spans="1:21">
      <c r="A1503" s="64"/>
      <c r="B1503" s="73" t="s">
        <v>2879</v>
      </c>
      <c r="C1503" s="66" t="s">
        <v>2880</v>
      </c>
      <c r="D1503" s="67">
        <v>2.1739</v>
      </c>
      <c r="E1503" s="68"/>
      <c r="F1503" s="69">
        <v>8</v>
      </c>
      <c r="G1503" s="70"/>
      <c r="H1503" s="71">
        <v>5</v>
      </c>
      <c r="I1503" s="71">
        <v>0</v>
      </c>
      <c r="J1503" s="71">
        <v>0</v>
      </c>
      <c r="M1503"/>
      <c r="N1503"/>
      <c r="O1503"/>
      <c r="P1503"/>
      <c r="Q1503"/>
      <c r="R1503"/>
      <c r="S1503"/>
      <c r="T1503"/>
      <c r="U1503"/>
    </row>
    <row r="1504" ht="12.75" hidden="1" spans="1:21">
      <c r="A1504" s="64"/>
      <c r="B1504" s="73" t="s">
        <v>2881</v>
      </c>
      <c r="C1504" s="66" t="s">
        <v>2882</v>
      </c>
      <c r="D1504" s="67">
        <v>1.3478</v>
      </c>
      <c r="E1504" s="68"/>
      <c r="F1504" s="69">
        <v>5</v>
      </c>
      <c r="G1504" s="70"/>
      <c r="H1504" s="71">
        <v>3.1</v>
      </c>
      <c r="I1504" s="71">
        <v>0</v>
      </c>
      <c r="J1504" s="71">
        <v>0</v>
      </c>
      <c r="M1504"/>
      <c r="N1504"/>
      <c r="O1504"/>
      <c r="P1504"/>
      <c r="Q1504"/>
      <c r="R1504"/>
      <c r="S1504"/>
      <c r="T1504"/>
      <c r="U1504"/>
    </row>
    <row r="1505" customFormat="1" ht="12.75" hidden="1" spans="1:10">
      <c r="A1505" s="64"/>
      <c r="B1505" s="73" t="s">
        <v>2883</v>
      </c>
      <c r="C1505" s="66" t="s">
        <v>2884</v>
      </c>
      <c r="D1505" s="67">
        <v>1.1739</v>
      </c>
      <c r="E1505" s="68"/>
      <c r="F1505" s="69">
        <v>4.4</v>
      </c>
      <c r="G1505" s="70"/>
      <c r="H1505" s="71">
        <v>2.7</v>
      </c>
      <c r="I1505" s="71">
        <v>0</v>
      </c>
      <c r="J1505" s="71">
        <v>0</v>
      </c>
    </row>
    <row r="1506" customFormat="1" ht="12.75" hidden="1" spans="1:10">
      <c r="A1506" s="64"/>
      <c r="B1506" s="73" t="s">
        <v>2885</v>
      </c>
      <c r="C1506" s="66" t="s">
        <v>2886</v>
      </c>
      <c r="D1506" s="67">
        <v>1.0435</v>
      </c>
      <c r="E1506" s="68"/>
      <c r="F1506" s="69">
        <v>3.9</v>
      </c>
      <c r="G1506" s="70"/>
      <c r="H1506" s="71">
        <v>2.4</v>
      </c>
      <c r="I1506" s="71">
        <v>0</v>
      </c>
      <c r="J1506" s="71">
        <v>0</v>
      </c>
    </row>
    <row r="1507" customFormat="1" ht="12.75" hidden="1" spans="1:10">
      <c r="A1507" s="64"/>
      <c r="B1507" s="73" t="s">
        <v>2887</v>
      </c>
      <c r="C1507" s="66" t="s">
        <v>2888</v>
      </c>
      <c r="D1507" s="67">
        <v>0.2174</v>
      </c>
      <c r="E1507" s="68"/>
      <c r="F1507" s="69">
        <v>0.6</v>
      </c>
      <c r="G1507" s="70"/>
      <c r="H1507" s="71">
        <v>0.5</v>
      </c>
      <c r="I1507" s="71">
        <v>0</v>
      </c>
      <c r="J1507" s="71">
        <v>0</v>
      </c>
    </row>
    <row r="1508" customFormat="1" ht="12.75" hidden="1" spans="1:10">
      <c r="A1508" s="64"/>
      <c r="B1508" s="73" t="s">
        <v>2889</v>
      </c>
      <c r="C1508" s="66" t="s">
        <v>2890</v>
      </c>
      <c r="D1508" s="67">
        <v>0.1739</v>
      </c>
      <c r="E1508" s="68"/>
      <c r="F1508" s="69">
        <v>1</v>
      </c>
      <c r="G1508" s="70"/>
      <c r="H1508" s="71">
        <v>0.5</v>
      </c>
      <c r="I1508" s="71">
        <v>0</v>
      </c>
      <c r="J1508" s="71">
        <v>0</v>
      </c>
    </row>
    <row r="1509" customFormat="1" ht="12.75" hidden="1" spans="1:10">
      <c r="A1509" s="64"/>
      <c r="B1509" s="73" t="s">
        <v>2891</v>
      </c>
      <c r="C1509" s="66" t="s">
        <v>2892</v>
      </c>
      <c r="D1509" s="67">
        <v>0.2174</v>
      </c>
      <c r="E1509" s="68"/>
      <c r="F1509" s="69">
        <v>1</v>
      </c>
      <c r="G1509" s="70"/>
      <c r="H1509" s="71">
        <v>0.5</v>
      </c>
      <c r="I1509" s="71">
        <v>0</v>
      </c>
      <c r="J1509" s="71">
        <v>0</v>
      </c>
    </row>
    <row r="1510" customFormat="1" ht="12.75" hidden="1" spans="1:10">
      <c r="A1510" s="64"/>
      <c r="B1510" s="73" t="s">
        <v>2893</v>
      </c>
      <c r="C1510" s="66" t="s">
        <v>2894</v>
      </c>
      <c r="D1510" s="67">
        <v>0.5217</v>
      </c>
      <c r="E1510" s="68"/>
      <c r="F1510" s="69">
        <v>1.9</v>
      </c>
      <c r="G1510" s="70"/>
      <c r="H1510" s="71">
        <v>1.2</v>
      </c>
      <c r="I1510" s="71">
        <v>0</v>
      </c>
      <c r="J1510" s="71">
        <v>0</v>
      </c>
    </row>
    <row r="1511" customFormat="1" ht="12.75" hidden="1" spans="1:10">
      <c r="A1511" s="64"/>
      <c r="B1511" s="73" t="s">
        <v>2895</v>
      </c>
      <c r="C1511" s="66" t="s">
        <v>2896</v>
      </c>
      <c r="D1511" s="67">
        <v>0.3913</v>
      </c>
      <c r="E1511" s="68"/>
      <c r="F1511" s="69">
        <v>1.5</v>
      </c>
      <c r="G1511" s="70"/>
      <c r="H1511" s="71">
        <v>0.9</v>
      </c>
      <c r="I1511" s="71">
        <v>0</v>
      </c>
      <c r="J1511" s="71">
        <v>0</v>
      </c>
    </row>
    <row r="1512" customFormat="1" ht="12.75" hidden="1" spans="1:10">
      <c r="A1512" s="64"/>
      <c r="B1512" s="73" t="s">
        <v>2897</v>
      </c>
      <c r="C1512" s="66" t="s">
        <v>2898</v>
      </c>
      <c r="D1512" s="67">
        <v>0.4783</v>
      </c>
      <c r="E1512" s="68"/>
      <c r="F1512" s="69">
        <v>1.8</v>
      </c>
      <c r="G1512" s="70"/>
      <c r="H1512" s="71">
        <v>1.1</v>
      </c>
      <c r="I1512" s="71">
        <v>0</v>
      </c>
      <c r="J1512" s="71">
        <v>0</v>
      </c>
    </row>
    <row r="1513" customFormat="1" ht="12.75" hidden="1" spans="1:10">
      <c r="A1513" s="64"/>
      <c r="B1513" s="73" t="s">
        <v>2899</v>
      </c>
      <c r="C1513" s="66" t="s">
        <v>2900</v>
      </c>
      <c r="D1513" s="67">
        <v>0.5652</v>
      </c>
      <c r="E1513" s="68"/>
      <c r="F1513" s="69">
        <v>2</v>
      </c>
      <c r="G1513" s="70"/>
      <c r="H1513" s="71">
        <v>1.3</v>
      </c>
      <c r="I1513" s="71">
        <v>0</v>
      </c>
      <c r="J1513" s="71">
        <v>0</v>
      </c>
    </row>
    <row r="1514" customFormat="1" ht="12.75" hidden="1" spans="1:10">
      <c r="A1514" s="64"/>
      <c r="B1514" s="73" t="s">
        <v>2901</v>
      </c>
      <c r="C1514" s="66" t="s">
        <v>2902</v>
      </c>
      <c r="D1514" s="67">
        <v>3.1304</v>
      </c>
      <c r="E1514" s="68"/>
      <c r="F1514" s="79">
        <v>11.5</v>
      </c>
      <c r="G1514" s="80"/>
      <c r="H1514" s="71">
        <v>7.2</v>
      </c>
      <c r="I1514" s="71">
        <v>0</v>
      </c>
      <c r="J1514" s="71">
        <v>0</v>
      </c>
    </row>
    <row r="1515" customFormat="1" ht="12.75" hidden="1" spans="1:10">
      <c r="A1515" s="64"/>
      <c r="B1515" s="73" t="s">
        <v>2903</v>
      </c>
      <c r="C1515" s="66" t="s">
        <v>2904</v>
      </c>
      <c r="D1515" s="67">
        <v>0.2174</v>
      </c>
      <c r="E1515" s="68"/>
      <c r="F1515" s="69">
        <v>0.8</v>
      </c>
      <c r="G1515" s="70"/>
      <c r="H1515" s="71">
        <v>0.5</v>
      </c>
      <c r="I1515" s="71">
        <v>0</v>
      </c>
      <c r="J1515" s="71">
        <v>0</v>
      </c>
    </row>
    <row r="1516" customFormat="1" ht="12.75" hidden="1" spans="1:10">
      <c r="A1516" s="64"/>
      <c r="B1516" s="73" t="s">
        <v>2905</v>
      </c>
      <c r="C1516" s="66" t="s">
        <v>2906</v>
      </c>
      <c r="D1516" s="67">
        <v>0.0435</v>
      </c>
      <c r="E1516" s="68"/>
      <c r="F1516" s="69">
        <v>0.2</v>
      </c>
      <c r="G1516" s="70"/>
      <c r="H1516" s="71">
        <v>0.1</v>
      </c>
      <c r="I1516" s="71">
        <v>0</v>
      </c>
      <c r="J1516" s="71">
        <v>0</v>
      </c>
    </row>
    <row r="1517" customFormat="1" ht="12.75" hidden="1" spans="1:10">
      <c r="A1517" s="64"/>
      <c r="B1517" s="73" t="s">
        <v>2907</v>
      </c>
      <c r="C1517" s="66" t="s">
        <v>2908</v>
      </c>
      <c r="D1517" s="67">
        <v>0.3913</v>
      </c>
      <c r="E1517" s="68"/>
      <c r="F1517" s="69">
        <v>1.4</v>
      </c>
      <c r="G1517" s="70"/>
      <c r="H1517" s="71">
        <v>0.9</v>
      </c>
      <c r="I1517" s="71">
        <v>0</v>
      </c>
      <c r="J1517" s="71">
        <v>0</v>
      </c>
    </row>
    <row r="1518" customFormat="1" ht="12.75" hidden="1" spans="1:10">
      <c r="A1518" s="64"/>
      <c r="B1518" s="73" t="s">
        <v>2909</v>
      </c>
      <c r="C1518" s="66" t="s">
        <v>2910</v>
      </c>
      <c r="D1518" s="67">
        <v>1.5652</v>
      </c>
      <c r="E1518" s="68"/>
      <c r="F1518" s="69">
        <v>5.8</v>
      </c>
      <c r="G1518" s="70"/>
      <c r="H1518" s="71">
        <v>3.6</v>
      </c>
      <c r="I1518" s="71">
        <v>0</v>
      </c>
      <c r="J1518" s="71">
        <v>0</v>
      </c>
    </row>
    <row r="1519" customFormat="1" ht="12.75" hidden="1" spans="1:10">
      <c r="A1519" s="64"/>
      <c r="B1519" s="73" t="s">
        <v>2911</v>
      </c>
      <c r="C1519" s="66" t="s">
        <v>2912</v>
      </c>
      <c r="D1519" s="67">
        <v>0.0435</v>
      </c>
      <c r="E1519" s="68"/>
      <c r="F1519" s="69">
        <v>0.25</v>
      </c>
      <c r="G1519" s="70"/>
      <c r="H1519" s="71">
        <v>0.1</v>
      </c>
      <c r="I1519" s="71">
        <v>0</v>
      </c>
      <c r="J1519" s="71">
        <v>0</v>
      </c>
    </row>
    <row r="1520" customFormat="1" ht="12.75" hidden="1" spans="1:10">
      <c r="A1520" s="64"/>
      <c r="B1520" s="73" t="s">
        <v>2913</v>
      </c>
      <c r="C1520" s="66" t="s">
        <v>2914</v>
      </c>
      <c r="D1520" s="67">
        <v>1.2174</v>
      </c>
      <c r="E1520" s="68"/>
      <c r="F1520" s="69">
        <v>4.5</v>
      </c>
      <c r="G1520" s="70"/>
      <c r="H1520" s="71">
        <v>2.8</v>
      </c>
      <c r="I1520" s="71">
        <v>0</v>
      </c>
      <c r="J1520" s="71">
        <v>0</v>
      </c>
    </row>
    <row r="1521" customFormat="1" ht="12.75" hidden="1" spans="1:10">
      <c r="A1521" s="64"/>
      <c r="B1521" s="73" t="s">
        <v>2915</v>
      </c>
      <c r="C1521" s="66" t="s">
        <v>2916</v>
      </c>
      <c r="D1521" s="67">
        <v>0.087</v>
      </c>
      <c r="E1521" s="68"/>
      <c r="F1521" s="69">
        <v>0.5</v>
      </c>
      <c r="G1521" s="70"/>
      <c r="H1521" s="71">
        <v>0.2</v>
      </c>
      <c r="I1521" s="71">
        <v>0</v>
      </c>
      <c r="J1521" s="71">
        <v>0</v>
      </c>
    </row>
    <row r="1522" customFormat="1" ht="12.75" hidden="1" spans="1:10">
      <c r="A1522" s="64"/>
      <c r="B1522" s="73" t="s">
        <v>2917</v>
      </c>
      <c r="C1522" s="66" t="s">
        <v>2918</v>
      </c>
      <c r="D1522" s="67">
        <v>0.5652</v>
      </c>
      <c r="E1522" s="68"/>
      <c r="F1522" s="69">
        <v>2</v>
      </c>
      <c r="G1522" s="70"/>
      <c r="H1522" s="71">
        <v>1.3</v>
      </c>
      <c r="I1522" s="71">
        <v>0</v>
      </c>
      <c r="J1522" s="71">
        <v>0</v>
      </c>
    </row>
    <row r="1523" customFormat="1" ht="12.75" hidden="1" spans="1:10">
      <c r="A1523" s="64"/>
      <c r="B1523" s="73" t="s">
        <v>2919</v>
      </c>
      <c r="C1523" s="66" t="s">
        <v>2920</v>
      </c>
      <c r="D1523" s="67">
        <v>0.5652</v>
      </c>
      <c r="E1523" s="68"/>
      <c r="F1523" s="69">
        <v>2</v>
      </c>
      <c r="G1523" s="70"/>
      <c r="H1523" s="71">
        <v>1.3</v>
      </c>
      <c r="I1523" s="71">
        <v>0</v>
      </c>
      <c r="J1523" s="71">
        <v>0</v>
      </c>
    </row>
    <row r="1524" customFormat="1" ht="12.75" hidden="1" spans="1:10">
      <c r="A1524" s="64"/>
      <c r="B1524" s="73" t="s">
        <v>2921</v>
      </c>
      <c r="C1524" s="66" t="s">
        <v>2922</v>
      </c>
      <c r="D1524" s="67">
        <v>0.5652</v>
      </c>
      <c r="E1524" s="68"/>
      <c r="F1524" s="69">
        <v>2</v>
      </c>
      <c r="G1524" s="70"/>
      <c r="H1524" s="71">
        <v>1.3</v>
      </c>
      <c r="I1524" s="71">
        <v>0</v>
      </c>
      <c r="J1524" s="71">
        <v>0</v>
      </c>
    </row>
    <row r="1525" customFormat="1" ht="12.75" hidden="1" spans="1:10">
      <c r="A1525" s="64"/>
      <c r="B1525" s="73" t="s">
        <v>2923</v>
      </c>
      <c r="C1525" s="66" t="s">
        <v>2924</v>
      </c>
      <c r="D1525" s="67">
        <v>1.2174</v>
      </c>
      <c r="E1525" s="68"/>
      <c r="F1525" s="69">
        <v>3</v>
      </c>
      <c r="G1525" s="70"/>
      <c r="H1525" s="71">
        <v>2.8</v>
      </c>
      <c r="I1525" s="71">
        <v>0</v>
      </c>
      <c r="J1525" s="71">
        <v>0</v>
      </c>
    </row>
    <row r="1526" customFormat="1" ht="12.75" hidden="1" spans="1:10">
      <c r="A1526" s="64"/>
      <c r="B1526" s="73" t="s">
        <v>2925</v>
      </c>
      <c r="C1526" s="66" t="s">
        <v>2926</v>
      </c>
      <c r="D1526" s="67">
        <v>1.2174</v>
      </c>
      <c r="E1526" s="68"/>
      <c r="F1526" s="69">
        <v>4.5</v>
      </c>
      <c r="G1526" s="70"/>
      <c r="H1526" s="71">
        <v>2.8</v>
      </c>
      <c r="I1526" s="71">
        <v>0</v>
      </c>
      <c r="J1526" s="71">
        <v>0</v>
      </c>
    </row>
    <row r="1527" customFormat="1" ht="12.75" hidden="1" spans="1:10">
      <c r="A1527" s="64"/>
      <c r="B1527" s="73" t="s">
        <v>2927</v>
      </c>
      <c r="C1527" s="66" t="s">
        <v>2928</v>
      </c>
      <c r="D1527" s="67">
        <v>0.5652</v>
      </c>
      <c r="E1527" s="68"/>
      <c r="F1527" s="69">
        <v>2</v>
      </c>
      <c r="G1527" s="70"/>
      <c r="H1527" s="71">
        <v>1.3</v>
      </c>
      <c r="I1527" s="71">
        <v>0</v>
      </c>
      <c r="J1527" s="71">
        <v>0</v>
      </c>
    </row>
    <row r="1528" customFormat="1" ht="12.75" hidden="1" spans="1:10">
      <c r="A1528" s="64"/>
      <c r="B1528" s="73" t="s">
        <v>2929</v>
      </c>
      <c r="C1528" s="66" t="s">
        <v>2930</v>
      </c>
      <c r="D1528" s="67">
        <v>0.5652</v>
      </c>
      <c r="E1528" s="68"/>
      <c r="F1528" s="69">
        <v>2</v>
      </c>
      <c r="G1528" s="70"/>
      <c r="H1528" s="71">
        <v>1.3</v>
      </c>
      <c r="I1528" s="71">
        <v>0</v>
      </c>
      <c r="J1528" s="71">
        <v>0</v>
      </c>
    </row>
    <row r="1529" customFormat="1" ht="25.5" hidden="1" spans="1:10">
      <c r="A1529" s="64"/>
      <c r="B1529" s="73" t="s">
        <v>2931</v>
      </c>
      <c r="C1529" s="66" t="s">
        <v>2932</v>
      </c>
      <c r="D1529" s="67">
        <v>0.5652</v>
      </c>
      <c r="E1529" s="68"/>
      <c r="F1529" s="69">
        <v>2</v>
      </c>
      <c r="G1529" s="70"/>
      <c r="H1529" s="71">
        <v>1.3</v>
      </c>
      <c r="I1529" s="71">
        <v>0</v>
      </c>
      <c r="J1529" s="71">
        <v>0</v>
      </c>
    </row>
    <row r="1530" customFormat="1" ht="12.75" hidden="1" spans="1:10">
      <c r="A1530" s="64"/>
      <c r="B1530" s="73" t="s">
        <v>2933</v>
      </c>
      <c r="C1530" s="66" t="s">
        <v>2934</v>
      </c>
      <c r="D1530" s="67">
        <v>0.5652</v>
      </c>
      <c r="E1530" s="68"/>
      <c r="F1530" s="69">
        <v>2</v>
      </c>
      <c r="G1530" s="70"/>
      <c r="H1530" s="71">
        <v>1.3</v>
      </c>
      <c r="I1530" s="71">
        <v>0</v>
      </c>
      <c r="J1530" s="71">
        <v>0</v>
      </c>
    </row>
    <row r="1531" customFormat="1" ht="25.5" hidden="1" spans="1:10">
      <c r="A1531" s="64"/>
      <c r="B1531" s="73" t="s">
        <v>2935</v>
      </c>
      <c r="C1531" s="66" t="s">
        <v>2936</v>
      </c>
      <c r="D1531" s="67">
        <v>0.5652</v>
      </c>
      <c r="E1531" s="68"/>
      <c r="F1531" s="69">
        <v>2</v>
      </c>
      <c r="G1531" s="70"/>
      <c r="H1531" s="71">
        <v>1.3</v>
      </c>
      <c r="I1531" s="71">
        <v>0</v>
      </c>
      <c r="J1531" s="71">
        <v>0</v>
      </c>
    </row>
    <row r="1532" customFormat="1" ht="12.75" hidden="1" spans="1:10">
      <c r="A1532" s="64"/>
      <c r="B1532" s="73" t="s">
        <v>2937</v>
      </c>
      <c r="C1532" s="66" t="s">
        <v>2938</v>
      </c>
      <c r="D1532" s="67">
        <v>1.4348</v>
      </c>
      <c r="E1532" s="68"/>
      <c r="F1532" s="69">
        <v>5.3</v>
      </c>
      <c r="G1532" s="70"/>
      <c r="H1532" s="71">
        <v>3.3</v>
      </c>
      <c r="I1532" s="71">
        <v>0</v>
      </c>
      <c r="J1532" s="71">
        <v>0</v>
      </c>
    </row>
    <row r="1533" customFormat="1" ht="25.5" hidden="1" spans="1:10">
      <c r="A1533" s="64"/>
      <c r="B1533" s="73" t="s">
        <v>2939</v>
      </c>
      <c r="C1533" s="66" t="s">
        <v>2940</v>
      </c>
      <c r="D1533" s="67">
        <v>1.2174</v>
      </c>
      <c r="E1533" s="68"/>
      <c r="F1533" s="69">
        <v>4.5</v>
      </c>
      <c r="G1533" s="70"/>
      <c r="H1533" s="71">
        <v>2.8</v>
      </c>
      <c r="I1533" s="71">
        <v>0</v>
      </c>
      <c r="J1533" s="71">
        <v>0</v>
      </c>
    </row>
    <row r="1534" customFormat="1" ht="12.75" hidden="1" spans="1:10">
      <c r="A1534" s="64"/>
      <c r="B1534" s="73" t="s">
        <v>2941</v>
      </c>
      <c r="C1534" s="66" t="s">
        <v>2942</v>
      </c>
      <c r="D1534" s="67">
        <v>1.4348</v>
      </c>
      <c r="E1534" s="68"/>
      <c r="F1534" s="69">
        <v>5.3</v>
      </c>
      <c r="G1534" s="70"/>
      <c r="H1534" s="71">
        <v>3.3</v>
      </c>
      <c r="I1534" s="71">
        <v>0</v>
      </c>
      <c r="J1534" s="71">
        <v>0</v>
      </c>
    </row>
    <row r="1535" customFormat="1" ht="12.75" hidden="1" spans="1:10">
      <c r="A1535" s="64"/>
      <c r="B1535" s="73" t="s">
        <v>2943</v>
      </c>
      <c r="C1535" s="66" t="s">
        <v>2944</v>
      </c>
      <c r="D1535" s="67">
        <v>1.2174</v>
      </c>
      <c r="E1535" s="68"/>
      <c r="F1535" s="69">
        <v>4.5</v>
      </c>
      <c r="G1535" s="70"/>
      <c r="H1535" s="71">
        <v>2.8</v>
      </c>
      <c r="I1535" s="71">
        <v>0</v>
      </c>
      <c r="J1535" s="71">
        <v>0</v>
      </c>
    </row>
    <row r="1536" customFormat="1" ht="12.75" hidden="1" spans="1:10">
      <c r="A1536" s="64"/>
      <c r="B1536" s="73" t="s">
        <v>2945</v>
      </c>
      <c r="C1536" s="66" t="s">
        <v>2946</v>
      </c>
      <c r="D1536" s="67">
        <v>1.4348</v>
      </c>
      <c r="E1536" s="68"/>
      <c r="F1536" s="69">
        <v>5</v>
      </c>
      <c r="G1536" s="70"/>
      <c r="H1536" s="71">
        <v>3.3</v>
      </c>
      <c r="I1536" s="71">
        <v>0</v>
      </c>
      <c r="J1536" s="71">
        <v>0</v>
      </c>
    </row>
    <row r="1537" customFormat="1" ht="12.75" hidden="1" spans="1:10">
      <c r="A1537" s="64"/>
      <c r="B1537" s="73" t="s">
        <v>2947</v>
      </c>
      <c r="C1537" s="66" t="s">
        <v>2948</v>
      </c>
      <c r="D1537" s="67">
        <v>2.2609</v>
      </c>
      <c r="E1537" s="68"/>
      <c r="F1537" s="69">
        <v>8.4</v>
      </c>
      <c r="G1537" s="70"/>
      <c r="H1537" s="71">
        <v>5.2</v>
      </c>
      <c r="I1537" s="71">
        <v>0</v>
      </c>
      <c r="J1537" s="71">
        <v>0</v>
      </c>
    </row>
    <row r="1538" customFormat="1" ht="12.75" hidden="1" spans="1:10">
      <c r="A1538" s="64"/>
      <c r="B1538" s="73" t="s">
        <v>2949</v>
      </c>
      <c r="C1538" s="66" t="s">
        <v>2950</v>
      </c>
      <c r="D1538" s="67">
        <v>0.2174</v>
      </c>
      <c r="E1538" s="68"/>
      <c r="F1538" s="69">
        <v>1</v>
      </c>
      <c r="G1538" s="70"/>
      <c r="H1538" s="71">
        <v>0.5</v>
      </c>
      <c r="I1538" s="71">
        <v>0</v>
      </c>
      <c r="J1538" s="71">
        <v>0</v>
      </c>
    </row>
    <row r="1539" customFormat="1" ht="12.75" hidden="1" spans="1:10">
      <c r="A1539" s="64"/>
      <c r="B1539" s="73" t="s">
        <v>2951</v>
      </c>
      <c r="C1539" s="66" t="s">
        <v>2952</v>
      </c>
      <c r="D1539" s="67">
        <v>1.8261</v>
      </c>
      <c r="E1539" s="68"/>
      <c r="F1539" s="69">
        <v>6.6</v>
      </c>
      <c r="G1539" s="70"/>
      <c r="H1539" s="71">
        <v>4.2</v>
      </c>
      <c r="I1539" s="71">
        <v>0</v>
      </c>
      <c r="J1539" s="71">
        <v>0</v>
      </c>
    </row>
    <row r="1540" customFormat="1" ht="12.75" hidden="1" spans="1:10">
      <c r="A1540" s="64"/>
      <c r="B1540" s="73" t="s">
        <v>2953</v>
      </c>
      <c r="C1540" s="66" t="s">
        <v>2954</v>
      </c>
      <c r="D1540" s="67">
        <v>0.4348</v>
      </c>
      <c r="E1540" s="68"/>
      <c r="F1540" s="69">
        <v>1.7</v>
      </c>
      <c r="G1540" s="70"/>
      <c r="H1540" s="71">
        <v>1</v>
      </c>
      <c r="I1540" s="71">
        <v>0</v>
      </c>
      <c r="J1540" s="71">
        <v>0</v>
      </c>
    </row>
    <row r="1541" customFormat="1" ht="12.75" hidden="1" spans="1:10">
      <c r="A1541" s="64"/>
      <c r="B1541" s="73" t="s">
        <v>2955</v>
      </c>
      <c r="C1541" s="66" t="s">
        <v>2956</v>
      </c>
      <c r="D1541" s="67">
        <v>0.3043</v>
      </c>
      <c r="E1541" s="68"/>
      <c r="F1541" s="69">
        <v>1.1</v>
      </c>
      <c r="G1541" s="70"/>
      <c r="H1541" s="71">
        <v>0.7</v>
      </c>
      <c r="I1541" s="71">
        <v>0</v>
      </c>
      <c r="J1541" s="71">
        <v>0</v>
      </c>
    </row>
    <row r="1542" customFormat="1" ht="12.75" hidden="1" spans="1:10">
      <c r="A1542" s="74"/>
      <c r="B1542" s="65">
        <v>6259201903267</v>
      </c>
      <c r="C1542" s="66" t="s">
        <v>2957</v>
      </c>
      <c r="D1542" s="67">
        <v>0.2174</v>
      </c>
      <c r="E1542" s="68"/>
      <c r="F1542" s="69">
        <v>1</v>
      </c>
      <c r="G1542" s="70"/>
      <c r="H1542" s="71">
        <v>0.5</v>
      </c>
      <c r="I1542" s="71">
        <v>0</v>
      </c>
      <c r="J1542" s="71">
        <v>0</v>
      </c>
    </row>
    <row r="1543" customFormat="1" ht="12.75" hidden="1" spans="1:10">
      <c r="A1543" s="75"/>
      <c r="B1543" s="65">
        <v>6951823200051</v>
      </c>
      <c r="C1543" s="66" t="s">
        <v>2957</v>
      </c>
      <c r="D1543" s="67">
        <v>0.2174</v>
      </c>
      <c r="E1543" s="68"/>
      <c r="F1543" s="69">
        <v>0.8</v>
      </c>
      <c r="G1543" s="70"/>
      <c r="H1543" s="71">
        <v>0.5</v>
      </c>
      <c r="I1543" s="71">
        <v>0</v>
      </c>
      <c r="J1543" s="71">
        <v>0</v>
      </c>
    </row>
    <row r="1544" customFormat="1" ht="12.75" hidden="1" spans="1:10">
      <c r="A1544" s="64"/>
      <c r="B1544" s="65">
        <v>6259201903274</v>
      </c>
      <c r="C1544" s="66" t="s">
        <v>2958</v>
      </c>
      <c r="D1544" s="67">
        <v>0.2174</v>
      </c>
      <c r="E1544" s="68"/>
      <c r="F1544" s="69">
        <v>1</v>
      </c>
      <c r="G1544" s="70"/>
      <c r="H1544" s="71">
        <v>0.5</v>
      </c>
      <c r="I1544" s="71">
        <v>0</v>
      </c>
      <c r="J1544" s="71">
        <v>0</v>
      </c>
    </row>
    <row r="1545" customFormat="1" ht="12.75" hidden="1" spans="1:10">
      <c r="A1545" s="64"/>
      <c r="B1545" s="73" t="s">
        <v>2959</v>
      </c>
      <c r="C1545" s="66" t="s">
        <v>2960</v>
      </c>
      <c r="D1545" s="67">
        <v>0.2174</v>
      </c>
      <c r="E1545" s="68"/>
      <c r="F1545" s="69">
        <v>1</v>
      </c>
      <c r="G1545" s="70"/>
      <c r="H1545" s="71">
        <v>0.5</v>
      </c>
      <c r="I1545" s="71">
        <v>0</v>
      </c>
      <c r="J1545" s="71">
        <v>0</v>
      </c>
    </row>
    <row r="1546" customFormat="1" ht="12.75" hidden="1" spans="1:10">
      <c r="A1546" s="64"/>
      <c r="B1546" s="73" t="s">
        <v>2961</v>
      </c>
      <c r="C1546" s="66" t="s">
        <v>2962</v>
      </c>
      <c r="D1546" s="67">
        <v>0.2174</v>
      </c>
      <c r="E1546" s="68"/>
      <c r="F1546" s="69">
        <v>1</v>
      </c>
      <c r="G1546" s="70"/>
      <c r="H1546" s="71">
        <v>0.5</v>
      </c>
      <c r="I1546" s="71">
        <v>0</v>
      </c>
      <c r="J1546" s="71">
        <v>0</v>
      </c>
    </row>
    <row r="1547" customFormat="1" ht="12.75" hidden="1" spans="1:10">
      <c r="A1547" s="64"/>
      <c r="B1547" s="73" t="s">
        <v>2963</v>
      </c>
      <c r="C1547" s="66" t="s">
        <v>2964</v>
      </c>
      <c r="D1547" s="67">
        <v>0.2174</v>
      </c>
      <c r="E1547" s="68"/>
      <c r="F1547" s="69">
        <v>1</v>
      </c>
      <c r="G1547" s="70"/>
      <c r="H1547" s="71">
        <v>0.5</v>
      </c>
      <c r="I1547" s="71">
        <v>0</v>
      </c>
      <c r="J1547" s="71">
        <v>0</v>
      </c>
    </row>
    <row r="1548" customFormat="1" ht="12.75" hidden="1" spans="1:10">
      <c r="A1548" s="64"/>
      <c r="B1548" s="73" t="s">
        <v>2965</v>
      </c>
      <c r="C1548" s="66" t="s">
        <v>2966</v>
      </c>
      <c r="D1548" s="67">
        <v>0.2174</v>
      </c>
      <c r="E1548" s="68"/>
      <c r="F1548" s="69">
        <v>1</v>
      </c>
      <c r="G1548" s="70"/>
      <c r="H1548" s="71">
        <v>0.5</v>
      </c>
      <c r="I1548" s="71">
        <v>0</v>
      </c>
      <c r="J1548" s="71">
        <v>0</v>
      </c>
    </row>
    <row r="1549" customFormat="1" ht="12.75" hidden="1" spans="1:10">
      <c r="A1549" s="64"/>
      <c r="B1549" s="73" t="s">
        <v>2967</v>
      </c>
      <c r="C1549" s="66" t="s">
        <v>2968</v>
      </c>
      <c r="D1549" s="67">
        <v>0.2609</v>
      </c>
      <c r="E1549" s="68"/>
      <c r="F1549" s="69">
        <v>1</v>
      </c>
      <c r="G1549" s="70"/>
      <c r="H1549" s="71">
        <v>0.6</v>
      </c>
      <c r="I1549" s="71">
        <v>0</v>
      </c>
      <c r="J1549" s="71">
        <v>0</v>
      </c>
    </row>
    <row r="1550" customFormat="1" ht="12.75" hidden="1" spans="1:10">
      <c r="A1550" s="64"/>
      <c r="B1550" s="65">
        <v>5541223456922</v>
      </c>
      <c r="C1550" s="66" t="s">
        <v>2969</v>
      </c>
      <c r="D1550" s="67">
        <v>0.3913</v>
      </c>
      <c r="E1550" s="68"/>
      <c r="F1550" s="69">
        <v>1.4</v>
      </c>
      <c r="G1550" s="70"/>
      <c r="H1550" s="71">
        <v>0.9</v>
      </c>
      <c r="I1550" s="71">
        <v>0</v>
      </c>
      <c r="J1550" s="71">
        <v>0</v>
      </c>
    </row>
    <row r="1551" customFormat="1" ht="12.75" hidden="1" spans="1:10">
      <c r="A1551" s="64"/>
      <c r="B1551" s="73" t="s">
        <v>2970</v>
      </c>
      <c r="C1551" s="66" t="s">
        <v>2971</v>
      </c>
      <c r="D1551" s="67">
        <v>0.3478</v>
      </c>
      <c r="E1551" s="68"/>
      <c r="F1551" s="69">
        <v>1.4</v>
      </c>
      <c r="G1551" s="70"/>
      <c r="H1551" s="71">
        <v>0.8</v>
      </c>
      <c r="I1551" s="71">
        <v>0</v>
      </c>
      <c r="J1551" s="71">
        <v>0</v>
      </c>
    </row>
    <row r="1552" customFormat="1" ht="12.75" hidden="1" spans="1:10">
      <c r="A1552" s="64"/>
      <c r="B1552" s="73" t="s">
        <v>2972</v>
      </c>
      <c r="C1552" s="66" t="s">
        <v>2973</v>
      </c>
      <c r="D1552" s="67">
        <v>0.3913</v>
      </c>
      <c r="E1552" s="68"/>
      <c r="F1552" s="69">
        <v>1.4</v>
      </c>
      <c r="G1552" s="70"/>
      <c r="H1552" s="71">
        <v>0.9</v>
      </c>
      <c r="I1552" s="71">
        <v>0</v>
      </c>
      <c r="J1552" s="71">
        <v>0</v>
      </c>
    </row>
    <row r="1553" customFormat="1" ht="12.75" hidden="1" spans="1:10">
      <c r="A1553" s="64"/>
      <c r="B1553" s="73" t="s">
        <v>2974</v>
      </c>
      <c r="C1553" s="66" t="s">
        <v>2975</v>
      </c>
      <c r="D1553" s="67">
        <v>0.3478</v>
      </c>
      <c r="E1553" s="68"/>
      <c r="F1553" s="69">
        <v>1.2</v>
      </c>
      <c r="G1553" s="70"/>
      <c r="H1553" s="71">
        <v>0.8</v>
      </c>
      <c r="I1553" s="71">
        <v>0</v>
      </c>
      <c r="J1553" s="71">
        <v>0</v>
      </c>
    </row>
    <row r="1554" customFormat="1" ht="12.75" hidden="1" spans="1:10">
      <c r="A1554" s="64"/>
      <c r="B1554" s="73" t="s">
        <v>2976</v>
      </c>
      <c r="C1554" s="66" t="s">
        <v>2977</v>
      </c>
      <c r="D1554" s="67">
        <v>0.3043</v>
      </c>
      <c r="E1554" s="68"/>
      <c r="F1554" s="69">
        <v>1.1</v>
      </c>
      <c r="G1554" s="70"/>
      <c r="H1554" s="71">
        <v>0.7</v>
      </c>
      <c r="I1554" s="71">
        <v>0</v>
      </c>
      <c r="J1554" s="71">
        <v>0</v>
      </c>
    </row>
    <row r="1555" customFormat="1" ht="12.75" hidden="1" spans="1:10">
      <c r="A1555" s="64"/>
      <c r="B1555" s="73" t="s">
        <v>2978</v>
      </c>
      <c r="C1555" s="66" t="s">
        <v>2979</v>
      </c>
      <c r="D1555" s="67">
        <v>0.3043</v>
      </c>
      <c r="E1555" s="68"/>
      <c r="F1555" s="69">
        <v>1</v>
      </c>
      <c r="G1555" s="70"/>
      <c r="H1555" s="71">
        <v>0.7</v>
      </c>
      <c r="I1555" s="71">
        <v>0</v>
      </c>
      <c r="J1555" s="71">
        <v>0</v>
      </c>
    </row>
    <row r="1556" customFormat="1" ht="12.75" hidden="1" spans="1:10">
      <c r="A1556" s="64"/>
      <c r="B1556" s="73" t="s">
        <v>2980</v>
      </c>
      <c r="C1556" s="66" t="s">
        <v>2981</v>
      </c>
      <c r="D1556" s="67">
        <v>0.2609</v>
      </c>
      <c r="E1556" s="68"/>
      <c r="F1556" s="69">
        <v>1</v>
      </c>
      <c r="G1556" s="70"/>
      <c r="H1556" s="71">
        <v>0.6</v>
      </c>
      <c r="I1556" s="71">
        <v>0</v>
      </c>
      <c r="J1556" s="71">
        <v>0</v>
      </c>
    </row>
    <row r="1557" customFormat="1" ht="12.75" hidden="1" spans="1:10">
      <c r="A1557" s="64"/>
      <c r="B1557" s="73" t="s">
        <v>2982</v>
      </c>
      <c r="C1557" s="66" t="s">
        <v>2983</v>
      </c>
      <c r="D1557" s="67">
        <v>0.2174</v>
      </c>
      <c r="E1557" s="68"/>
      <c r="F1557" s="69">
        <v>1</v>
      </c>
      <c r="G1557" s="70"/>
      <c r="H1557" s="71">
        <v>0.5</v>
      </c>
      <c r="I1557" s="71">
        <v>0</v>
      </c>
      <c r="J1557" s="71">
        <v>0</v>
      </c>
    </row>
    <row r="1558" customFormat="1" ht="12.75" hidden="1" spans="1:10">
      <c r="A1558" s="64"/>
      <c r="B1558" s="73" t="s">
        <v>2984</v>
      </c>
      <c r="C1558" s="66" t="s">
        <v>2985</v>
      </c>
      <c r="D1558" s="67">
        <v>1</v>
      </c>
      <c r="E1558" s="68"/>
      <c r="F1558" s="69">
        <v>4</v>
      </c>
      <c r="G1558" s="70"/>
      <c r="H1558" s="71">
        <v>2.3</v>
      </c>
      <c r="I1558" s="71">
        <v>0</v>
      </c>
      <c r="J1558" s="71">
        <v>0</v>
      </c>
    </row>
    <row r="1559" customFormat="1" ht="12.75" hidden="1" spans="1:10">
      <c r="A1559" s="64"/>
      <c r="B1559" s="73" t="s">
        <v>2986</v>
      </c>
      <c r="C1559" s="66" t="s">
        <v>2987</v>
      </c>
      <c r="D1559" s="67">
        <v>0.9565</v>
      </c>
      <c r="E1559" s="68"/>
      <c r="F1559" s="69">
        <v>3.5</v>
      </c>
      <c r="G1559" s="70"/>
      <c r="H1559" s="71">
        <v>2.2</v>
      </c>
      <c r="I1559" s="71">
        <v>0</v>
      </c>
      <c r="J1559" s="71">
        <v>0</v>
      </c>
    </row>
    <row r="1560" customFormat="1" ht="12.75" hidden="1" spans="1:10">
      <c r="A1560" s="64"/>
      <c r="B1560" s="73" t="s">
        <v>2988</v>
      </c>
      <c r="C1560" s="66" t="s">
        <v>2989</v>
      </c>
      <c r="D1560" s="67">
        <v>0.8696</v>
      </c>
      <c r="E1560" s="68"/>
      <c r="F1560" s="69">
        <v>3</v>
      </c>
      <c r="G1560" s="70"/>
      <c r="H1560" s="71">
        <v>2</v>
      </c>
      <c r="I1560" s="71">
        <v>0</v>
      </c>
      <c r="J1560" s="71">
        <v>0</v>
      </c>
    </row>
    <row r="1561" customFormat="1" ht="12.75" hidden="1" spans="1:10">
      <c r="A1561" s="64"/>
      <c r="B1561" s="73" t="s">
        <v>2990</v>
      </c>
      <c r="C1561" s="66" t="s">
        <v>2991</v>
      </c>
      <c r="D1561" s="67">
        <v>0.913</v>
      </c>
      <c r="E1561" s="68"/>
      <c r="F1561" s="69">
        <v>3.5</v>
      </c>
      <c r="G1561" s="70"/>
      <c r="H1561" s="71">
        <v>2.1</v>
      </c>
      <c r="I1561" s="71">
        <v>0</v>
      </c>
      <c r="J1561" s="71">
        <v>0</v>
      </c>
    </row>
    <row r="1562" customFormat="1" ht="12.75" hidden="1" spans="1:10">
      <c r="A1562" s="64"/>
      <c r="B1562" s="73" t="s">
        <v>2992</v>
      </c>
      <c r="C1562" s="66" t="s">
        <v>2993</v>
      </c>
      <c r="D1562" s="67">
        <v>1.7391</v>
      </c>
      <c r="E1562" s="68"/>
      <c r="F1562" s="69">
        <v>0</v>
      </c>
      <c r="G1562" s="70"/>
      <c r="H1562" s="71">
        <v>0</v>
      </c>
      <c r="I1562" s="71">
        <v>4</v>
      </c>
      <c r="J1562" s="71">
        <v>2.5</v>
      </c>
    </row>
    <row r="1563" customFormat="1" ht="12.75" hidden="1" spans="1:10">
      <c r="A1563" s="64"/>
      <c r="B1563" s="73" t="s">
        <v>2994</v>
      </c>
      <c r="C1563" s="66" t="s">
        <v>2995</v>
      </c>
      <c r="D1563" s="67">
        <v>0.913</v>
      </c>
      <c r="E1563" s="68"/>
      <c r="F1563" s="69">
        <v>4</v>
      </c>
      <c r="G1563" s="70"/>
      <c r="H1563" s="71">
        <v>0</v>
      </c>
      <c r="I1563" s="71">
        <v>0</v>
      </c>
      <c r="J1563" s="71">
        <v>0</v>
      </c>
    </row>
    <row r="1564" customFormat="1" ht="12.75" hidden="1" spans="1:10">
      <c r="A1564" s="64"/>
      <c r="B1564" s="73" t="s">
        <v>2996</v>
      </c>
      <c r="C1564" s="66" t="s">
        <v>2997</v>
      </c>
      <c r="D1564" s="67">
        <v>1.7391</v>
      </c>
      <c r="E1564" s="68"/>
      <c r="F1564" s="69">
        <v>0</v>
      </c>
      <c r="G1564" s="70"/>
      <c r="H1564" s="71">
        <v>0</v>
      </c>
      <c r="I1564" s="71">
        <v>4</v>
      </c>
      <c r="J1564" s="71">
        <v>2.5</v>
      </c>
    </row>
    <row r="1565" customFormat="1" ht="12.75" hidden="1" spans="1:10">
      <c r="A1565" s="64"/>
      <c r="B1565" s="73" t="s">
        <v>2998</v>
      </c>
      <c r="C1565" s="66" t="s">
        <v>2999</v>
      </c>
      <c r="D1565" s="67">
        <v>1.0435</v>
      </c>
      <c r="E1565" s="68"/>
      <c r="F1565" s="69">
        <v>4</v>
      </c>
      <c r="G1565" s="70"/>
      <c r="H1565" s="71">
        <v>2.4</v>
      </c>
      <c r="I1565" s="71">
        <v>0</v>
      </c>
      <c r="J1565" s="71">
        <v>0</v>
      </c>
    </row>
    <row r="1566" customFormat="1" ht="12.75" hidden="1" spans="1:10">
      <c r="A1566" s="64"/>
      <c r="B1566" s="73" t="s">
        <v>3000</v>
      </c>
      <c r="C1566" s="66" t="s">
        <v>3001</v>
      </c>
      <c r="D1566" s="67">
        <v>0.7826</v>
      </c>
      <c r="E1566" s="68"/>
      <c r="F1566" s="69">
        <v>2.5</v>
      </c>
      <c r="G1566" s="70"/>
      <c r="H1566" s="71">
        <v>1.8</v>
      </c>
      <c r="I1566" s="71">
        <v>0</v>
      </c>
      <c r="J1566" s="71">
        <v>0</v>
      </c>
    </row>
    <row r="1567" customFormat="1" ht="12.75" hidden="1" spans="1:10">
      <c r="A1567" s="74"/>
      <c r="B1567" s="73" t="s">
        <v>3002</v>
      </c>
      <c r="C1567" s="66" t="s">
        <v>3003</v>
      </c>
      <c r="D1567" s="67">
        <v>0.6522</v>
      </c>
      <c r="E1567" s="68"/>
      <c r="F1567" s="69">
        <v>2</v>
      </c>
      <c r="G1567" s="70"/>
      <c r="H1567" s="71">
        <v>1.5</v>
      </c>
      <c r="I1567" s="71">
        <v>0</v>
      </c>
      <c r="J1567" s="71">
        <v>0</v>
      </c>
    </row>
    <row r="1568" customFormat="1" ht="12.75" hidden="1" spans="1:10">
      <c r="A1568" s="84"/>
      <c r="B1568" s="73" t="s">
        <v>3004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  <c r="I1568" s="71">
        <v>0</v>
      </c>
      <c r="J1568" s="71">
        <v>0</v>
      </c>
    </row>
    <row r="1569" customFormat="1" ht="12.75" hidden="1" spans="1:10">
      <c r="A1569" s="84"/>
      <c r="B1569" s="73" t="s">
        <v>3005</v>
      </c>
      <c r="C1569" s="66" t="s">
        <v>3003</v>
      </c>
      <c r="D1569" s="67">
        <v>0.2174</v>
      </c>
      <c r="E1569" s="68"/>
      <c r="F1569" s="69">
        <v>1</v>
      </c>
      <c r="G1569" s="70"/>
      <c r="H1569" s="71">
        <v>0.5</v>
      </c>
      <c r="I1569" s="71">
        <v>0</v>
      </c>
      <c r="J1569" s="71">
        <v>0</v>
      </c>
    </row>
    <row r="1570" customFormat="1" ht="12.75" hidden="1" spans="1:10">
      <c r="A1570" s="84"/>
      <c r="B1570" s="73" t="s">
        <v>3006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  <c r="I1570" s="71">
        <v>0</v>
      </c>
      <c r="J1570" s="71">
        <v>0</v>
      </c>
    </row>
    <row r="1571" customFormat="1" ht="12.75" hidden="1" spans="1:10">
      <c r="A1571" s="84"/>
      <c r="B1571" s="73" t="s">
        <v>3007</v>
      </c>
      <c r="C1571" s="66" t="s">
        <v>3003</v>
      </c>
      <c r="D1571" s="67">
        <v>0.6522</v>
      </c>
      <c r="E1571" s="68"/>
      <c r="F1571" s="69">
        <v>2</v>
      </c>
      <c r="G1571" s="70"/>
      <c r="H1571" s="71">
        <v>1.5</v>
      </c>
      <c r="I1571" s="71">
        <v>0</v>
      </c>
      <c r="J1571" s="71">
        <v>0</v>
      </c>
    </row>
    <row r="1572" customFormat="1" ht="12.75" hidden="1" spans="1:10">
      <c r="A1572" s="84"/>
      <c r="B1572" s="73" t="s">
        <v>3008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  <c r="I1572" s="71">
        <v>0</v>
      </c>
      <c r="J1572" s="71">
        <v>0</v>
      </c>
    </row>
    <row r="1573" customFormat="1" ht="12.75" hidden="1" spans="1:10">
      <c r="A1573" s="84"/>
      <c r="B1573" s="73" t="s">
        <v>3009</v>
      </c>
      <c r="C1573" s="66" t="s">
        <v>3003</v>
      </c>
      <c r="D1573" s="67">
        <v>0.2174</v>
      </c>
      <c r="E1573" s="68"/>
      <c r="F1573" s="69">
        <v>1</v>
      </c>
      <c r="G1573" s="70"/>
      <c r="H1573" s="71">
        <v>0.5</v>
      </c>
      <c r="I1573" s="71">
        <v>0</v>
      </c>
      <c r="J1573" s="71">
        <v>0</v>
      </c>
    </row>
    <row r="1574" customFormat="1" ht="12.75" hidden="1" spans="1:10">
      <c r="A1574" s="75"/>
      <c r="B1574" s="73" t="s">
        <v>3010</v>
      </c>
      <c r="C1574" s="66" t="s">
        <v>3003</v>
      </c>
      <c r="D1574" s="67">
        <v>0.5217</v>
      </c>
      <c r="E1574" s="68"/>
      <c r="F1574" s="69">
        <v>2</v>
      </c>
      <c r="G1574" s="70"/>
      <c r="H1574" s="71">
        <v>1.2</v>
      </c>
      <c r="I1574" s="71">
        <v>0</v>
      </c>
      <c r="J1574" s="71">
        <v>0</v>
      </c>
    </row>
    <row r="1575" customFormat="1" ht="12.75" hidden="1" spans="1:10">
      <c r="A1575" s="74"/>
      <c r="B1575" s="73" t="s">
        <v>3011</v>
      </c>
      <c r="C1575" s="66" t="s">
        <v>3012</v>
      </c>
      <c r="D1575" s="67">
        <v>0.5217</v>
      </c>
      <c r="E1575" s="68"/>
      <c r="F1575" s="69">
        <v>1.5</v>
      </c>
      <c r="G1575" s="70"/>
      <c r="H1575" s="71">
        <v>1.2</v>
      </c>
      <c r="I1575" s="71">
        <v>0</v>
      </c>
      <c r="J1575" s="71">
        <v>0</v>
      </c>
    </row>
    <row r="1576" customFormat="1" ht="12.75" hidden="1" spans="1:10">
      <c r="A1576" s="75"/>
      <c r="B1576" s="73" t="s">
        <v>3013</v>
      </c>
      <c r="C1576" s="66" t="s">
        <v>3012</v>
      </c>
      <c r="D1576" s="67">
        <v>0.5217</v>
      </c>
      <c r="E1576" s="68"/>
      <c r="F1576" s="69">
        <v>2</v>
      </c>
      <c r="G1576" s="70"/>
      <c r="H1576" s="71">
        <v>1.2</v>
      </c>
      <c r="I1576" s="71">
        <v>0</v>
      </c>
      <c r="J1576" s="71">
        <v>0</v>
      </c>
    </row>
    <row r="1577" customFormat="1" ht="12.75" hidden="1" spans="1:10">
      <c r="A1577" s="64"/>
      <c r="B1577" s="73" t="s">
        <v>3014</v>
      </c>
      <c r="C1577" s="66" t="s">
        <v>3015</v>
      </c>
      <c r="D1577" s="67">
        <v>0.8696</v>
      </c>
      <c r="E1577" s="68"/>
      <c r="F1577" s="69">
        <v>2.5</v>
      </c>
      <c r="G1577" s="70"/>
      <c r="H1577" s="71">
        <v>2</v>
      </c>
      <c r="I1577" s="71">
        <v>0</v>
      </c>
      <c r="J1577" s="71">
        <v>0</v>
      </c>
    </row>
    <row r="1578" customFormat="1" ht="12.75" hidden="1" spans="1:10">
      <c r="A1578" s="64"/>
      <c r="B1578" s="73" t="s">
        <v>3016</v>
      </c>
      <c r="C1578" s="66" t="s">
        <v>3017</v>
      </c>
      <c r="D1578" s="67">
        <v>0.8696</v>
      </c>
      <c r="E1578" s="68"/>
      <c r="F1578" s="69">
        <v>3.5</v>
      </c>
      <c r="G1578" s="70"/>
      <c r="H1578" s="71">
        <v>2</v>
      </c>
      <c r="I1578" s="71">
        <v>0</v>
      </c>
      <c r="J1578" s="71">
        <v>0</v>
      </c>
    </row>
    <row r="1579" customFormat="1" ht="12.75" hidden="1" spans="1:10">
      <c r="A1579" s="64"/>
      <c r="B1579" s="73" t="s">
        <v>3018</v>
      </c>
      <c r="C1579" s="66" t="s">
        <v>3019</v>
      </c>
      <c r="D1579" s="67">
        <v>0.8696</v>
      </c>
      <c r="E1579" s="68"/>
      <c r="F1579" s="69">
        <v>3.5</v>
      </c>
      <c r="G1579" s="70"/>
      <c r="H1579" s="71">
        <v>2</v>
      </c>
      <c r="I1579" s="71">
        <v>0</v>
      </c>
      <c r="J1579" s="71">
        <v>0</v>
      </c>
    </row>
    <row r="1580" customFormat="1" ht="12.75" hidden="1" spans="1:10">
      <c r="A1580" s="64"/>
      <c r="B1580" s="73" t="s">
        <v>3020</v>
      </c>
      <c r="C1580" s="66" t="s">
        <v>3021</v>
      </c>
      <c r="D1580" s="67">
        <v>1.4783</v>
      </c>
      <c r="E1580" s="68"/>
      <c r="F1580" s="69">
        <v>5.4</v>
      </c>
      <c r="G1580" s="70"/>
      <c r="H1580" s="71">
        <v>3.4</v>
      </c>
      <c r="I1580" s="71">
        <v>0</v>
      </c>
      <c r="J1580" s="71">
        <v>0</v>
      </c>
    </row>
    <row r="1581" customFormat="1" ht="12.75" hidden="1" spans="1:10">
      <c r="A1581" s="64"/>
      <c r="B1581" s="73" t="s">
        <v>3022</v>
      </c>
      <c r="C1581" s="66" t="s">
        <v>3023</v>
      </c>
      <c r="D1581" s="67">
        <v>1.4783</v>
      </c>
      <c r="E1581" s="68"/>
      <c r="F1581" s="69">
        <v>5.4</v>
      </c>
      <c r="G1581" s="70"/>
      <c r="H1581" s="71">
        <v>3.4</v>
      </c>
      <c r="I1581" s="71">
        <v>0</v>
      </c>
      <c r="J1581" s="71">
        <v>0</v>
      </c>
    </row>
    <row r="1582" customFormat="1" ht="12.75" hidden="1" spans="1:10">
      <c r="A1582" s="64"/>
      <c r="B1582" s="73" t="s">
        <v>3024</v>
      </c>
      <c r="C1582" s="66" t="s">
        <v>3025</v>
      </c>
      <c r="D1582" s="67">
        <v>1.5652</v>
      </c>
      <c r="E1582" s="68"/>
      <c r="F1582" s="69">
        <v>5.8</v>
      </c>
      <c r="G1582" s="70"/>
      <c r="H1582" s="71">
        <v>3.6</v>
      </c>
      <c r="I1582" s="71">
        <v>0</v>
      </c>
      <c r="J1582" s="71">
        <v>0</v>
      </c>
    </row>
    <row r="1583" customFormat="1" ht="12.75" hidden="1" spans="1:10">
      <c r="A1583" s="64"/>
      <c r="B1583" s="73" t="s">
        <v>3026</v>
      </c>
      <c r="C1583" s="66" t="s">
        <v>3027</v>
      </c>
      <c r="D1583" s="67">
        <v>1.5652</v>
      </c>
      <c r="E1583" s="68"/>
      <c r="F1583" s="69">
        <v>5.8</v>
      </c>
      <c r="G1583" s="70"/>
      <c r="H1583" s="71">
        <v>3.6</v>
      </c>
      <c r="I1583" s="71">
        <v>0</v>
      </c>
      <c r="J1583" s="71">
        <v>0</v>
      </c>
    </row>
    <row r="1584" customFormat="1" ht="12.75" hidden="1" spans="1:10">
      <c r="A1584" s="64"/>
      <c r="B1584" s="73" t="s">
        <v>3028</v>
      </c>
      <c r="C1584" s="66" t="s">
        <v>3029</v>
      </c>
      <c r="D1584" s="67">
        <v>2.1304</v>
      </c>
      <c r="E1584" s="68"/>
      <c r="F1584" s="69">
        <v>7.8</v>
      </c>
      <c r="G1584" s="70"/>
      <c r="H1584" s="71">
        <v>4.9</v>
      </c>
      <c r="I1584" s="71">
        <v>0</v>
      </c>
      <c r="J1584" s="71">
        <v>0</v>
      </c>
    </row>
    <row r="1585" customFormat="1" ht="12.75" hidden="1" spans="1:10">
      <c r="A1585" s="64"/>
      <c r="B1585" s="73" t="s">
        <v>3030</v>
      </c>
      <c r="C1585" s="66" t="s">
        <v>3031</v>
      </c>
      <c r="D1585" s="67">
        <v>0.4348</v>
      </c>
      <c r="E1585" s="68"/>
      <c r="F1585" s="69">
        <v>2</v>
      </c>
      <c r="G1585" s="70"/>
      <c r="H1585" s="71">
        <v>1</v>
      </c>
      <c r="I1585" s="71">
        <v>0</v>
      </c>
      <c r="J1585" s="71">
        <v>0</v>
      </c>
    </row>
    <row r="1586" customFormat="1" ht="12.75" hidden="1" spans="1:10">
      <c r="A1586" s="64"/>
      <c r="B1586" s="73" t="s">
        <v>3032</v>
      </c>
      <c r="C1586" s="66" t="s">
        <v>3033</v>
      </c>
      <c r="D1586" s="67">
        <v>1.8261</v>
      </c>
      <c r="E1586" s="68"/>
      <c r="F1586" s="69">
        <v>1.7</v>
      </c>
      <c r="G1586" s="70"/>
      <c r="H1586" s="71">
        <v>4.2</v>
      </c>
      <c r="I1586" s="71">
        <v>0</v>
      </c>
      <c r="J1586" s="71">
        <v>0</v>
      </c>
    </row>
    <row r="1587" customFormat="1" ht="12.75" hidden="1" spans="1:10">
      <c r="A1587" s="64"/>
      <c r="B1587" s="73" t="s">
        <v>3034</v>
      </c>
      <c r="C1587" s="66" t="s">
        <v>3035</v>
      </c>
      <c r="D1587" s="67">
        <v>0.9565</v>
      </c>
      <c r="E1587" s="68"/>
      <c r="F1587" s="69">
        <v>4.5</v>
      </c>
      <c r="G1587" s="70"/>
      <c r="H1587" s="71">
        <v>2.2</v>
      </c>
      <c r="I1587" s="71">
        <v>0</v>
      </c>
      <c r="J1587" s="71">
        <v>0</v>
      </c>
    </row>
    <row r="1588" customFormat="1" ht="12.75" hidden="1" spans="1:10">
      <c r="A1588" s="64"/>
      <c r="B1588" s="73" t="s">
        <v>3036</v>
      </c>
      <c r="C1588" s="66" t="s">
        <v>3037</v>
      </c>
      <c r="D1588" s="67">
        <v>2.3913</v>
      </c>
      <c r="E1588" s="68"/>
      <c r="F1588" s="69">
        <v>8</v>
      </c>
      <c r="G1588" s="70"/>
      <c r="H1588" s="71">
        <v>5.5</v>
      </c>
      <c r="I1588" s="71">
        <v>0</v>
      </c>
      <c r="J1588" s="71">
        <v>0</v>
      </c>
    </row>
    <row r="1589" customFormat="1" ht="12.75" hidden="1" spans="1:10">
      <c r="A1589" s="64"/>
      <c r="B1589" s="73" t="s">
        <v>3038</v>
      </c>
      <c r="C1589" s="66" t="s">
        <v>3039</v>
      </c>
      <c r="D1589" s="67">
        <v>3.087</v>
      </c>
      <c r="E1589" s="68"/>
      <c r="F1589" s="79">
        <v>11.3</v>
      </c>
      <c r="G1589" s="80"/>
      <c r="H1589" s="71">
        <v>7.1</v>
      </c>
      <c r="I1589" s="71">
        <v>0</v>
      </c>
      <c r="J1589" s="71">
        <v>0</v>
      </c>
    </row>
    <row r="1590" customFormat="1" ht="12.75" hidden="1" spans="1:10">
      <c r="A1590" s="64"/>
      <c r="B1590" s="73" t="s">
        <v>3040</v>
      </c>
      <c r="C1590" s="66" t="s">
        <v>3041</v>
      </c>
      <c r="D1590" s="67">
        <v>0.2174</v>
      </c>
      <c r="E1590" s="68"/>
      <c r="F1590" s="69">
        <v>1</v>
      </c>
      <c r="G1590" s="70"/>
      <c r="H1590" s="71">
        <v>0.5</v>
      </c>
      <c r="I1590" s="71">
        <v>0</v>
      </c>
      <c r="J1590" s="71">
        <v>0</v>
      </c>
    </row>
    <row r="1591" customFormat="1" ht="12.75" hidden="1" spans="1:10">
      <c r="A1591" s="64"/>
      <c r="B1591" s="73" t="s">
        <v>3042</v>
      </c>
      <c r="C1591" s="66" t="s">
        <v>3043</v>
      </c>
      <c r="D1591" s="67">
        <v>0.2174</v>
      </c>
      <c r="E1591" s="68"/>
      <c r="F1591" s="69">
        <v>1</v>
      </c>
      <c r="G1591" s="70"/>
      <c r="H1591" s="71">
        <v>0.5</v>
      </c>
      <c r="I1591" s="71">
        <v>0</v>
      </c>
      <c r="J1591" s="71">
        <v>0</v>
      </c>
    </row>
    <row r="1592" customFormat="1" ht="12.75" hidden="1" spans="1:10">
      <c r="A1592" s="64"/>
      <c r="B1592" s="73" t="s">
        <v>3044</v>
      </c>
      <c r="C1592" s="66" t="s">
        <v>3045</v>
      </c>
      <c r="D1592" s="67">
        <v>0.5217</v>
      </c>
      <c r="E1592" s="68"/>
      <c r="F1592" s="69">
        <v>2</v>
      </c>
      <c r="G1592" s="70"/>
      <c r="H1592" s="71">
        <v>1.2</v>
      </c>
      <c r="I1592" s="71">
        <v>0</v>
      </c>
      <c r="J1592" s="71">
        <v>0</v>
      </c>
    </row>
    <row r="1593" customFormat="1" ht="12.75" hidden="1" spans="1:10">
      <c r="A1593" s="64"/>
      <c r="B1593" s="73" t="s">
        <v>3046</v>
      </c>
      <c r="C1593" s="66" t="s">
        <v>3047</v>
      </c>
      <c r="D1593" s="67">
        <v>0.2609</v>
      </c>
      <c r="E1593" s="68"/>
      <c r="F1593" s="69">
        <v>1</v>
      </c>
      <c r="G1593" s="70"/>
      <c r="H1593" s="71">
        <v>0.6</v>
      </c>
      <c r="I1593" s="71">
        <v>0</v>
      </c>
      <c r="J1593" s="71">
        <v>0</v>
      </c>
    </row>
    <row r="1594" customFormat="1" ht="12.75" hidden="1" spans="1:10">
      <c r="A1594" s="64"/>
      <c r="B1594" s="73" t="s">
        <v>3048</v>
      </c>
      <c r="C1594" s="66" t="s">
        <v>3049</v>
      </c>
      <c r="D1594" s="67">
        <v>0.0261</v>
      </c>
      <c r="E1594" s="68"/>
      <c r="F1594" s="69">
        <v>1</v>
      </c>
      <c r="G1594" s="70"/>
      <c r="H1594" s="71">
        <v>0.06</v>
      </c>
      <c r="I1594" s="71">
        <v>0</v>
      </c>
      <c r="J1594" s="71">
        <v>0</v>
      </c>
    </row>
    <row r="1595" customFormat="1" ht="12.75" hidden="1" spans="1:10">
      <c r="A1595" s="64"/>
      <c r="B1595" s="73" t="s">
        <v>3050</v>
      </c>
      <c r="C1595" s="66" t="s">
        <v>3051</v>
      </c>
      <c r="D1595" s="67">
        <v>1.4348</v>
      </c>
      <c r="E1595" s="68"/>
      <c r="F1595" s="79">
        <v>10</v>
      </c>
      <c r="G1595" s="80"/>
      <c r="H1595" s="71">
        <v>8.5</v>
      </c>
      <c r="I1595" s="71">
        <v>0</v>
      </c>
      <c r="J1595" s="71">
        <v>0</v>
      </c>
    </row>
    <row r="1596" customFormat="1" ht="12.75" hidden="1" spans="1:10">
      <c r="A1596" s="64"/>
      <c r="B1596" s="73" t="s">
        <v>3052</v>
      </c>
      <c r="C1596" s="66" t="s">
        <v>3053</v>
      </c>
      <c r="D1596" s="67">
        <v>3.9565</v>
      </c>
      <c r="E1596" s="68"/>
      <c r="F1596" s="79">
        <v>14.6</v>
      </c>
      <c r="G1596" s="80"/>
      <c r="H1596" s="71">
        <v>9.1</v>
      </c>
      <c r="I1596" s="71">
        <v>0</v>
      </c>
      <c r="J1596" s="71">
        <v>0</v>
      </c>
    </row>
    <row r="1597" customFormat="1" ht="12.75" hidden="1" spans="1:10">
      <c r="A1597" s="64"/>
      <c r="B1597" s="73" t="s">
        <v>3054</v>
      </c>
      <c r="C1597" s="66" t="s">
        <v>3055</v>
      </c>
      <c r="D1597" s="67">
        <v>5.1304</v>
      </c>
      <c r="E1597" s="68"/>
      <c r="F1597" s="79">
        <v>18.9</v>
      </c>
      <c r="G1597" s="80"/>
      <c r="H1597" s="71">
        <v>11.8</v>
      </c>
      <c r="I1597" s="71">
        <v>0</v>
      </c>
      <c r="J1597" s="71">
        <v>0</v>
      </c>
    </row>
    <row r="1598" customFormat="1" ht="12.75" hidden="1" spans="1:10">
      <c r="A1598" s="64"/>
      <c r="B1598" s="73" t="s">
        <v>3056</v>
      </c>
      <c r="C1598" s="66" t="s">
        <v>3057</v>
      </c>
      <c r="D1598" s="67">
        <v>0.2174</v>
      </c>
      <c r="E1598" s="68"/>
      <c r="F1598" s="69">
        <v>0</v>
      </c>
      <c r="G1598" s="70"/>
      <c r="H1598" s="71">
        <v>0</v>
      </c>
      <c r="I1598" s="71">
        <v>0.5</v>
      </c>
      <c r="J1598" s="71">
        <v>0.42</v>
      </c>
    </row>
    <row r="1599" customFormat="1" ht="12.75" hidden="1" spans="1:10">
      <c r="A1599" s="64"/>
      <c r="B1599" s="73" t="s">
        <v>3058</v>
      </c>
      <c r="C1599" s="66" t="s">
        <v>3059</v>
      </c>
      <c r="D1599" s="67">
        <v>0.3913</v>
      </c>
      <c r="E1599" s="68"/>
      <c r="F1599" s="69">
        <v>1.4</v>
      </c>
      <c r="G1599" s="70"/>
      <c r="H1599" s="71">
        <v>0.9</v>
      </c>
      <c r="I1599" s="71">
        <v>0</v>
      </c>
      <c r="J1599" s="71">
        <v>0</v>
      </c>
    </row>
    <row r="1600" customFormat="1" ht="12.75" hidden="1" spans="1:10">
      <c r="A1600" s="64"/>
      <c r="B1600" s="73" t="s">
        <v>3060</v>
      </c>
      <c r="C1600" s="66" t="s">
        <v>3061</v>
      </c>
      <c r="D1600" s="67">
        <v>0.4348</v>
      </c>
      <c r="E1600" s="68"/>
      <c r="F1600" s="69">
        <v>1.4</v>
      </c>
      <c r="G1600" s="70"/>
      <c r="H1600" s="71">
        <v>1</v>
      </c>
      <c r="I1600" s="71">
        <v>0</v>
      </c>
      <c r="J1600" s="71">
        <v>0</v>
      </c>
    </row>
    <row r="1601" customFormat="1" ht="12.75" hidden="1" spans="1:10">
      <c r="A1601" s="64"/>
      <c r="B1601" s="73" t="s">
        <v>3062</v>
      </c>
      <c r="C1601" s="66" t="s">
        <v>3063</v>
      </c>
      <c r="D1601" s="67">
        <v>0.4348</v>
      </c>
      <c r="E1601" s="68"/>
      <c r="F1601" s="69">
        <v>1.4</v>
      </c>
      <c r="G1601" s="70"/>
      <c r="H1601" s="71">
        <v>1</v>
      </c>
      <c r="I1601" s="71">
        <v>0</v>
      </c>
      <c r="J1601" s="71">
        <v>0</v>
      </c>
    </row>
    <row r="1602" customFormat="1" ht="12.75" hidden="1" spans="1:10">
      <c r="A1602" s="64"/>
      <c r="B1602" s="73" t="s">
        <v>3064</v>
      </c>
      <c r="C1602" s="66" t="s">
        <v>3065</v>
      </c>
      <c r="D1602" s="67">
        <v>0.7826</v>
      </c>
      <c r="E1602" s="68"/>
      <c r="F1602" s="69">
        <v>2.8</v>
      </c>
      <c r="G1602" s="70"/>
      <c r="H1602" s="71">
        <v>1.8</v>
      </c>
      <c r="I1602" s="71">
        <v>0</v>
      </c>
      <c r="J1602" s="71">
        <v>0</v>
      </c>
    </row>
    <row r="1603" customFormat="1" ht="12.75" hidden="1" spans="1:10">
      <c r="A1603" s="64"/>
      <c r="B1603" s="73" t="s">
        <v>3066</v>
      </c>
      <c r="C1603" s="66" t="s">
        <v>3067</v>
      </c>
      <c r="D1603" s="67">
        <v>0.3478</v>
      </c>
      <c r="E1603" s="68"/>
      <c r="F1603" s="69">
        <v>1.3</v>
      </c>
      <c r="G1603" s="70"/>
      <c r="H1603" s="71">
        <v>0.8</v>
      </c>
      <c r="I1603" s="71">
        <v>0</v>
      </c>
      <c r="J1603" s="71">
        <v>0</v>
      </c>
    </row>
    <row r="1604" customFormat="1" ht="12.75" hidden="1" spans="1:10">
      <c r="A1604" s="64"/>
      <c r="B1604" s="73" t="s">
        <v>3068</v>
      </c>
      <c r="C1604" s="66" t="s">
        <v>3069</v>
      </c>
      <c r="D1604" s="67">
        <v>3.5652</v>
      </c>
      <c r="E1604" s="68"/>
      <c r="F1604" s="79">
        <v>12.5</v>
      </c>
      <c r="G1604" s="80"/>
      <c r="H1604" s="71">
        <v>8.2</v>
      </c>
      <c r="I1604" s="71">
        <v>0</v>
      </c>
      <c r="J1604" s="71">
        <v>0</v>
      </c>
    </row>
    <row r="1605" customFormat="1" ht="12.75" hidden="1" spans="1:10">
      <c r="A1605" s="64"/>
      <c r="B1605" s="73" t="s">
        <v>3070</v>
      </c>
      <c r="C1605" s="66" t="s">
        <v>3071</v>
      </c>
      <c r="D1605" s="67">
        <v>0.2174</v>
      </c>
      <c r="E1605" s="68"/>
      <c r="F1605" s="69">
        <v>1</v>
      </c>
      <c r="G1605" s="70"/>
      <c r="H1605" s="71">
        <v>0.5</v>
      </c>
      <c r="I1605" s="71">
        <v>0</v>
      </c>
      <c r="J1605" s="71">
        <v>0</v>
      </c>
    </row>
    <row r="1606" customFormat="1" ht="12.75" hidden="1" spans="1:10">
      <c r="A1606" s="64"/>
      <c r="B1606" s="73" t="s">
        <v>3072</v>
      </c>
      <c r="C1606" s="66" t="s">
        <v>3073</v>
      </c>
      <c r="D1606" s="67">
        <v>0.5217</v>
      </c>
      <c r="E1606" s="68"/>
      <c r="F1606" s="69">
        <v>1.9</v>
      </c>
      <c r="G1606" s="70"/>
      <c r="H1606" s="71">
        <v>1.2</v>
      </c>
      <c r="I1606" s="71">
        <v>0</v>
      </c>
      <c r="J1606" s="71">
        <v>0</v>
      </c>
    </row>
    <row r="1607" customFormat="1" ht="12.75" hidden="1" spans="1:10">
      <c r="A1607" s="64"/>
      <c r="B1607" s="73" t="s">
        <v>3074</v>
      </c>
      <c r="C1607" s="66" t="s">
        <v>3075</v>
      </c>
      <c r="D1607" s="67">
        <v>0.6087</v>
      </c>
      <c r="E1607" s="68"/>
      <c r="F1607" s="69">
        <v>2.3</v>
      </c>
      <c r="G1607" s="70"/>
      <c r="H1607" s="71">
        <v>1.4</v>
      </c>
      <c r="I1607" s="71">
        <v>0</v>
      </c>
      <c r="J1607" s="71">
        <v>0</v>
      </c>
    </row>
    <row r="1608" customFormat="1" ht="12.75" hidden="1" spans="1:10">
      <c r="A1608" s="64"/>
      <c r="B1608" s="73" t="s">
        <v>3076</v>
      </c>
      <c r="C1608" s="66" t="s">
        <v>3077</v>
      </c>
      <c r="D1608" s="67">
        <v>0.7826</v>
      </c>
      <c r="E1608" s="68"/>
      <c r="F1608" s="69">
        <v>2.8</v>
      </c>
      <c r="G1608" s="70"/>
      <c r="H1608" s="71">
        <v>1.8</v>
      </c>
      <c r="I1608" s="71">
        <v>0</v>
      </c>
      <c r="J1608" s="71">
        <v>0</v>
      </c>
    </row>
    <row r="1609" customFormat="1" ht="12.75" hidden="1" spans="1:10">
      <c r="A1609" s="64"/>
      <c r="B1609" s="73" t="s">
        <v>3078</v>
      </c>
      <c r="C1609" s="66" t="s">
        <v>3079</v>
      </c>
      <c r="D1609" s="67">
        <v>1.4348</v>
      </c>
      <c r="E1609" s="68"/>
      <c r="F1609" s="69">
        <v>5</v>
      </c>
      <c r="G1609" s="70"/>
      <c r="H1609" s="71">
        <v>3.3</v>
      </c>
      <c r="I1609" s="71">
        <v>0</v>
      </c>
      <c r="J1609" s="71">
        <v>0</v>
      </c>
    </row>
    <row r="1610" customFormat="1" ht="12.75" hidden="1" spans="1:10">
      <c r="A1610" s="64"/>
      <c r="B1610" s="73" t="s">
        <v>3080</v>
      </c>
      <c r="C1610" s="66" t="s">
        <v>3081</v>
      </c>
      <c r="D1610" s="67">
        <v>1.1304</v>
      </c>
      <c r="E1610" s="68"/>
      <c r="F1610" s="69">
        <v>4</v>
      </c>
      <c r="G1610" s="70"/>
      <c r="H1610" s="71">
        <v>2.6</v>
      </c>
      <c r="I1610" s="71">
        <v>0</v>
      </c>
      <c r="J1610" s="71">
        <v>0</v>
      </c>
    </row>
    <row r="1611" customFormat="1" ht="12.75" hidden="1" spans="1:10">
      <c r="A1611" s="64"/>
      <c r="B1611" s="73" t="s">
        <v>3082</v>
      </c>
      <c r="C1611" s="66" t="s">
        <v>3083</v>
      </c>
      <c r="D1611" s="67">
        <v>1.913</v>
      </c>
      <c r="E1611" s="68"/>
      <c r="F1611" s="69">
        <v>7.1</v>
      </c>
      <c r="G1611" s="70"/>
      <c r="H1611" s="71">
        <v>4.4</v>
      </c>
      <c r="I1611" s="71">
        <v>0</v>
      </c>
      <c r="J1611" s="71">
        <v>0</v>
      </c>
    </row>
    <row r="1612" customFormat="1" ht="12.75" hidden="1" spans="1:10">
      <c r="A1612" s="64"/>
      <c r="B1612" s="73" t="s">
        <v>3084</v>
      </c>
      <c r="C1612" s="66" t="s">
        <v>3085</v>
      </c>
      <c r="D1612" s="67">
        <v>0.8696</v>
      </c>
      <c r="E1612" s="68"/>
      <c r="F1612" s="69">
        <v>4.7</v>
      </c>
      <c r="G1612" s="70"/>
      <c r="H1612" s="71">
        <v>2</v>
      </c>
      <c r="I1612" s="71">
        <v>0</v>
      </c>
      <c r="J1612" s="71">
        <v>0</v>
      </c>
    </row>
    <row r="1613" customFormat="1" ht="12.75" hidden="1" spans="1:10">
      <c r="A1613" s="64"/>
      <c r="B1613" s="73" t="s">
        <v>3086</v>
      </c>
      <c r="C1613" s="66" t="s">
        <v>3087</v>
      </c>
      <c r="D1613" s="67">
        <v>2</v>
      </c>
      <c r="E1613" s="68"/>
      <c r="F1613" s="69">
        <v>7.4</v>
      </c>
      <c r="G1613" s="70"/>
      <c r="H1613" s="71">
        <v>4.6</v>
      </c>
      <c r="I1613" s="71">
        <v>0</v>
      </c>
      <c r="J1613" s="71">
        <v>0</v>
      </c>
    </row>
    <row r="1614" customFormat="1" ht="12.75" hidden="1" spans="1:10">
      <c r="A1614" s="64"/>
      <c r="B1614" s="73" t="s">
        <v>3088</v>
      </c>
      <c r="C1614" s="66" t="s">
        <v>3089</v>
      </c>
      <c r="D1614" s="67">
        <v>2</v>
      </c>
      <c r="E1614" s="68"/>
      <c r="F1614" s="69">
        <v>7.4</v>
      </c>
      <c r="G1614" s="70"/>
      <c r="H1614" s="71">
        <v>4.6</v>
      </c>
      <c r="I1614" s="71">
        <v>0</v>
      </c>
      <c r="J1614" s="71">
        <v>0</v>
      </c>
    </row>
    <row r="1615" customFormat="1" ht="12.75" hidden="1" spans="1:10">
      <c r="A1615" s="64"/>
      <c r="B1615" s="73" t="s">
        <v>3090</v>
      </c>
      <c r="C1615" s="66" t="s">
        <v>3091</v>
      </c>
      <c r="D1615" s="67">
        <v>3.6087</v>
      </c>
      <c r="E1615" s="68"/>
      <c r="F1615" s="79">
        <v>13</v>
      </c>
      <c r="G1615" s="80"/>
      <c r="H1615" s="71">
        <v>8.3</v>
      </c>
      <c r="I1615" s="71">
        <v>0</v>
      </c>
      <c r="J1615" s="71">
        <v>0</v>
      </c>
    </row>
    <row r="1616" customFormat="1" ht="12.75" hidden="1" spans="1:10">
      <c r="A1616" s="64"/>
      <c r="B1616" s="73" t="s">
        <v>3092</v>
      </c>
      <c r="C1616" s="66" t="s">
        <v>3093</v>
      </c>
      <c r="D1616" s="67">
        <v>1.4348</v>
      </c>
      <c r="E1616" s="68"/>
      <c r="F1616" s="69">
        <v>5.5</v>
      </c>
      <c r="G1616" s="70"/>
      <c r="H1616" s="71">
        <v>3.3</v>
      </c>
      <c r="I1616" s="71">
        <v>0</v>
      </c>
      <c r="J1616" s="71">
        <v>0</v>
      </c>
    </row>
    <row r="1617" customFormat="1" ht="12.75" hidden="1" spans="1:10">
      <c r="A1617" s="64"/>
      <c r="B1617" s="73" t="s">
        <v>3094</v>
      </c>
      <c r="C1617" s="66" t="s">
        <v>3095</v>
      </c>
      <c r="D1617" s="67">
        <v>0.913</v>
      </c>
      <c r="E1617" s="68"/>
      <c r="F1617" s="69">
        <v>3.3</v>
      </c>
      <c r="G1617" s="70"/>
      <c r="H1617" s="71">
        <v>2.1</v>
      </c>
      <c r="I1617" s="71">
        <v>0</v>
      </c>
      <c r="J1617" s="71">
        <v>0</v>
      </c>
    </row>
    <row r="1618" customFormat="1" ht="12.75" hidden="1" spans="1:10">
      <c r="A1618" s="74"/>
      <c r="B1618" s="73" t="s">
        <v>3096</v>
      </c>
      <c r="C1618" s="66" t="s">
        <v>3097</v>
      </c>
      <c r="D1618" s="67">
        <v>0.6522</v>
      </c>
      <c r="E1618" s="68"/>
      <c r="F1618" s="69">
        <v>2.5</v>
      </c>
      <c r="G1618" s="70"/>
      <c r="H1618" s="71">
        <v>1.5</v>
      </c>
      <c r="I1618" s="71">
        <v>0</v>
      </c>
      <c r="J1618" s="71">
        <v>0</v>
      </c>
    </row>
    <row r="1619" customFormat="1" ht="12.75" hidden="1" spans="1:10">
      <c r="A1619" s="75"/>
      <c r="B1619" s="73" t="s">
        <v>3098</v>
      </c>
      <c r="C1619" s="66" t="s">
        <v>3097</v>
      </c>
      <c r="D1619" s="67">
        <v>0.7826</v>
      </c>
      <c r="E1619" s="68"/>
      <c r="F1619" s="69">
        <v>1.9</v>
      </c>
      <c r="G1619" s="70"/>
      <c r="H1619" s="71">
        <v>1.8</v>
      </c>
      <c r="I1619" s="71">
        <v>0</v>
      </c>
      <c r="J1619" s="71">
        <v>0</v>
      </c>
    </row>
    <row r="1620" customFormat="1" ht="12.75" hidden="1" spans="1:10">
      <c r="A1620" s="64"/>
      <c r="B1620" s="65">
        <v>6902019888133</v>
      </c>
      <c r="C1620" s="66" t="s">
        <v>3099</v>
      </c>
      <c r="D1620" s="67">
        <v>0.0435</v>
      </c>
      <c r="E1620" s="68"/>
      <c r="F1620" s="69">
        <v>0.25</v>
      </c>
      <c r="G1620" s="70"/>
      <c r="H1620" s="71">
        <v>0.1</v>
      </c>
      <c r="I1620" s="71">
        <v>0</v>
      </c>
      <c r="J1620" s="71">
        <v>0</v>
      </c>
    </row>
    <row r="1621" customFormat="1" ht="12.75" hidden="1" spans="1:10">
      <c r="A1621" s="64"/>
      <c r="B1621" s="65">
        <v>6920190188811</v>
      </c>
      <c r="C1621" s="66" t="s">
        <v>3100</v>
      </c>
      <c r="D1621" s="67">
        <v>0.1087</v>
      </c>
      <c r="E1621" s="68"/>
      <c r="F1621" s="69">
        <v>0</v>
      </c>
      <c r="G1621" s="70"/>
      <c r="H1621" s="71">
        <v>0</v>
      </c>
      <c r="I1621" s="71">
        <v>0.25</v>
      </c>
      <c r="J1621" s="71">
        <v>0.15</v>
      </c>
    </row>
    <row r="1622" customFormat="1" ht="12.75" hidden="1" spans="1:10">
      <c r="A1622" s="64"/>
      <c r="B1622" s="73" t="s">
        <v>3101</v>
      </c>
      <c r="C1622" s="66" t="s">
        <v>3102</v>
      </c>
      <c r="D1622" s="67">
        <v>0.5652</v>
      </c>
      <c r="E1622" s="68"/>
      <c r="F1622" s="69">
        <v>2</v>
      </c>
      <c r="G1622" s="70"/>
      <c r="H1622" s="71">
        <v>1.3</v>
      </c>
      <c r="I1622" s="71">
        <v>0</v>
      </c>
      <c r="J1622" s="71">
        <v>0</v>
      </c>
    </row>
    <row r="1623" customFormat="1" ht="12.75" hidden="1" spans="1:10">
      <c r="A1623" s="64"/>
      <c r="B1623" s="73" t="s">
        <v>3103</v>
      </c>
      <c r="C1623" s="66" t="s">
        <v>3104</v>
      </c>
      <c r="D1623" s="67">
        <v>0.5652</v>
      </c>
      <c r="E1623" s="68"/>
      <c r="F1623" s="69">
        <v>2.1</v>
      </c>
      <c r="G1623" s="70"/>
      <c r="H1623" s="71">
        <v>1.3</v>
      </c>
      <c r="I1623" s="71">
        <v>0</v>
      </c>
      <c r="J1623" s="71">
        <v>0</v>
      </c>
    </row>
    <row r="1624" customFormat="1" ht="12.75" hidden="1" spans="1:10">
      <c r="A1624" s="64"/>
      <c r="B1624" s="73" t="s">
        <v>3105</v>
      </c>
      <c r="C1624" s="66" t="s">
        <v>3106</v>
      </c>
      <c r="D1624" s="67">
        <v>2.1739</v>
      </c>
      <c r="E1624" s="68"/>
      <c r="F1624" s="69">
        <v>7.9</v>
      </c>
      <c r="G1624" s="70"/>
      <c r="H1624" s="71">
        <v>5</v>
      </c>
      <c r="I1624" s="71">
        <v>0</v>
      </c>
      <c r="J1624" s="71">
        <v>0</v>
      </c>
    </row>
    <row r="1625" customFormat="1" ht="12.75" hidden="1" spans="1:10">
      <c r="A1625" s="64"/>
      <c r="B1625" s="73" t="s">
        <v>3107</v>
      </c>
      <c r="C1625" s="66" t="s">
        <v>3108</v>
      </c>
      <c r="D1625" s="67">
        <v>0.1087</v>
      </c>
      <c r="E1625" s="68"/>
      <c r="F1625" s="69">
        <v>0.5</v>
      </c>
      <c r="G1625" s="70"/>
      <c r="H1625" s="71">
        <v>0.25</v>
      </c>
      <c r="I1625" s="71">
        <v>0</v>
      </c>
      <c r="J1625" s="71">
        <v>0</v>
      </c>
    </row>
    <row r="1626" customFormat="1" ht="12.75" hidden="1" spans="1:10">
      <c r="A1626" s="64"/>
      <c r="B1626" s="73" t="s">
        <v>3109</v>
      </c>
      <c r="C1626" s="66" t="s">
        <v>3110</v>
      </c>
      <c r="D1626" s="67">
        <v>0.3913</v>
      </c>
      <c r="E1626" s="68"/>
      <c r="F1626" s="69">
        <v>1.5</v>
      </c>
      <c r="G1626" s="70"/>
      <c r="H1626" s="71">
        <v>0.9</v>
      </c>
      <c r="I1626" s="71">
        <v>0</v>
      </c>
      <c r="J1626" s="71">
        <v>0</v>
      </c>
    </row>
    <row r="1627" customFormat="1" ht="12.75" hidden="1" spans="1:10">
      <c r="A1627" s="64"/>
      <c r="B1627" s="73" t="s">
        <v>3111</v>
      </c>
      <c r="C1627" s="66" t="s">
        <v>3112</v>
      </c>
      <c r="D1627" s="67">
        <v>1.1304</v>
      </c>
      <c r="E1627" s="68"/>
      <c r="F1627" s="69">
        <v>4.1</v>
      </c>
      <c r="G1627" s="70"/>
      <c r="H1627" s="71">
        <v>2.6</v>
      </c>
      <c r="I1627" s="71">
        <v>0</v>
      </c>
      <c r="J1627" s="71">
        <v>0</v>
      </c>
    </row>
    <row r="1628" customFormat="1" ht="12.75" hidden="1" spans="1:10">
      <c r="A1628" s="64"/>
      <c r="B1628" s="73" t="s">
        <v>3113</v>
      </c>
      <c r="C1628" s="66" t="s">
        <v>3114</v>
      </c>
      <c r="D1628" s="67">
        <v>0.087</v>
      </c>
      <c r="E1628" s="68"/>
      <c r="F1628" s="69">
        <v>0.4</v>
      </c>
      <c r="G1628" s="70"/>
      <c r="H1628" s="71">
        <v>0.2</v>
      </c>
      <c r="I1628" s="71">
        <v>0</v>
      </c>
      <c r="J1628" s="71">
        <v>0</v>
      </c>
    </row>
    <row r="1629" customFormat="1" ht="12.75" hidden="1" spans="1:10">
      <c r="A1629" s="64"/>
      <c r="B1629" s="73" t="s">
        <v>3115</v>
      </c>
      <c r="C1629" s="66" t="s">
        <v>3116</v>
      </c>
      <c r="D1629" s="67">
        <v>1.4348</v>
      </c>
      <c r="E1629" s="68"/>
      <c r="F1629" s="69">
        <v>5</v>
      </c>
      <c r="G1629" s="70"/>
      <c r="H1629" s="71">
        <v>4</v>
      </c>
      <c r="I1629" s="71">
        <v>0</v>
      </c>
      <c r="J1629" s="71">
        <v>0</v>
      </c>
    </row>
    <row r="1630" customFormat="1" ht="12.75" hidden="1" spans="1:10">
      <c r="A1630" s="64"/>
      <c r="B1630" s="73" t="s">
        <v>3117</v>
      </c>
      <c r="C1630" s="66" t="s">
        <v>3118</v>
      </c>
      <c r="D1630" s="67">
        <v>1.7826</v>
      </c>
      <c r="E1630" s="68"/>
      <c r="F1630" s="69">
        <v>5.3</v>
      </c>
      <c r="G1630" s="70"/>
      <c r="H1630" s="71">
        <v>4.1</v>
      </c>
      <c r="I1630" s="71">
        <v>0</v>
      </c>
      <c r="J1630" s="71">
        <v>0</v>
      </c>
    </row>
    <row r="1631" customFormat="1" ht="12.75" hidden="1" spans="1:10">
      <c r="A1631" s="64"/>
      <c r="B1631" s="73" t="s">
        <v>3119</v>
      </c>
      <c r="C1631" s="66" t="s">
        <v>3120</v>
      </c>
      <c r="D1631" s="67">
        <v>0.7826</v>
      </c>
      <c r="E1631" s="68"/>
      <c r="F1631" s="69">
        <v>0</v>
      </c>
      <c r="G1631" s="70"/>
      <c r="H1631" s="71">
        <v>0</v>
      </c>
      <c r="I1631" s="71">
        <v>1.8</v>
      </c>
      <c r="J1631" s="71">
        <v>1.5</v>
      </c>
    </row>
    <row r="1632" customFormat="1" ht="12.75" hidden="1" spans="1:10">
      <c r="A1632" s="64"/>
      <c r="B1632" s="73" t="s">
        <v>3121</v>
      </c>
      <c r="C1632" s="66" t="s">
        <v>3122</v>
      </c>
      <c r="D1632" s="67">
        <v>0.7391</v>
      </c>
      <c r="E1632" s="68"/>
      <c r="F1632" s="69">
        <v>3</v>
      </c>
      <c r="G1632" s="70"/>
      <c r="H1632" s="71">
        <v>1.7</v>
      </c>
      <c r="I1632" s="71">
        <v>0</v>
      </c>
      <c r="J1632" s="71">
        <v>0</v>
      </c>
    </row>
    <row r="1633" customFormat="1" ht="12.75" hidden="1" spans="1:10">
      <c r="A1633" s="64"/>
      <c r="B1633" s="73" t="s">
        <v>3123</v>
      </c>
      <c r="C1633" s="66" t="s">
        <v>3124</v>
      </c>
      <c r="D1633" s="67">
        <v>0.6522</v>
      </c>
      <c r="E1633" s="68"/>
      <c r="F1633" s="69">
        <v>0</v>
      </c>
      <c r="G1633" s="70"/>
      <c r="H1633" s="71">
        <v>0</v>
      </c>
      <c r="I1633" s="71">
        <v>1.5</v>
      </c>
      <c r="J1633" s="71">
        <v>1.25</v>
      </c>
    </row>
    <row r="1634" customFormat="1" ht="12.75" hidden="1" spans="1:10">
      <c r="A1634" s="64"/>
      <c r="B1634" s="65">
        <v>6410254217774</v>
      </c>
      <c r="C1634" s="66" t="s">
        <v>3125</v>
      </c>
      <c r="D1634" s="67">
        <v>0.2609</v>
      </c>
      <c r="E1634" s="68"/>
      <c r="F1634" s="69">
        <v>1.5</v>
      </c>
      <c r="G1634" s="70"/>
      <c r="H1634" s="71">
        <v>0.6</v>
      </c>
      <c r="I1634" s="71">
        <v>0</v>
      </c>
      <c r="J1634" s="71">
        <v>0</v>
      </c>
    </row>
    <row r="1635" customFormat="1" ht="12.75" hidden="1" spans="1:10">
      <c r="A1635" s="64"/>
      <c r="B1635" s="73" t="s">
        <v>3126</v>
      </c>
      <c r="C1635" s="66" t="s">
        <v>3127</v>
      </c>
      <c r="D1635" s="67">
        <v>0.2174</v>
      </c>
      <c r="E1635" s="68"/>
      <c r="F1635" s="69">
        <v>1.5</v>
      </c>
      <c r="G1635" s="70"/>
      <c r="H1635" s="71">
        <v>0.5</v>
      </c>
      <c r="I1635" s="71">
        <v>0</v>
      </c>
      <c r="J1635" s="71">
        <v>0</v>
      </c>
    </row>
    <row r="1636" customFormat="1" ht="12.75" hidden="1" spans="1:10">
      <c r="A1636" s="64"/>
      <c r="B1636" s="65">
        <v>6937630007069</v>
      </c>
      <c r="C1636" s="66" t="s">
        <v>3128</v>
      </c>
      <c r="D1636" s="67">
        <v>0.3478</v>
      </c>
      <c r="E1636" s="68"/>
      <c r="F1636" s="69">
        <v>1.2</v>
      </c>
      <c r="G1636" s="70"/>
      <c r="H1636" s="71">
        <v>0.8</v>
      </c>
      <c r="I1636" s="71">
        <v>0</v>
      </c>
      <c r="J1636" s="71">
        <v>0</v>
      </c>
    </row>
    <row r="1637" customFormat="1" ht="12.75" hidden="1" spans="1:10">
      <c r="A1637" s="64"/>
      <c r="B1637" s="73" t="s">
        <v>3129</v>
      </c>
      <c r="C1637" s="66" t="s">
        <v>3130</v>
      </c>
      <c r="D1637" s="67">
        <v>0.8696</v>
      </c>
      <c r="E1637" s="68"/>
      <c r="F1637" s="69">
        <v>3</v>
      </c>
      <c r="G1637" s="70"/>
      <c r="H1637" s="71">
        <v>2</v>
      </c>
      <c r="I1637" s="71">
        <v>0</v>
      </c>
      <c r="J1637" s="71">
        <v>0</v>
      </c>
    </row>
    <row r="1638" customFormat="1" ht="12.75" hidden="1" spans="1:10">
      <c r="A1638" s="64"/>
      <c r="B1638" s="65">
        <v>6925645421680</v>
      </c>
      <c r="C1638" s="66" t="s">
        <v>3131</v>
      </c>
      <c r="D1638" s="67">
        <v>0.3478</v>
      </c>
      <c r="E1638" s="68"/>
      <c r="F1638" s="69">
        <v>1.2</v>
      </c>
      <c r="G1638" s="70"/>
      <c r="H1638" s="71">
        <v>0.8</v>
      </c>
      <c r="I1638" s="71">
        <v>0</v>
      </c>
      <c r="J1638" s="71">
        <v>0</v>
      </c>
    </row>
    <row r="1639" customFormat="1" ht="12.75" hidden="1" spans="1:10">
      <c r="A1639" s="64"/>
      <c r="B1639" s="65">
        <v>6931347136960</v>
      </c>
      <c r="C1639" s="66" t="s">
        <v>3132</v>
      </c>
      <c r="D1639" s="67">
        <v>0.3478</v>
      </c>
      <c r="E1639" s="68"/>
      <c r="F1639" s="69">
        <v>0</v>
      </c>
      <c r="G1639" s="70"/>
      <c r="H1639" s="71">
        <v>0</v>
      </c>
      <c r="I1639" s="71">
        <v>0.8</v>
      </c>
      <c r="J1639" s="71">
        <v>0.6</v>
      </c>
    </row>
    <row r="1640" customFormat="1" ht="12.75" hidden="1" spans="1:10">
      <c r="A1640" s="64"/>
      <c r="B1640" s="65">
        <v>69775245541</v>
      </c>
      <c r="C1640" s="66" t="s">
        <v>3133</v>
      </c>
      <c r="D1640" s="67">
        <v>0.2174</v>
      </c>
      <c r="E1640" s="68"/>
      <c r="F1640" s="69">
        <v>0.8</v>
      </c>
      <c r="G1640" s="70"/>
      <c r="H1640" s="71">
        <v>0.5</v>
      </c>
      <c r="I1640" s="71">
        <v>0</v>
      </c>
      <c r="J1640" s="71">
        <v>0</v>
      </c>
    </row>
    <row r="1641" customFormat="1" ht="12.75" hidden="1" spans="1:10">
      <c r="A1641" s="64"/>
      <c r="B1641" s="65">
        <v>6932912351762</v>
      </c>
      <c r="C1641" s="66" t="s">
        <v>3134</v>
      </c>
      <c r="D1641" s="67">
        <v>0.0435</v>
      </c>
      <c r="E1641" s="68"/>
      <c r="F1641" s="69">
        <v>0.2</v>
      </c>
      <c r="G1641" s="70"/>
      <c r="H1641" s="71">
        <v>0.1</v>
      </c>
      <c r="I1641" s="71">
        <v>0</v>
      </c>
      <c r="J1641" s="71">
        <v>0</v>
      </c>
    </row>
    <row r="1642" customFormat="1" ht="12.75" hidden="1" spans="1:10">
      <c r="A1642" s="64"/>
      <c r="B1642" s="73" t="s">
        <v>3135</v>
      </c>
      <c r="C1642" s="66" t="s">
        <v>3136</v>
      </c>
      <c r="D1642" s="67">
        <v>1.1739</v>
      </c>
      <c r="E1642" s="68"/>
      <c r="F1642" s="69">
        <v>4.4</v>
      </c>
      <c r="G1642" s="70"/>
      <c r="H1642" s="71">
        <v>2.7</v>
      </c>
      <c r="I1642" s="71">
        <v>0</v>
      </c>
      <c r="J1642" s="71">
        <v>0</v>
      </c>
    </row>
    <row r="1643" customFormat="1" ht="12.75" hidden="1" spans="1:10">
      <c r="A1643" s="64"/>
      <c r="B1643" s="73" t="s">
        <v>3137</v>
      </c>
      <c r="C1643" s="66" t="s">
        <v>3138</v>
      </c>
      <c r="D1643" s="67">
        <v>2.1739</v>
      </c>
      <c r="E1643" s="68"/>
      <c r="F1643" s="69">
        <v>7</v>
      </c>
      <c r="G1643" s="70"/>
      <c r="H1643" s="71">
        <v>5</v>
      </c>
      <c r="I1643" s="71">
        <v>0</v>
      </c>
      <c r="J1643" s="71">
        <v>0</v>
      </c>
    </row>
    <row r="1644" customFormat="1" ht="12.75" hidden="1" spans="1:10">
      <c r="A1644" s="64"/>
      <c r="B1644" s="73" t="s">
        <v>3139</v>
      </c>
      <c r="C1644" s="66" t="s">
        <v>3140</v>
      </c>
      <c r="D1644" s="67">
        <v>0.1304</v>
      </c>
      <c r="E1644" s="68"/>
      <c r="F1644" s="69">
        <v>0.4</v>
      </c>
      <c r="G1644" s="70"/>
      <c r="H1644" s="71">
        <v>0.3</v>
      </c>
      <c r="I1644" s="71">
        <v>0</v>
      </c>
      <c r="J1644" s="71">
        <v>0</v>
      </c>
    </row>
    <row r="1645" customFormat="1" ht="12.75" hidden="1" spans="1:10">
      <c r="A1645" s="64"/>
      <c r="B1645" s="73" t="s">
        <v>3141</v>
      </c>
      <c r="C1645" s="66" t="s">
        <v>3142</v>
      </c>
      <c r="D1645" s="67">
        <v>3.4348</v>
      </c>
      <c r="E1645" s="68"/>
      <c r="F1645" s="79">
        <v>12</v>
      </c>
      <c r="G1645" s="80"/>
      <c r="H1645" s="71">
        <v>7.9</v>
      </c>
      <c r="I1645" s="71">
        <v>0</v>
      </c>
      <c r="J1645" s="71">
        <v>0</v>
      </c>
    </row>
    <row r="1646" customFormat="1" ht="12.75" hidden="1" spans="1:10">
      <c r="A1646" s="64"/>
      <c r="B1646" s="73" t="s">
        <v>3143</v>
      </c>
      <c r="C1646" s="66" t="s">
        <v>3144</v>
      </c>
      <c r="D1646" s="67">
        <v>1.3478</v>
      </c>
      <c r="E1646" s="68"/>
      <c r="F1646" s="69">
        <v>5</v>
      </c>
      <c r="G1646" s="70"/>
      <c r="H1646" s="71">
        <v>3.1</v>
      </c>
      <c r="I1646" s="71">
        <v>0</v>
      </c>
      <c r="J1646" s="71">
        <v>0</v>
      </c>
    </row>
    <row r="1647" customFormat="1" ht="25.5" hidden="1" spans="1:10">
      <c r="A1647" s="64"/>
      <c r="B1647" s="73" t="s">
        <v>3145</v>
      </c>
      <c r="C1647" s="66" t="s">
        <v>3146</v>
      </c>
      <c r="D1647" s="67">
        <v>1.6087</v>
      </c>
      <c r="E1647" s="68"/>
      <c r="F1647" s="69">
        <v>5</v>
      </c>
      <c r="G1647" s="70"/>
      <c r="H1647" s="71">
        <v>3.7</v>
      </c>
      <c r="I1647" s="71">
        <v>0</v>
      </c>
      <c r="J1647" s="71">
        <v>0</v>
      </c>
    </row>
    <row r="1648" customFormat="1" ht="12.75" hidden="1" spans="1:10">
      <c r="A1648" s="64"/>
      <c r="B1648" s="73" t="s">
        <v>3147</v>
      </c>
      <c r="C1648" s="66" t="s">
        <v>3148</v>
      </c>
      <c r="D1648" s="67">
        <v>0.8696</v>
      </c>
      <c r="E1648" s="68"/>
      <c r="F1648" s="69">
        <v>3</v>
      </c>
      <c r="G1648" s="70"/>
      <c r="H1648" s="71">
        <v>2</v>
      </c>
      <c r="I1648" s="71">
        <v>0</v>
      </c>
      <c r="J1648" s="71">
        <v>0</v>
      </c>
    </row>
    <row r="1649" customFormat="1" ht="12.75" hidden="1" spans="1:10">
      <c r="A1649" s="64"/>
      <c r="B1649" s="73" t="s">
        <v>3149</v>
      </c>
      <c r="C1649" s="66" t="s">
        <v>3150</v>
      </c>
      <c r="D1649" s="67">
        <v>4.4783</v>
      </c>
      <c r="E1649" s="68"/>
      <c r="F1649" s="79">
        <v>16.5</v>
      </c>
      <c r="G1649" s="80"/>
      <c r="H1649" s="71">
        <v>10.3</v>
      </c>
      <c r="I1649" s="71">
        <v>0</v>
      </c>
      <c r="J1649" s="71">
        <v>0</v>
      </c>
    </row>
    <row r="1650" customFormat="1" ht="12.75" hidden="1" spans="1:10">
      <c r="A1650" s="64"/>
      <c r="B1650" s="73" t="s">
        <v>3151</v>
      </c>
      <c r="C1650" s="66" t="s">
        <v>3152</v>
      </c>
      <c r="D1650" s="67">
        <v>1.913</v>
      </c>
      <c r="E1650" s="68"/>
      <c r="F1650" s="69">
        <v>7</v>
      </c>
      <c r="G1650" s="70"/>
      <c r="H1650" s="71">
        <v>4.4</v>
      </c>
      <c r="I1650" s="71">
        <v>0</v>
      </c>
      <c r="J1650" s="71">
        <v>0</v>
      </c>
    </row>
    <row r="1651" customFormat="1" ht="12.75" hidden="1" spans="1:10">
      <c r="A1651" s="64"/>
      <c r="B1651" s="73" t="s">
        <v>3153</v>
      </c>
      <c r="C1651" s="66" t="s">
        <v>3154</v>
      </c>
      <c r="D1651" s="67">
        <v>2</v>
      </c>
      <c r="E1651" s="68"/>
      <c r="F1651" s="69">
        <v>7.5</v>
      </c>
      <c r="G1651" s="70"/>
      <c r="H1651" s="71">
        <v>4.6</v>
      </c>
      <c r="I1651" s="71">
        <v>0</v>
      </c>
      <c r="J1651" s="71">
        <v>0</v>
      </c>
    </row>
    <row r="1652" customFormat="1" ht="12.75" hidden="1" spans="1:10">
      <c r="A1652" s="64"/>
      <c r="B1652" s="73" t="s">
        <v>3155</v>
      </c>
      <c r="C1652" s="66" t="s">
        <v>3156</v>
      </c>
      <c r="D1652" s="67">
        <v>1.6957</v>
      </c>
      <c r="E1652" s="68"/>
      <c r="F1652" s="69">
        <v>6</v>
      </c>
      <c r="G1652" s="70"/>
      <c r="H1652" s="71">
        <v>3.9</v>
      </c>
      <c r="I1652" s="71">
        <v>0</v>
      </c>
      <c r="J1652" s="71">
        <v>0</v>
      </c>
    </row>
    <row r="1653" customFormat="1" ht="12.75" hidden="1" spans="1:10">
      <c r="A1653" s="64"/>
      <c r="B1653" s="73" t="s">
        <v>3157</v>
      </c>
      <c r="C1653" s="66" t="s">
        <v>3158</v>
      </c>
      <c r="D1653" s="67">
        <v>0.1739</v>
      </c>
      <c r="E1653" s="68"/>
      <c r="F1653" s="69">
        <v>0.7</v>
      </c>
      <c r="G1653" s="70"/>
      <c r="H1653" s="71">
        <v>0.4</v>
      </c>
      <c r="I1653" s="71">
        <v>0</v>
      </c>
      <c r="J1653" s="71">
        <v>0</v>
      </c>
    </row>
    <row r="1654" customFormat="1" ht="12.75" hidden="1" spans="1:10">
      <c r="A1654" s="64"/>
      <c r="B1654" s="73" t="s">
        <v>3159</v>
      </c>
      <c r="C1654" s="66" t="s">
        <v>3160</v>
      </c>
      <c r="D1654" s="67">
        <v>0.1739</v>
      </c>
      <c r="E1654" s="68"/>
      <c r="F1654" s="69">
        <v>0.7</v>
      </c>
      <c r="G1654" s="70"/>
      <c r="H1654" s="71">
        <v>0.4</v>
      </c>
      <c r="I1654" s="71">
        <v>0</v>
      </c>
      <c r="J1654" s="71">
        <v>0</v>
      </c>
    </row>
    <row r="1655" customFormat="1" ht="12.75" hidden="1" spans="1:10">
      <c r="A1655" s="64"/>
      <c r="B1655" s="73" t="s">
        <v>3161</v>
      </c>
      <c r="C1655" s="66" t="s">
        <v>3162</v>
      </c>
      <c r="D1655" s="67">
        <v>0.1739</v>
      </c>
      <c r="E1655" s="68"/>
      <c r="F1655" s="69">
        <v>0.7</v>
      </c>
      <c r="G1655" s="70"/>
      <c r="H1655" s="71">
        <v>0.4</v>
      </c>
      <c r="I1655" s="71">
        <v>0</v>
      </c>
      <c r="J1655" s="71">
        <v>0</v>
      </c>
    </row>
    <row r="1656" customFormat="1" ht="12.75" hidden="1" spans="1:10">
      <c r="A1656" s="64"/>
      <c r="B1656" s="73" t="s">
        <v>3163</v>
      </c>
      <c r="C1656" s="66" t="s">
        <v>3164</v>
      </c>
      <c r="D1656" s="67">
        <v>0.1739</v>
      </c>
      <c r="E1656" s="68"/>
      <c r="F1656" s="69">
        <v>0.7</v>
      </c>
      <c r="G1656" s="70"/>
      <c r="H1656" s="71">
        <v>0.4</v>
      </c>
      <c r="I1656" s="71">
        <v>0</v>
      </c>
      <c r="J1656" s="71">
        <v>0</v>
      </c>
    </row>
    <row r="1657" customFormat="1" ht="12.75" hidden="1" spans="1:10">
      <c r="A1657" s="74"/>
      <c r="B1657" s="73" t="s">
        <v>3165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  <c r="I1657" s="71">
        <v>0</v>
      </c>
      <c r="J1657" s="71">
        <v>0</v>
      </c>
    </row>
    <row r="1658" customFormat="1" ht="12.75" hidden="1" spans="1:10">
      <c r="A1658" s="75"/>
      <c r="B1658" s="73" t="s">
        <v>3167</v>
      </c>
      <c r="C1658" s="66" t="s">
        <v>3166</v>
      </c>
      <c r="D1658" s="67">
        <v>0.3478</v>
      </c>
      <c r="E1658" s="68"/>
      <c r="F1658" s="69">
        <v>1.3</v>
      </c>
      <c r="G1658" s="70"/>
      <c r="H1658" s="71">
        <v>0.8</v>
      </c>
      <c r="I1658" s="71">
        <v>0</v>
      </c>
      <c r="J1658" s="71">
        <v>0</v>
      </c>
    </row>
    <row r="1659" customFormat="1" ht="12.75" hidden="1" spans="1:10">
      <c r="A1659" s="64"/>
      <c r="B1659" s="73" t="s">
        <v>3168</v>
      </c>
      <c r="C1659" s="66" t="s">
        <v>3169</v>
      </c>
      <c r="D1659" s="67">
        <v>0.4348</v>
      </c>
      <c r="E1659" s="68"/>
      <c r="F1659" s="69">
        <v>1.6</v>
      </c>
      <c r="G1659" s="70"/>
      <c r="H1659" s="71">
        <v>1</v>
      </c>
      <c r="I1659" s="71">
        <v>0</v>
      </c>
      <c r="J1659" s="71">
        <v>0</v>
      </c>
    </row>
    <row r="1660" customFormat="1" ht="12.75" hidden="1" spans="1:10">
      <c r="A1660" s="64"/>
      <c r="B1660" s="73" t="s">
        <v>3170</v>
      </c>
      <c r="C1660" s="66" t="s">
        <v>3171</v>
      </c>
      <c r="D1660" s="67">
        <v>1.0435</v>
      </c>
      <c r="E1660" s="68"/>
      <c r="F1660" s="69">
        <v>3</v>
      </c>
      <c r="G1660" s="70"/>
      <c r="H1660" s="71">
        <v>2.4</v>
      </c>
      <c r="I1660" s="71">
        <v>0</v>
      </c>
      <c r="J1660" s="71">
        <v>0</v>
      </c>
    </row>
    <row r="1661" customFormat="1" ht="12.75" hidden="1" spans="1:10">
      <c r="A1661" s="64"/>
      <c r="B1661" s="73" t="s">
        <v>3172</v>
      </c>
      <c r="C1661" s="66" t="s">
        <v>3173</v>
      </c>
      <c r="D1661" s="67">
        <v>1</v>
      </c>
      <c r="E1661" s="68"/>
      <c r="F1661" s="69">
        <v>3.6</v>
      </c>
      <c r="G1661" s="70"/>
      <c r="H1661" s="71">
        <v>2.3</v>
      </c>
      <c r="I1661" s="71">
        <v>0</v>
      </c>
      <c r="J1661" s="71">
        <v>0</v>
      </c>
    </row>
    <row r="1662" customFormat="1" ht="12.75" hidden="1" spans="1:10">
      <c r="A1662" s="64"/>
      <c r="B1662" s="73" t="s">
        <v>3174</v>
      </c>
      <c r="C1662" s="66" t="s">
        <v>3175</v>
      </c>
      <c r="D1662" s="67">
        <v>0.8261</v>
      </c>
      <c r="E1662" s="68"/>
      <c r="F1662" s="69">
        <v>3</v>
      </c>
      <c r="G1662" s="70"/>
      <c r="H1662" s="71">
        <v>1.9</v>
      </c>
      <c r="I1662" s="71">
        <v>0</v>
      </c>
      <c r="J1662" s="71">
        <v>0</v>
      </c>
    </row>
    <row r="1663" customFormat="1" ht="12.75" hidden="1" spans="1:10">
      <c r="A1663" s="64"/>
      <c r="B1663" s="73" t="s">
        <v>3176</v>
      </c>
      <c r="C1663" s="66" t="s">
        <v>3177</v>
      </c>
      <c r="D1663" s="67">
        <v>1.3913</v>
      </c>
      <c r="E1663" s="68"/>
      <c r="F1663" s="69">
        <v>5</v>
      </c>
      <c r="G1663" s="70"/>
      <c r="H1663" s="71">
        <v>3.2</v>
      </c>
      <c r="I1663" s="71">
        <v>0</v>
      </c>
      <c r="J1663" s="71">
        <v>0</v>
      </c>
    </row>
    <row r="1664" customFormat="1" ht="12.75" hidden="1" spans="1:10">
      <c r="A1664" s="64"/>
      <c r="B1664" s="73" t="s">
        <v>3178</v>
      </c>
      <c r="C1664" s="66" t="s">
        <v>3179</v>
      </c>
      <c r="D1664" s="82">
        <v>11.0435</v>
      </c>
      <c r="E1664" s="83"/>
      <c r="F1664" s="79">
        <v>40.6</v>
      </c>
      <c r="G1664" s="80"/>
      <c r="H1664" s="71">
        <v>25.4</v>
      </c>
      <c r="I1664" s="71">
        <v>0</v>
      </c>
      <c r="J1664" s="71">
        <v>0</v>
      </c>
    </row>
    <row r="1665" ht="12.75" hidden="1" spans="1:21">
      <c r="A1665" s="64"/>
      <c r="B1665" s="73" t="s">
        <v>3180</v>
      </c>
      <c r="C1665" s="66" t="s">
        <v>3181</v>
      </c>
      <c r="D1665" s="67">
        <v>1.1304</v>
      </c>
      <c r="E1665" s="68"/>
      <c r="F1665" s="69">
        <v>4</v>
      </c>
      <c r="G1665" s="70"/>
      <c r="H1665" s="71">
        <v>2.6</v>
      </c>
      <c r="I1665" s="71">
        <v>0</v>
      </c>
      <c r="J1665" s="71">
        <v>0</v>
      </c>
      <c r="M1665"/>
      <c r="N1665"/>
      <c r="O1665"/>
      <c r="P1665"/>
      <c r="Q1665"/>
      <c r="R1665"/>
      <c r="S1665"/>
      <c r="T1665"/>
      <c r="U1665"/>
    </row>
    <row r="1666" ht="12.75" hidden="1" spans="1:21">
      <c r="A1666" s="64"/>
      <c r="B1666" s="73" t="s">
        <v>3182</v>
      </c>
      <c r="C1666" s="66" t="s">
        <v>3183</v>
      </c>
      <c r="D1666" s="67">
        <v>0.4348</v>
      </c>
      <c r="E1666" s="68"/>
      <c r="F1666" s="69">
        <v>1.5</v>
      </c>
      <c r="G1666" s="70"/>
      <c r="H1666" s="71">
        <v>1</v>
      </c>
      <c r="I1666" s="71">
        <v>0</v>
      </c>
      <c r="J1666" s="71">
        <v>0</v>
      </c>
      <c r="M1666"/>
      <c r="N1666"/>
      <c r="O1666"/>
      <c r="P1666"/>
      <c r="Q1666"/>
      <c r="R1666"/>
      <c r="S1666"/>
      <c r="T1666"/>
      <c r="U1666"/>
    </row>
    <row r="1667" ht="25.5" hidden="1" spans="1:21">
      <c r="A1667" s="64"/>
      <c r="B1667" s="73" t="s">
        <v>3184</v>
      </c>
      <c r="C1667" s="66" t="s">
        <v>3185</v>
      </c>
      <c r="D1667" s="67">
        <v>1.2174</v>
      </c>
      <c r="E1667" s="68"/>
      <c r="F1667" s="69">
        <v>4.5</v>
      </c>
      <c r="G1667" s="70"/>
      <c r="H1667" s="71">
        <v>2.8</v>
      </c>
      <c r="I1667" s="71">
        <v>0</v>
      </c>
      <c r="J1667" s="71">
        <v>0</v>
      </c>
      <c r="M1667"/>
      <c r="N1667"/>
      <c r="O1667"/>
      <c r="P1667"/>
      <c r="Q1667"/>
      <c r="R1667"/>
      <c r="S1667"/>
      <c r="T1667"/>
      <c r="U1667"/>
    </row>
    <row r="1668" ht="12.75" hidden="1" spans="1:21">
      <c r="A1668" s="64"/>
      <c r="B1668" s="73" t="s">
        <v>3186</v>
      </c>
      <c r="C1668" s="66" t="s">
        <v>3187</v>
      </c>
      <c r="D1668" s="67">
        <v>0.8696</v>
      </c>
      <c r="E1668" s="68"/>
      <c r="F1668" s="69">
        <v>3.2</v>
      </c>
      <c r="G1668" s="70"/>
      <c r="H1668" s="71">
        <v>2</v>
      </c>
      <c r="I1668" s="71">
        <v>0</v>
      </c>
      <c r="J1668" s="71">
        <v>0</v>
      </c>
      <c r="M1668"/>
      <c r="N1668"/>
      <c r="O1668"/>
      <c r="P1668"/>
      <c r="Q1668"/>
      <c r="R1668"/>
      <c r="S1668"/>
      <c r="T1668"/>
      <c r="U1668"/>
    </row>
    <row r="1669" ht="12.75" hidden="1" spans="1:21">
      <c r="A1669" s="64"/>
      <c r="B1669" s="73" t="s">
        <v>3188</v>
      </c>
      <c r="C1669" s="66" t="s">
        <v>3189</v>
      </c>
      <c r="D1669" s="67">
        <v>1.3478</v>
      </c>
      <c r="E1669" s="68"/>
      <c r="F1669" s="69">
        <v>5</v>
      </c>
      <c r="G1669" s="70"/>
      <c r="H1669" s="71">
        <v>3.1</v>
      </c>
      <c r="I1669" s="71">
        <v>0</v>
      </c>
      <c r="J1669" s="71">
        <v>0</v>
      </c>
      <c r="M1669"/>
      <c r="N1669"/>
      <c r="O1669"/>
      <c r="P1669"/>
      <c r="Q1669"/>
      <c r="R1669"/>
      <c r="S1669"/>
      <c r="T1669"/>
      <c r="U1669"/>
    </row>
    <row r="1670" ht="12.75" hidden="1" spans="1:21">
      <c r="A1670" s="64"/>
      <c r="B1670" s="73" t="s">
        <v>3190</v>
      </c>
      <c r="C1670" s="66" t="s">
        <v>3191</v>
      </c>
      <c r="D1670" s="67">
        <v>0.1304</v>
      </c>
      <c r="E1670" s="68"/>
      <c r="F1670" s="69">
        <v>0.5</v>
      </c>
      <c r="G1670" s="70"/>
      <c r="H1670" s="71">
        <v>0.3</v>
      </c>
      <c r="I1670" s="71">
        <v>0</v>
      </c>
      <c r="J1670" s="71">
        <v>0</v>
      </c>
      <c r="M1670"/>
      <c r="N1670"/>
      <c r="O1670"/>
      <c r="P1670"/>
      <c r="Q1670"/>
      <c r="R1670"/>
      <c r="S1670"/>
      <c r="T1670"/>
      <c r="U1670"/>
    </row>
    <row r="1671" ht="12.75" hidden="1" spans="1:21">
      <c r="A1671" s="64"/>
      <c r="B1671" s="73" t="s">
        <v>3192</v>
      </c>
      <c r="C1671" s="66" t="s">
        <v>3193</v>
      </c>
      <c r="D1671" s="67">
        <v>0.1304</v>
      </c>
      <c r="E1671" s="68"/>
      <c r="F1671" s="69">
        <v>0.5</v>
      </c>
      <c r="G1671" s="70"/>
      <c r="H1671" s="71">
        <v>0.3</v>
      </c>
      <c r="I1671" s="71">
        <v>0</v>
      </c>
      <c r="J1671" s="71">
        <v>0</v>
      </c>
      <c r="M1671"/>
      <c r="N1671"/>
      <c r="O1671"/>
      <c r="P1671"/>
      <c r="Q1671"/>
      <c r="R1671"/>
      <c r="S1671"/>
      <c r="T1671"/>
      <c r="U1671"/>
    </row>
    <row r="1672" ht="38.25" spans="1:20">
      <c r="A1672" s="72" t="s">
        <v>3773</v>
      </c>
      <c r="B1672" s="73" t="s">
        <v>3194</v>
      </c>
      <c r="C1672" s="66" t="s">
        <v>3195</v>
      </c>
      <c r="D1672" s="67">
        <v>0.1304</v>
      </c>
      <c r="E1672" s="68"/>
      <c r="F1672" s="69">
        <v>0.5</v>
      </c>
      <c r="G1672" s="70"/>
      <c r="H1672" s="71">
        <v>0.3</v>
      </c>
      <c r="I1672" s="71"/>
      <c r="J1672" s="71"/>
      <c r="M1672" s="32">
        <v>4</v>
      </c>
      <c r="N1672" s="77">
        <f>+F1672</f>
        <v>0.5</v>
      </c>
      <c r="O1672" s="77">
        <f>+M1672*N1672</f>
        <v>2</v>
      </c>
      <c r="R1672" s="3">
        <f>+M1672</f>
        <v>4</v>
      </c>
      <c r="S1672" s="49">
        <f>+H1672</f>
        <v>0.3</v>
      </c>
      <c r="T1672" s="49">
        <f>+R1672*S1672</f>
        <v>1.2</v>
      </c>
    </row>
    <row r="1673" ht="12.75" hidden="1" spans="1:21">
      <c r="A1673" s="64"/>
      <c r="B1673" s="73" t="s">
        <v>3196</v>
      </c>
      <c r="C1673" s="66" t="s">
        <v>3197</v>
      </c>
      <c r="D1673" s="67">
        <v>0.2174</v>
      </c>
      <c r="E1673" s="68"/>
      <c r="F1673" s="69">
        <v>1</v>
      </c>
      <c r="G1673" s="70"/>
      <c r="H1673" s="71">
        <v>0.5</v>
      </c>
      <c r="I1673" s="71">
        <v>0</v>
      </c>
      <c r="J1673" s="71">
        <v>0</v>
      </c>
      <c r="M1673"/>
      <c r="N1673"/>
      <c r="O1673"/>
      <c r="P1673"/>
      <c r="Q1673"/>
      <c r="R1673"/>
      <c r="S1673"/>
      <c r="T1673"/>
      <c r="U1673"/>
    </row>
    <row r="1674" ht="12.75" hidden="1" spans="1:21">
      <c r="A1674" s="64"/>
      <c r="B1674" s="73" t="s">
        <v>3198</v>
      </c>
      <c r="C1674" s="66" t="s">
        <v>3199</v>
      </c>
      <c r="D1674" s="67">
        <v>0.1304</v>
      </c>
      <c r="E1674" s="68"/>
      <c r="F1674" s="69">
        <v>0.4</v>
      </c>
      <c r="G1674" s="70"/>
      <c r="H1674" s="71">
        <v>0.3</v>
      </c>
      <c r="I1674" s="71">
        <v>0</v>
      </c>
      <c r="J1674" s="71">
        <v>0</v>
      </c>
      <c r="M1674"/>
      <c r="N1674"/>
      <c r="O1674"/>
      <c r="P1674"/>
      <c r="Q1674"/>
      <c r="R1674"/>
      <c r="S1674"/>
      <c r="T1674"/>
      <c r="U1674"/>
    </row>
    <row r="1675" ht="12.75" hidden="1" spans="1:21">
      <c r="A1675" s="64"/>
      <c r="B1675" s="73" t="s">
        <v>3200</v>
      </c>
      <c r="C1675" s="66" t="s">
        <v>3201</v>
      </c>
      <c r="D1675" s="67">
        <v>0.2174</v>
      </c>
      <c r="E1675" s="68"/>
      <c r="F1675" s="69">
        <v>1</v>
      </c>
      <c r="G1675" s="70"/>
      <c r="H1675" s="71">
        <v>0.5</v>
      </c>
      <c r="I1675" s="71">
        <v>0</v>
      </c>
      <c r="J1675" s="71">
        <v>0</v>
      </c>
      <c r="M1675"/>
      <c r="N1675"/>
      <c r="O1675"/>
      <c r="P1675"/>
      <c r="Q1675"/>
      <c r="R1675"/>
      <c r="S1675"/>
      <c r="T1675"/>
      <c r="U1675"/>
    </row>
    <row r="1676" ht="12.75" hidden="1" spans="1:21">
      <c r="A1676" s="64"/>
      <c r="B1676" s="73" t="s">
        <v>3202</v>
      </c>
      <c r="C1676" s="66" t="s">
        <v>3203</v>
      </c>
      <c r="D1676" s="67">
        <v>0.2174</v>
      </c>
      <c r="E1676" s="68"/>
      <c r="F1676" s="69">
        <v>1</v>
      </c>
      <c r="G1676" s="70"/>
      <c r="H1676" s="71">
        <v>0.5</v>
      </c>
      <c r="I1676" s="71">
        <v>0</v>
      </c>
      <c r="J1676" s="71">
        <v>0</v>
      </c>
      <c r="M1676"/>
      <c r="N1676"/>
      <c r="O1676"/>
      <c r="P1676"/>
      <c r="Q1676"/>
      <c r="R1676"/>
      <c r="S1676"/>
      <c r="T1676"/>
      <c r="U1676"/>
    </row>
    <row r="1677" ht="12.75" hidden="1" spans="1:21">
      <c r="A1677" s="64"/>
      <c r="B1677" s="73" t="s">
        <v>3204</v>
      </c>
      <c r="C1677" s="66" t="s">
        <v>3205</v>
      </c>
      <c r="D1677" s="67">
        <v>1.1739</v>
      </c>
      <c r="E1677" s="68"/>
      <c r="F1677" s="69">
        <v>4</v>
      </c>
      <c r="G1677" s="70"/>
      <c r="H1677" s="71">
        <v>2.7</v>
      </c>
      <c r="I1677" s="71">
        <v>0</v>
      </c>
      <c r="J1677" s="71">
        <v>0</v>
      </c>
      <c r="M1677"/>
      <c r="N1677"/>
      <c r="O1677"/>
      <c r="P1677"/>
      <c r="Q1677"/>
      <c r="R1677"/>
      <c r="S1677"/>
      <c r="T1677"/>
      <c r="U1677"/>
    </row>
    <row r="1678" ht="12.75" hidden="1" spans="1:21">
      <c r="A1678" s="64"/>
      <c r="B1678" s="73" t="s">
        <v>3206</v>
      </c>
      <c r="C1678" s="66" t="s">
        <v>3207</v>
      </c>
      <c r="D1678" s="67">
        <v>0.4348</v>
      </c>
      <c r="E1678" s="68"/>
      <c r="F1678" s="69">
        <v>2</v>
      </c>
      <c r="G1678" s="70"/>
      <c r="H1678" s="71">
        <v>1</v>
      </c>
      <c r="I1678" s="71">
        <v>0</v>
      </c>
      <c r="J1678" s="71">
        <v>0</v>
      </c>
      <c r="M1678"/>
      <c r="N1678"/>
      <c r="O1678"/>
      <c r="P1678"/>
      <c r="Q1678"/>
      <c r="R1678"/>
      <c r="S1678"/>
      <c r="T1678"/>
      <c r="U1678"/>
    </row>
    <row r="1679" ht="12.75" hidden="1" spans="1:21">
      <c r="A1679" s="64"/>
      <c r="B1679" s="73" t="s">
        <v>3208</v>
      </c>
      <c r="C1679" s="66" t="s">
        <v>3209</v>
      </c>
      <c r="D1679" s="67">
        <v>3.6522</v>
      </c>
      <c r="E1679" s="68"/>
      <c r="F1679" s="79">
        <v>13.5</v>
      </c>
      <c r="G1679" s="80"/>
      <c r="H1679" s="71">
        <v>8.4</v>
      </c>
      <c r="I1679" s="71">
        <v>0</v>
      </c>
      <c r="J1679" s="71">
        <v>0</v>
      </c>
      <c r="M1679"/>
      <c r="N1679"/>
      <c r="O1679"/>
      <c r="P1679"/>
      <c r="Q1679"/>
      <c r="R1679"/>
      <c r="S1679"/>
      <c r="T1679"/>
      <c r="U1679"/>
    </row>
    <row r="1680" ht="12.75" hidden="1" spans="1:21">
      <c r="A1680" s="64"/>
      <c r="B1680" s="73" t="s">
        <v>3210</v>
      </c>
      <c r="C1680" s="66" t="s">
        <v>3211</v>
      </c>
      <c r="D1680" s="67">
        <v>1.7391</v>
      </c>
      <c r="E1680" s="68"/>
      <c r="F1680" s="69">
        <v>5</v>
      </c>
      <c r="G1680" s="70"/>
      <c r="H1680" s="71">
        <v>4</v>
      </c>
      <c r="I1680" s="71">
        <v>0</v>
      </c>
      <c r="J1680" s="71">
        <v>0</v>
      </c>
      <c r="M1680"/>
      <c r="N1680"/>
      <c r="O1680"/>
      <c r="P1680"/>
      <c r="Q1680"/>
      <c r="R1680"/>
      <c r="S1680"/>
      <c r="T1680"/>
      <c r="U1680"/>
    </row>
    <row r="1681" customFormat="1" ht="12.75" hidden="1" spans="1:10">
      <c r="A1681" s="64"/>
      <c r="B1681" s="73" t="s">
        <v>3212</v>
      </c>
      <c r="C1681" s="66" t="s">
        <v>3213</v>
      </c>
      <c r="D1681" s="67">
        <v>0.3913</v>
      </c>
      <c r="E1681" s="68"/>
      <c r="F1681" s="69">
        <v>1.5</v>
      </c>
      <c r="G1681" s="70"/>
      <c r="H1681" s="71">
        <v>0.9</v>
      </c>
      <c r="I1681" s="71">
        <v>0</v>
      </c>
      <c r="J1681" s="71">
        <v>0</v>
      </c>
    </row>
    <row r="1682" customFormat="1" ht="12.75" hidden="1" spans="1:10">
      <c r="A1682" s="64"/>
      <c r="B1682" s="73" t="s">
        <v>3214</v>
      </c>
      <c r="C1682" s="66" t="s">
        <v>3215</v>
      </c>
      <c r="D1682" s="67">
        <v>0.3913</v>
      </c>
      <c r="E1682" s="68"/>
      <c r="F1682" s="69">
        <v>1.5</v>
      </c>
      <c r="G1682" s="70"/>
      <c r="H1682" s="71">
        <v>0.9</v>
      </c>
      <c r="I1682" s="71">
        <v>0</v>
      </c>
      <c r="J1682" s="71">
        <v>0</v>
      </c>
    </row>
    <row r="1683" customFormat="1" ht="12.75" hidden="1" spans="1:10">
      <c r="A1683" s="64"/>
      <c r="B1683" s="73" t="s">
        <v>3216</v>
      </c>
      <c r="C1683" s="66" t="s">
        <v>3217</v>
      </c>
      <c r="D1683" s="67">
        <v>0.3043</v>
      </c>
      <c r="E1683" s="68"/>
      <c r="F1683" s="69">
        <v>1.5</v>
      </c>
      <c r="G1683" s="70"/>
      <c r="H1683" s="71">
        <v>0.7</v>
      </c>
      <c r="I1683" s="71">
        <v>0</v>
      </c>
      <c r="J1683" s="71">
        <v>0</v>
      </c>
    </row>
    <row r="1684" customFormat="1" ht="12.75" hidden="1" spans="1:10">
      <c r="A1684" s="64"/>
      <c r="B1684" s="73" t="s">
        <v>3218</v>
      </c>
      <c r="C1684" s="66" t="s">
        <v>3219</v>
      </c>
      <c r="D1684" s="67">
        <v>2.5652</v>
      </c>
      <c r="E1684" s="68"/>
      <c r="F1684" s="69">
        <v>9.5</v>
      </c>
      <c r="G1684" s="70"/>
      <c r="H1684" s="71">
        <v>5.9</v>
      </c>
      <c r="I1684" s="71">
        <v>0</v>
      </c>
      <c r="J1684" s="71">
        <v>0</v>
      </c>
    </row>
    <row r="1685" customFormat="1" ht="12.75" hidden="1" spans="1:10">
      <c r="A1685" s="64"/>
      <c r="B1685" s="73" t="s">
        <v>3220</v>
      </c>
      <c r="C1685" s="66" t="s">
        <v>3221</v>
      </c>
      <c r="D1685" s="67">
        <v>1.6087</v>
      </c>
      <c r="E1685" s="68"/>
      <c r="F1685" s="69">
        <v>6</v>
      </c>
      <c r="G1685" s="70"/>
      <c r="H1685" s="71">
        <v>3.7</v>
      </c>
      <c r="I1685" s="71">
        <v>0</v>
      </c>
      <c r="J1685" s="71">
        <v>0</v>
      </c>
    </row>
    <row r="1686" customFormat="1" ht="12.75" hidden="1" spans="1:10">
      <c r="A1686" s="64"/>
      <c r="B1686" s="73" t="s">
        <v>3222</v>
      </c>
      <c r="C1686" s="66" t="s">
        <v>3223</v>
      </c>
      <c r="D1686" s="67">
        <v>1.6087</v>
      </c>
      <c r="E1686" s="68"/>
      <c r="F1686" s="69">
        <v>6</v>
      </c>
      <c r="G1686" s="70"/>
      <c r="H1686" s="71">
        <v>3.7</v>
      </c>
      <c r="I1686" s="71">
        <v>0</v>
      </c>
      <c r="J1686" s="71">
        <v>0</v>
      </c>
    </row>
    <row r="1687" customFormat="1" ht="12.75" hidden="1" spans="1:10">
      <c r="A1687" s="64"/>
      <c r="B1687" s="73" t="s">
        <v>3224</v>
      </c>
      <c r="C1687" s="66" t="s">
        <v>3225</v>
      </c>
      <c r="D1687" s="67">
        <v>1.6087</v>
      </c>
      <c r="E1687" s="68"/>
      <c r="F1687" s="69">
        <v>6</v>
      </c>
      <c r="G1687" s="70"/>
      <c r="H1687" s="71">
        <v>3.7</v>
      </c>
      <c r="I1687" s="71">
        <v>0</v>
      </c>
      <c r="J1687" s="71">
        <v>0</v>
      </c>
    </row>
    <row r="1688" customFormat="1" ht="12.75" hidden="1" spans="1:10">
      <c r="A1688" s="64"/>
      <c r="B1688" s="73" t="s">
        <v>3226</v>
      </c>
      <c r="C1688" s="66" t="s">
        <v>3227</v>
      </c>
      <c r="D1688" s="67">
        <v>1.6087</v>
      </c>
      <c r="E1688" s="68"/>
      <c r="F1688" s="69">
        <v>6</v>
      </c>
      <c r="G1688" s="70"/>
      <c r="H1688" s="71">
        <v>3.7</v>
      </c>
      <c r="I1688" s="71">
        <v>0</v>
      </c>
      <c r="J1688" s="71">
        <v>0</v>
      </c>
    </row>
    <row r="1689" customFormat="1" ht="12.75" hidden="1" spans="1:10">
      <c r="A1689" s="64"/>
      <c r="B1689" s="73" t="s">
        <v>3228</v>
      </c>
      <c r="C1689" s="66" t="s">
        <v>3229</v>
      </c>
      <c r="D1689" s="67">
        <v>1.6522</v>
      </c>
      <c r="E1689" s="68"/>
      <c r="F1689" s="69">
        <v>6</v>
      </c>
      <c r="G1689" s="70"/>
      <c r="H1689" s="71">
        <v>3.8</v>
      </c>
      <c r="I1689" s="71">
        <v>0</v>
      </c>
      <c r="J1689" s="71">
        <v>0</v>
      </c>
    </row>
    <row r="1690" customFormat="1" ht="12.75" hidden="1" spans="1:10">
      <c r="A1690" s="64"/>
      <c r="B1690" s="73" t="s">
        <v>3230</v>
      </c>
      <c r="C1690" s="66" t="s">
        <v>3231</v>
      </c>
      <c r="D1690" s="67">
        <v>1.4783</v>
      </c>
      <c r="E1690" s="68"/>
      <c r="F1690" s="69">
        <v>5.4</v>
      </c>
      <c r="G1690" s="70"/>
      <c r="H1690" s="71">
        <v>3.4</v>
      </c>
      <c r="I1690" s="71">
        <v>0</v>
      </c>
      <c r="J1690" s="71">
        <v>0</v>
      </c>
    </row>
    <row r="1691" customFormat="1" ht="12.75" hidden="1" spans="1:10">
      <c r="A1691" s="64"/>
      <c r="B1691" s="73" t="s">
        <v>3232</v>
      </c>
      <c r="C1691" s="66" t="s">
        <v>3233</v>
      </c>
      <c r="D1691" s="67">
        <v>5.7826</v>
      </c>
      <c r="E1691" s="68"/>
      <c r="F1691" s="79">
        <v>21.3</v>
      </c>
      <c r="G1691" s="80"/>
      <c r="H1691" s="71">
        <v>13.3</v>
      </c>
      <c r="I1691" s="71">
        <v>0</v>
      </c>
      <c r="J1691" s="71">
        <v>0</v>
      </c>
    </row>
    <row r="1692" customFormat="1" ht="12.75" hidden="1" spans="1:10">
      <c r="A1692" s="64"/>
      <c r="B1692" s="73" t="s">
        <v>3234</v>
      </c>
      <c r="C1692" s="66" t="s">
        <v>3235</v>
      </c>
      <c r="D1692" s="67">
        <v>1.3478</v>
      </c>
      <c r="E1692" s="68"/>
      <c r="F1692" s="69">
        <v>5</v>
      </c>
      <c r="G1692" s="70"/>
      <c r="H1692" s="71">
        <v>3.1</v>
      </c>
      <c r="I1692" s="71">
        <v>0</v>
      </c>
      <c r="J1692" s="71">
        <v>0</v>
      </c>
    </row>
    <row r="1693" customFormat="1" ht="12.75" hidden="1" spans="1:10">
      <c r="A1693" s="64"/>
      <c r="B1693" s="73" t="s">
        <v>3236</v>
      </c>
      <c r="C1693" s="66" t="s">
        <v>3237</v>
      </c>
      <c r="D1693" s="67">
        <v>1.4783</v>
      </c>
      <c r="E1693" s="68"/>
      <c r="F1693" s="69">
        <v>5.5</v>
      </c>
      <c r="G1693" s="70"/>
      <c r="H1693" s="71">
        <v>3.4</v>
      </c>
      <c r="I1693" s="71">
        <v>0</v>
      </c>
      <c r="J1693" s="71">
        <v>0</v>
      </c>
    </row>
    <row r="1694" customFormat="1" ht="12.75" hidden="1" spans="1:10">
      <c r="A1694" s="64"/>
      <c r="B1694" s="73" t="s">
        <v>3238</v>
      </c>
      <c r="C1694" s="66" t="s">
        <v>3239</v>
      </c>
      <c r="D1694" s="67">
        <v>1.8696</v>
      </c>
      <c r="E1694" s="68"/>
      <c r="F1694" s="69">
        <v>7</v>
      </c>
      <c r="G1694" s="70"/>
      <c r="H1694" s="71">
        <v>4.3</v>
      </c>
      <c r="I1694" s="71">
        <v>0</v>
      </c>
      <c r="J1694" s="71">
        <v>0</v>
      </c>
    </row>
    <row r="1695" customFormat="1" ht="12.75" hidden="1" spans="1:10">
      <c r="A1695" s="64"/>
      <c r="B1695" s="73" t="s">
        <v>3240</v>
      </c>
      <c r="C1695" s="66" t="s">
        <v>3241</v>
      </c>
      <c r="D1695" s="67">
        <v>0.4348</v>
      </c>
      <c r="E1695" s="68"/>
      <c r="F1695" s="69">
        <v>1.5</v>
      </c>
      <c r="G1695" s="70"/>
      <c r="H1695" s="71">
        <v>1</v>
      </c>
      <c r="I1695" s="71">
        <v>0</v>
      </c>
      <c r="J1695" s="71">
        <v>0</v>
      </c>
    </row>
    <row r="1696" customFormat="1" ht="12.75" hidden="1" spans="1:10">
      <c r="A1696" s="64"/>
      <c r="B1696" s="73" t="s">
        <v>3242</v>
      </c>
      <c r="C1696" s="66" t="s">
        <v>3243</v>
      </c>
      <c r="D1696" s="67">
        <v>1.2174</v>
      </c>
      <c r="E1696" s="68"/>
      <c r="F1696" s="69">
        <v>4.5</v>
      </c>
      <c r="G1696" s="70"/>
      <c r="H1696" s="71">
        <v>2.8</v>
      </c>
      <c r="I1696" s="71">
        <v>0</v>
      </c>
      <c r="J1696" s="71">
        <v>0</v>
      </c>
    </row>
    <row r="1697" customFormat="1" ht="12.75" hidden="1" spans="1:10">
      <c r="A1697" s="64"/>
      <c r="B1697" s="73" t="s">
        <v>3244</v>
      </c>
      <c r="C1697" s="66" t="s">
        <v>3245</v>
      </c>
      <c r="D1697" s="67">
        <v>1.087</v>
      </c>
      <c r="E1697" s="68"/>
      <c r="F1697" s="69">
        <v>3.4</v>
      </c>
      <c r="G1697" s="70"/>
      <c r="H1697" s="71">
        <v>2.5</v>
      </c>
      <c r="I1697" s="71">
        <v>0</v>
      </c>
      <c r="J1697" s="71">
        <v>0</v>
      </c>
    </row>
    <row r="1698" customFormat="1" ht="25.5" hidden="1" spans="1:10">
      <c r="A1698" s="64"/>
      <c r="B1698" s="73" t="s">
        <v>3246</v>
      </c>
      <c r="C1698" s="66" t="s">
        <v>3247</v>
      </c>
      <c r="D1698" s="67">
        <v>3.6522</v>
      </c>
      <c r="E1698" s="68"/>
      <c r="F1698" s="79">
        <v>13</v>
      </c>
      <c r="G1698" s="80"/>
      <c r="H1698" s="71">
        <v>8.4</v>
      </c>
      <c r="I1698" s="71">
        <v>0</v>
      </c>
      <c r="J1698" s="71">
        <v>0</v>
      </c>
    </row>
    <row r="1699" customFormat="1" ht="12.75" hidden="1" spans="1:10">
      <c r="A1699" s="74"/>
      <c r="B1699" s="73" t="s">
        <v>3248</v>
      </c>
      <c r="C1699" s="66" t="s">
        <v>3249</v>
      </c>
      <c r="D1699" s="67">
        <v>1.5217</v>
      </c>
      <c r="E1699" s="68"/>
      <c r="F1699" s="69">
        <v>0</v>
      </c>
      <c r="G1699" s="70"/>
      <c r="H1699" s="71">
        <v>0</v>
      </c>
      <c r="I1699" s="71">
        <v>3.5</v>
      </c>
      <c r="J1699" s="71">
        <v>2</v>
      </c>
    </row>
    <row r="1700" customFormat="1" ht="12.75" hidden="1" spans="1:10">
      <c r="A1700" s="75"/>
      <c r="B1700" s="73" t="s">
        <v>3250</v>
      </c>
      <c r="C1700" s="66" t="s">
        <v>3249</v>
      </c>
      <c r="D1700" s="67">
        <v>0.8696</v>
      </c>
      <c r="E1700" s="68"/>
      <c r="F1700" s="69">
        <v>3.5</v>
      </c>
      <c r="G1700" s="70"/>
      <c r="H1700" s="71">
        <v>2</v>
      </c>
      <c r="I1700" s="71">
        <v>0</v>
      </c>
      <c r="J1700" s="71">
        <v>0</v>
      </c>
    </row>
    <row r="1701" customFormat="1" ht="12.75" hidden="1" spans="1:10">
      <c r="A1701" s="74"/>
      <c r="B1701" s="73" t="s">
        <v>3251</v>
      </c>
      <c r="C1701" s="66" t="s">
        <v>3252</v>
      </c>
      <c r="D1701" s="67">
        <v>2.4348</v>
      </c>
      <c r="E1701" s="68"/>
      <c r="F1701" s="69">
        <v>3.5</v>
      </c>
      <c r="G1701" s="70"/>
      <c r="H1701" s="71">
        <v>2</v>
      </c>
      <c r="I1701" s="71">
        <v>0</v>
      </c>
      <c r="J1701" s="71">
        <v>0</v>
      </c>
    </row>
    <row r="1702" customFormat="1" ht="12.75" hidden="1" spans="1:10">
      <c r="A1702" s="84"/>
      <c r="B1702" s="73" t="s">
        <v>3253</v>
      </c>
      <c r="C1702" s="66" t="s">
        <v>3252</v>
      </c>
      <c r="D1702" s="67">
        <v>0.2174</v>
      </c>
      <c r="E1702" s="68"/>
      <c r="F1702" s="69">
        <v>1</v>
      </c>
      <c r="G1702" s="70"/>
      <c r="H1702" s="71">
        <v>0.5</v>
      </c>
      <c r="I1702" s="71">
        <v>0</v>
      </c>
      <c r="J1702" s="71">
        <v>0</v>
      </c>
    </row>
    <row r="1703" customFormat="1" ht="12.75" hidden="1" spans="1:10">
      <c r="A1703" s="75"/>
      <c r="B1703" s="73" t="s">
        <v>3254</v>
      </c>
      <c r="C1703" s="66" t="s">
        <v>3252</v>
      </c>
      <c r="D1703" s="67">
        <v>1.1304</v>
      </c>
      <c r="E1703" s="68"/>
      <c r="F1703" s="69">
        <v>3</v>
      </c>
      <c r="G1703" s="70"/>
      <c r="H1703" s="71">
        <v>2.6</v>
      </c>
      <c r="I1703" s="71">
        <v>0</v>
      </c>
      <c r="J1703" s="71">
        <v>0</v>
      </c>
    </row>
    <row r="1704" customFormat="1" ht="12.75" hidden="1" spans="1:10">
      <c r="A1704" s="64"/>
      <c r="B1704" s="73" t="s">
        <v>3255</v>
      </c>
      <c r="C1704" s="66" t="s">
        <v>3256</v>
      </c>
      <c r="D1704" s="67">
        <v>1.1304</v>
      </c>
      <c r="E1704" s="68"/>
      <c r="F1704" s="69">
        <v>4.2</v>
      </c>
      <c r="G1704" s="70"/>
      <c r="H1704" s="71">
        <v>2.6</v>
      </c>
      <c r="I1704" s="71">
        <v>0</v>
      </c>
      <c r="J1704" s="71">
        <v>0</v>
      </c>
    </row>
    <row r="1705" customFormat="1" ht="12.75" hidden="1" spans="1:10">
      <c r="A1705" s="64"/>
      <c r="B1705" s="73" t="s">
        <v>3257</v>
      </c>
      <c r="C1705" s="66" t="s">
        <v>3258</v>
      </c>
      <c r="D1705" s="67">
        <v>0.9565</v>
      </c>
      <c r="E1705" s="68"/>
      <c r="F1705" s="69">
        <v>3.6</v>
      </c>
      <c r="G1705" s="70"/>
      <c r="H1705" s="71">
        <v>2.2</v>
      </c>
      <c r="I1705" s="71">
        <v>0</v>
      </c>
      <c r="J1705" s="71">
        <v>0</v>
      </c>
    </row>
    <row r="1706" customFormat="1" ht="12.75" hidden="1" spans="1:10">
      <c r="A1706" s="64"/>
      <c r="B1706" s="73" t="s">
        <v>3259</v>
      </c>
      <c r="C1706" s="66" t="s">
        <v>3260</v>
      </c>
      <c r="D1706" s="67">
        <v>1.087</v>
      </c>
      <c r="E1706" s="68"/>
      <c r="F1706" s="69">
        <v>4</v>
      </c>
      <c r="G1706" s="70"/>
      <c r="H1706" s="71">
        <v>2.5</v>
      </c>
      <c r="I1706" s="71">
        <v>0</v>
      </c>
      <c r="J1706" s="71">
        <v>0</v>
      </c>
    </row>
    <row r="1707" customFormat="1" ht="12.75" hidden="1" spans="1:10">
      <c r="A1707" s="64"/>
      <c r="B1707" s="73" t="s">
        <v>3261</v>
      </c>
      <c r="C1707" s="66" t="s">
        <v>3262</v>
      </c>
      <c r="D1707" s="67">
        <v>0.8261</v>
      </c>
      <c r="E1707" s="68"/>
      <c r="F1707" s="69">
        <v>3</v>
      </c>
      <c r="G1707" s="70"/>
      <c r="H1707" s="71">
        <v>1.9</v>
      </c>
      <c r="I1707" s="71">
        <v>0</v>
      </c>
      <c r="J1707" s="71">
        <v>0</v>
      </c>
    </row>
    <row r="1708" customFormat="1" ht="12.75" hidden="1" spans="1:10">
      <c r="A1708" s="64"/>
      <c r="B1708" s="73" t="s">
        <v>3263</v>
      </c>
      <c r="C1708" s="66" t="s">
        <v>3264</v>
      </c>
      <c r="D1708" s="67">
        <v>2.0435</v>
      </c>
      <c r="E1708" s="68"/>
      <c r="F1708" s="69">
        <v>0</v>
      </c>
      <c r="G1708" s="70"/>
      <c r="H1708" s="71">
        <v>0</v>
      </c>
      <c r="I1708" s="71">
        <v>4.7</v>
      </c>
      <c r="J1708" s="71">
        <v>3</v>
      </c>
    </row>
    <row r="1709" customFormat="1" ht="12.75" hidden="1" spans="1:10">
      <c r="A1709" s="64"/>
      <c r="B1709" s="73" t="s">
        <v>3265</v>
      </c>
      <c r="C1709" s="66" t="s">
        <v>3266</v>
      </c>
      <c r="D1709" s="67">
        <v>0.8696</v>
      </c>
      <c r="E1709" s="68"/>
      <c r="F1709" s="69">
        <v>4</v>
      </c>
      <c r="G1709" s="70"/>
      <c r="H1709" s="71">
        <v>2</v>
      </c>
      <c r="I1709" s="71">
        <v>0</v>
      </c>
      <c r="J1709" s="71">
        <v>0</v>
      </c>
    </row>
    <row r="1710" customFormat="1" ht="12.75" hidden="1" spans="1:10">
      <c r="A1710" s="64"/>
      <c r="B1710" s="65">
        <v>6925749712066</v>
      </c>
      <c r="C1710" s="66" t="s">
        <v>3267</v>
      </c>
      <c r="D1710" s="67">
        <v>1.087</v>
      </c>
      <c r="E1710" s="68"/>
      <c r="F1710" s="69">
        <v>3</v>
      </c>
      <c r="G1710" s="70"/>
      <c r="H1710" s="71">
        <v>2.5</v>
      </c>
      <c r="I1710" s="71">
        <v>0</v>
      </c>
      <c r="J1710" s="71">
        <v>0</v>
      </c>
    </row>
    <row r="1711" customFormat="1" ht="12.75" hidden="1" spans="1:10">
      <c r="A1711" s="64"/>
      <c r="B1711" s="73" t="s">
        <v>3268</v>
      </c>
      <c r="C1711" s="66" t="s">
        <v>3269</v>
      </c>
      <c r="D1711" s="67">
        <v>0.8261</v>
      </c>
      <c r="E1711" s="68"/>
      <c r="F1711" s="69">
        <v>3</v>
      </c>
      <c r="G1711" s="70"/>
      <c r="H1711" s="71">
        <v>1.9</v>
      </c>
      <c r="I1711" s="71">
        <v>0</v>
      </c>
      <c r="J1711" s="71">
        <v>0</v>
      </c>
    </row>
    <row r="1712" customFormat="1" ht="12.75" hidden="1" spans="1:10">
      <c r="A1712" s="64"/>
      <c r="B1712" s="73" t="s">
        <v>3270</v>
      </c>
      <c r="C1712" s="66" t="s">
        <v>3271</v>
      </c>
      <c r="D1712" s="67">
        <v>1.0435</v>
      </c>
      <c r="E1712" s="68"/>
      <c r="F1712" s="69">
        <v>3.9</v>
      </c>
      <c r="G1712" s="70"/>
      <c r="H1712" s="71">
        <v>2.4</v>
      </c>
      <c r="I1712" s="71">
        <v>0</v>
      </c>
      <c r="J1712" s="71">
        <v>0</v>
      </c>
    </row>
    <row r="1713" customFormat="1" ht="12.75" hidden="1" spans="1:10">
      <c r="A1713" s="64"/>
      <c r="B1713" s="73" t="s">
        <v>3272</v>
      </c>
      <c r="C1713" s="66" t="s">
        <v>3273</v>
      </c>
      <c r="D1713" s="67">
        <v>0.1739</v>
      </c>
      <c r="E1713" s="68"/>
      <c r="F1713" s="69">
        <v>1</v>
      </c>
      <c r="G1713" s="70"/>
      <c r="H1713" s="71">
        <v>0.4</v>
      </c>
      <c r="I1713" s="71">
        <v>0</v>
      </c>
      <c r="J1713" s="71">
        <v>0</v>
      </c>
    </row>
    <row r="1714" customFormat="1" ht="12.75" hidden="1" spans="1:10">
      <c r="A1714" s="64"/>
      <c r="B1714" s="73" t="s">
        <v>3274</v>
      </c>
      <c r="C1714" s="66" t="s">
        <v>3275</v>
      </c>
      <c r="D1714" s="67">
        <v>0.8696</v>
      </c>
      <c r="E1714" s="68"/>
      <c r="F1714" s="69">
        <v>3.5</v>
      </c>
      <c r="G1714" s="70"/>
      <c r="H1714" s="71">
        <v>2</v>
      </c>
      <c r="I1714" s="71">
        <v>0</v>
      </c>
      <c r="J1714" s="71">
        <v>0</v>
      </c>
    </row>
    <row r="1715" customFormat="1" ht="12.75" hidden="1" spans="1:10">
      <c r="A1715" s="64"/>
      <c r="B1715" s="73" t="s">
        <v>3276</v>
      </c>
      <c r="C1715" s="66" t="s">
        <v>3277</v>
      </c>
      <c r="D1715" s="67">
        <v>0.7826</v>
      </c>
      <c r="E1715" s="68"/>
      <c r="F1715" s="69">
        <v>3</v>
      </c>
      <c r="G1715" s="70"/>
      <c r="H1715" s="71">
        <v>1.8</v>
      </c>
      <c r="I1715" s="71">
        <v>0</v>
      </c>
      <c r="J1715" s="71">
        <v>0</v>
      </c>
    </row>
    <row r="1716" customFormat="1" ht="12.75" hidden="1" spans="1:10">
      <c r="A1716" s="64"/>
      <c r="B1716" s="65">
        <v>6925749781666</v>
      </c>
      <c r="C1716" s="66" t="s">
        <v>3278</v>
      </c>
      <c r="D1716" s="67">
        <v>1.087</v>
      </c>
      <c r="E1716" s="68"/>
      <c r="F1716" s="69">
        <v>3.5</v>
      </c>
      <c r="G1716" s="70"/>
      <c r="H1716" s="71">
        <v>2.5</v>
      </c>
      <c r="I1716" s="71">
        <v>0</v>
      </c>
      <c r="J1716" s="71">
        <v>0</v>
      </c>
    </row>
    <row r="1717" customFormat="1" ht="12.75" hidden="1" spans="1:10">
      <c r="A1717" s="64"/>
      <c r="B1717" s="73" t="s">
        <v>3279</v>
      </c>
      <c r="C1717" s="66" t="s">
        <v>3280</v>
      </c>
      <c r="D1717" s="67">
        <v>1.0435</v>
      </c>
      <c r="E1717" s="68"/>
      <c r="F1717" s="69">
        <v>3.8</v>
      </c>
      <c r="G1717" s="70"/>
      <c r="H1717" s="71">
        <v>2.4</v>
      </c>
      <c r="I1717" s="71">
        <v>0</v>
      </c>
      <c r="J1717" s="71">
        <v>0</v>
      </c>
    </row>
    <row r="1718" customFormat="1" ht="12.75" hidden="1" spans="1:10">
      <c r="A1718" s="64"/>
      <c r="B1718" s="73" t="s">
        <v>3281</v>
      </c>
      <c r="C1718" s="66" t="s">
        <v>3282</v>
      </c>
      <c r="D1718" s="67">
        <v>0.8261</v>
      </c>
      <c r="E1718" s="68"/>
      <c r="F1718" s="69">
        <v>3.5</v>
      </c>
      <c r="G1718" s="70"/>
      <c r="H1718" s="71">
        <v>1.9</v>
      </c>
      <c r="I1718" s="71">
        <v>0</v>
      </c>
      <c r="J1718" s="71">
        <v>0</v>
      </c>
    </row>
    <row r="1719" customFormat="1" ht="12.75" hidden="1" spans="1:10">
      <c r="A1719" s="64"/>
      <c r="B1719" s="73" t="s">
        <v>3283</v>
      </c>
      <c r="C1719" s="66" t="s">
        <v>3284</v>
      </c>
      <c r="D1719" s="67">
        <v>4.4783</v>
      </c>
      <c r="E1719" s="68"/>
      <c r="F1719" s="79">
        <v>16.5</v>
      </c>
      <c r="G1719" s="80"/>
      <c r="H1719" s="71">
        <v>10.3</v>
      </c>
      <c r="I1719" s="71">
        <v>0</v>
      </c>
      <c r="J1719" s="71">
        <v>0</v>
      </c>
    </row>
    <row r="1720" customFormat="1" ht="12.75" hidden="1" spans="1:10">
      <c r="A1720" s="64"/>
      <c r="B1720" s="73" t="s">
        <v>3285</v>
      </c>
      <c r="C1720" s="66" t="s">
        <v>3286</v>
      </c>
      <c r="D1720" s="67">
        <v>3.5</v>
      </c>
      <c r="E1720" s="68"/>
      <c r="F1720" s="69">
        <v>0</v>
      </c>
      <c r="G1720" s="70"/>
      <c r="H1720" s="71">
        <v>0</v>
      </c>
      <c r="I1720" s="71">
        <v>3.5</v>
      </c>
      <c r="J1720" s="71">
        <v>6.71</v>
      </c>
    </row>
    <row r="1721" customFormat="1" ht="12.75" hidden="1" spans="1:10">
      <c r="A1721" s="64"/>
      <c r="B1721" s="73" t="s">
        <v>3287</v>
      </c>
      <c r="C1721" s="66" t="s">
        <v>3288</v>
      </c>
      <c r="D1721" s="67">
        <v>1.6957</v>
      </c>
      <c r="E1721" s="68"/>
      <c r="F1721" s="69">
        <v>7</v>
      </c>
      <c r="G1721" s="70"/>
      <c r="H1721" s="71">
        <v>4</v>
      </c>
      <c r="I1721" s="71">
        <v>0</v>
      </c>
      <c r="J1721" s="71">
        <v>0</v>
      </c>
    </row>
    <row r="1722" customFormat="1" ht="12.75" hidden="1" spans="1:10">
      <c r="A1722" s="64"/>
      <c r="B1722" s="73" t="s">
        <v>3289</v>
      </c>
      <c r="C1722" s="66" t="s">
        <v>3290</v>
      </c>
      <c r="D1722" s="67">
        <v>2.2174</v>
      </c>
      <c r="E1722" s="68"/>
      <c r="F1722" s="69">
        <v>8.5</v>
      </c>
      <c r="G1722" s="70"/>
      <c r="H1722" s="71">
        <v>5.1</v>
      </c>
      <c r="I1722" s="71">
        <v>0</v>
      </c>
      <c r="J1722" s="71">
        <v>0</v>
      </c>
    </row>
    <row r="1723" customFormat="1" ht="12.75" hidden="1" spans="1:10">
      <c r="A1723" s="64"/>
      <c r="B1723" s="73" t="s">
        <v>3291</v>
      </c>
      <c r="C1723" s="66" t="s">
        <v>3292</v>
      </c>
      <c r="D1723" s="67">
        <v>1.913</v>
      </c>
      <c r="E1723" s="68"/>
      <c r="F1723" s="69">
        <v>7</v>
      </c>
      <c r="G1723" s="70"/>
      <c r="H1723" s="71">
        <v>4.4</v>
      </c>
      <c r="I1723" s="71">
        <v>0</v>
      </c>
      <c r="J1723" s="71">
        <v>0</v>
      </c>
    </row>
    <row r="1724" customFormat="1" ht="12.75" hidden="1" spans="1:10">
      <c r="A1724" s="64"/>
      <c r="B1724" s="73" t="s">
        <v>3293</v>
      </c>
      <c r="C1724" s="66" t="s">
        <v>3294</v>
      </c>
      <c r="D1724" s="67">
        <v>1.1739</v>
      </c>
      <c r="E1724" s="68"/>
      <c r="F1724" s="69">
        <v>4.5</v>
      </c>
      <c r="G1724" s="70"/>
      <c r="H1724" s="71">
        <v>2.7</v>
      </c>
      <c r="I1724" s="71">
        <v>0</v>
      </c>
      <c r="J1724" s="71">
        <v>0</v>
      </c>
    </row>
    <row r="1725" customFormat="1" ht="12.75" hidden="1" spans="1:10">
      <c r="A1725" s="64"/>
      <c r="B1725" s="73" t="s">
        <v>3295</v>
      </c>
      <c r="C1725" s="66" t="s">
        <v>3296</v>
      </c>
      <c r="D1725" s="67">
        <v>3.913</v>
      </c>
      <c r="E1725" s="68"/>
      <c r="F1725" s="79">
        <v>10</v>
      </c>
      <c r="G1725" s="80"/>
      <c r="H1725" s="71">
        <v>9</v>
      </c>
      <c r="I1725" s="71">
        <v>0</v>
      </c>
      <c r="J1725" s="71">
        <v>0</v>
      </c>
    </row>
    <row r="1726" customFormat="1" ht="12.75" hidden="1" spans="1:10">
      <c r="A1726" s="64"/>
      <c r="B1726" s="65">
        <v>6939412950815</v>
      </c>
      <c r="C1726" s="66" t="s">
        <v>3297</v>
      </c>
      <c r="D1726" s="67">
        <v>0.087</v>
      </c>
      <c r="E1726" s="68"/>
      <c r="F1726" s="69">
        <v>0.5</v>
      </c>
      <c r="G1726" s="70"/>
      <c r="H1726" s="71">
        <v>0.2</v>
      </c>
      <c r="I1726" s="71">
        <v>0</v>
      </c>
      <c r="J1726" s="71">
        <v>0</v>
      </c>
    </row>
    <row r="1727" customFormat="1" ht="12.75" hidden="1" spans="1:10">
      <c r="A1727" s="64"/>
      <c r="B1727" s="73" t="s">
        <v>3298</v>
      </c>
      <c r="C1727" s="66" t="s">
        <v>3299</v>
      </c>
      <c r="D1727" s="67">
        <v>0.8261</v>
      </c>
      <c r="E1727" s="68"/>
      <c r="F1727" s="69">
        <v>3</v>
      </c>
      <c r="G1727" s="70"/>
      <c r="H1727" s="71">
        <v>1.9</v>
      </c>
      <c r="I1727" s="71">
        <v>0</v>
      </c>
      <c r="J1727" s="71">
        <v>0</v>
      </c>
    </row>
    <row r="1728" customFormat="1" ht="12.75" hidden="1" spans="1:10">
      <c r="A1728" s="64"/>
      <c r="B1728" s="73" t="s">
        <v>3300</v>
      </c>
      <c r="C1728" s="66" t="s">
        <v>3301</v>
      </c>
      <c r="D1728" s="67">
        <v>1.087</v>
      </c>
      <c r="E1728" s="68"/>
      <c r="F1728" s="69">
        <v>4</v>
      </c>
      <c r="G1728" s="70"/>
      <c r="H1728" s="71">
        <v>2.5</v>
      </c>
      <c r="I1728" s="71">
        <v>0</v>
      </c>
      <c r="J1728" s="71">
        <v>0</v>
      </c>
    </row>
    <row r="1729" ht="12.75" hidden="1" spans="1:21">
      <c r="A1729" s="64"/>
      <c r="B1729" s="73" t="s">
        <v>3302</v>
      </c>
      <c r="C1729" s="66" t="s">
        <v>3303</v>
      </c>
      <c r="D1729" s="67">
        <v>1.5217</v>
      </c>
      <c r="E1729" s="68"/>
      <c r="F1729" s="69">
        <v>6</v>
      </c>
      <c r="G1729" s="70"/>
      <c r="H1729" s="71">
        <v>3.5</v>
      </c>
      <c r="I1729" s="71">
        <v>0</v>
      </c>
      <c r="J1729" s="71">
        <v>0</v>
      </c>
      <c r="M1729"/>
      <c r="N1729"/>
      <c r="O1729"/>
      <c r="P1729"/>
      <c r="Q1729"/>
      <c r="R1729"/>
      <c r="S1729"/>
      <c r="T1729"/>
      <c r="U1729"/>
    </row>
    <row r="1730" ht="12.75" hidden="1" spans="1:21">
      <c r="A1730" s="64"/>
      <c r="B1730" s="73" t="s">
        <v>3304</v>
      </c>
      <c r="C1730" s="66" t="s">
        <v>3305</v>
      </c>
      <c r="D1730" s="67">
        <v>1.4348</v>
      </c>
      <c r="E1730" s="68"/>
      <c r="F1730" s="69">
        <v>5.5</v>
      </c>
      <c r="G1730" s="70"/>
      <c r="H1730" s="71">
        <v>3.3</v>
      </c>
      <c r="I1730" s="71">
        <v>0</v>
      </c>
      <c r="J1730" s="71">
        <v>0</v>
      </c>
      <c r="M1730"/>
      <c r="N1730"/>
      <c r="O1730"/>
      <c r="P1730"/>
      <c r="Q1730"/>
      <c r="R1730"/>
      <c r="S1730"/>
      <c r="T1730"/>
      <c r="U1730"/>
    </row>
    <row r="1731" ht="12.75" hidden="1" spans="1:21">
      <c r="A1731" s="64"/>
      <c r="B1731" s="73" t="s">
        <v>3306</v>
      </c>
      <c r="C1731" s="66" t="s">
        <v>3307</v>
      </c>
      <c r="D1731" s="67">
        <v>0.3478</v>
      </c>
      <c r="E1731" s="68"/>
      <c r="F1731" s="69">
        <v>1</v>
      </c>
      <c r="G1731" s="70"/>
      <c r="H1731" s="71">
        <v>0.8</v>
      </c>
      <c r="I1731" s="71">
        <v>0</v>
      </c>
      <c r="J1731" s="71">
        <v>0</v>
      </c>
      <c r="M1731"/>
      <c r="N1731"/>
      <c r="O1731"/>
      <c r="P1731"/>
      <c r="Q1731"/>
      <c r="R1731"/>
      <c r="S1731"/>
      <c r="T1731"/>
      <c r="U1731"/>
    </row>
    <row r="1732" ht="12.75" hidden="1" spans="1:21">
      <c r="A1732" s="64"/>
      <c r="B1732" s="73" t="s">
        <v>3308</v>
      </c>
      <c r="C1732" s="66" t="s">
        <v>3309</v>
      </c>
      <c r="D1732" s="67">
        <v>4.5217</v>
      </c>
      <c r="E1732" s="68"/>
      <c r="F1732" s="79">
        <v>16.6</v>
      </c>
      <c r="G1732" s="80"/>
      <c r="H1732" s="71">
        <v>10.4</v>
      </c>
      <c r="I1732" s="71">
        <v>0</v>
      </c>
      <c r="J1732" s="71">
        <v>0</v>
      </c>
      <c r="M1732"/>
      <c r="N1732"/>
      <c r="O1732"/>
      <c r="P1732"/>
      <c r="Q1732"/>
      <c r="R1732"/>
      <c r="S1732"/>
      <c r="T1732"/>
      <c r="U1732"/>
    </row>
    <row r="1733" ht="12.75" hidden="1" spans="1:21">
      <c r="A1733" s="64"/>
      <c r="B1733" s="73" t="s">
        <v>3310</v>
      </c>
      <c r="C1733" s="66" t="s">
        <v>3311</v>
      </c>
      <c r="D1733" s="67">
        <v>4.5217</v>
      </c>
      <c r="E1733" s="68"/>
      <c r="F1733" s="79">
        <v>16.6</v>
      </c>
      <c r="G1733" s="80"/>
      <c r="H1733" s="71">
        <v>10.4</v>
      </c>
      <c r="I1733" s="71">
        <v>0</v>
      </c>
      <c r="J1733" s="71">
        <v>0</v>
      </c>
      <c r="M1733"/>
      <c r="N1733"/>
      <c r="O1733"/>
      <c r="P1733"/>
      <c r="Q1733"/>
      <c r="R1733"/>
      <c r="S1733"/>
      <c r="T1733"/>
      <c r="U1733"/>
    </row>
    <row r="1734" ht="12.75" hidden="1" spans="1:21">
      <c r="A1734" s="64"/>
      <c r="B1734" s="73" t="s">
        <v>3312</v>
      </c>
      <c r="C1734" s="66" t="s">
        <v>3313</v>
      </c>
      <c r="D1734" s="67">
        <v>4.5217</v>
      </c>
      <c r="E1734" s="68"/>
      <c r="F1734" s="79">
        <v>16.6</v>
      </c>
      <c r="G1734" s="80"/>
      <c r="H1734" s="71">
        <v>10.4</v>
      </c>
      <c r="I1734" s="71">
        <v>0</v>
      </c>
      <c r="J1734" s="71">
        <v>0</v>
      </c>
      <c r="M1734"/>
      <c r="N1734"/>
      <c r="O1734"/>
      <c r="P1734"/>
      <c r="Q1734"/>
      <c r="R1734"/>
      <c r="S1734"/>
      <c r="T1734"/>
      <c r="U1734"/>
    </row>
    <row r="1735" ht="12.75" hidden="1" spans="1:21">
      <c r="A1735" s="64"/>
      <c r="B1735" s="73" t="s">
        <v>3314</v>
      </c>
      <c r="C1735" s="66" t="s">
        <v>3315</v>
      </c>
      <c r="D1735" s="67">
        <v>4.5217</v>
      </c>
      <c r="E1735" s="68"/>
      <c r="F1735" s="79">
        <v>16.6</v>
      </c>
      <c r="G1735" s="80"/>
      <c r="H1735" s="71">
        <v>10.4</v>
      </c>
      <c r="I1735" s="71">
        <v>0</v>
      </c>
      <c r="J1735" s="71">
        <v>0</v>
      </c>
      <c r="M1735"/>
      <c r="N1735"/>
      <c r="O1735"/>
      <c r="P1735"/>
      <c r="Q1735"/>
      <c r="R1735"/>
      <c r="S1735"/>
      <c r="T1735"/>
      <c r="U1735"/>
    </row>
    <row r="1736" ht="12.75" hidden="1" spans="1:21">
      <c r="A1736" s="64"/>
      <c r="B1736" s="73" t="s">
        <v>3316</v>
      </c>
      <c r="C1736" s="66" t="s">
        <v>3317</v>
      </c>
      <c r="D1736" s="67">
        <v>0.0435</v>
      </c>
      <c r="E1736" s="68"/>
      <c r="F1736" s="69">
        <v>0.25</v>
      </c>
      <c r="G1736" s="70"/>
      <c r="H1736" s="71">
        <v>0.1</v>
      </c>
      <c r="I1736" s="71">
        <v>0</v>
      </c>
      <c r="J1736" s="71">
        <v>0</v>
      </c>
      <c r="M1736"/>
      <c r="N1736"/>
      <c r="O1736"/>
      <c r="P1736"/>
      <c r="Q1736"/>
      <c r="R1736"/>
      <c r="S1736"/>
      <c r="T1736"/>
      <c r="U1736"/>
    </row>
    <row r="1737" ht="12.75" hidden="1" spans="1:21">
      <c r="A1737" s="64"/>
      <c r="B1737" s="73" t="s">
        <v>3318</v>
      </c>
      <c r="C1737" s="66" t="s">
        <v>3319</v>
      </c>
      <c r="D1737" s="67">
        <v>0.8696</v>
      </c>
      <c r="E1737" s="68"/>
      <c r="F1737" s="69">
        <v>0</v>
      </c>
      <c r="G1737" s="70"/>
      <c r="H1737" s="71">
        <v>0</v>
      </c>
      <c r="I1737" s="71">
        <v>2</v>
      </c>
      <c r="J1737" s="71">
        <v>1.5</v>
      </c>
      <c r="M1737"/>
      <c r="N1737"/>
      <c r="O1737"/>
      <c r="P1737"/>
      <c r="Q1737"/>
      <c r="R1737"/>
      <c r="S1737"/>
      <c r="T1737"/>
      <c r="U1737"/>
    </row>
    <row r="1738" ht="12.75" hidden="1" spans="1:21">
      <c r="A1738" s="64"/>
      <c r="B1738" s="73" t="s">
        <v>3320</v>
      </c>
      <c r="C1738" s="66" t="s">
        <v>3321</v>
      </c>
      <c r="D1738" s="67">
        <v>0.3043</v>
      </c>
      <c r="E1738" s="68"/>
      <c r="F1738" s="69">
        <v>1</v>
      </c>
      <c r="G1738" s="70"/>
      <c r="H1738" s="71">
        <v>0.7</v>
      </c>
      <c r="I1738" s="71">
        <v>0</v>
      </c>
      <c r="J1738" s="71">
        <v>0</v>
      </c>
      <c r="M1738"/>
      <c r="N1738"/>
      <c r="O1738"/>
      <c r="P1738"/>
      <c r="Q1738"/>
      <c r="R1738"/>
      <c r="S1738"/>
      <c r="T1738"/>
      <c r="U1738"/>
    </row>
    <row r="1739" ht="12.75" hidden="1" spans="1:21">
      <c r="A1739" s="64"/>
      <c r="B1739" s="73" t="s">
        <v>3322</v>
      </c>
      <c r="C1739" s="66" t="s">
        <v>3323</v>
      </c>
      <c r="D1739" s="67">
        <v>1.2609</v>
      </c>
      <c r="E1739" s="68"/>
      <c r="F1739" s="69">
        <v>4.6</v>
      </c>
      <c r="G1739" s="70"/>
      <c r="H1739" s="71">
        <v>2.9</v>
      </c>
      <c r="I1739" s="71">
        <v>0</v>
      </c>
      <c r="J1739" s="71">
        <v>0</v>
      </c>
      <c r="M1739"/>
      <c r="N1739"/>
      <c r="O1739"/>
      <c r="P1739"/>
      <c r="Q1739"/>
      <c r="R1739"/>
      <c r="S1739"/>
      <c r="T1739"/>
      <c r="U1739"/>
    </row>
    <row r="1740" ht="12.75" hidden="1" spans="1:21">
      <c r="A1740" s="64"/>
      <c r="B1740" s="73" t="s">
        <v>3324</v>
      </c>
      <c r="C1740" s="66" t="s">
        <v>3325</v>
      </c>
      <c r="D1740" s="67">
        <v>0.2174</v>
      </c>
      <c r="E1740" s="68"/>
      <c r="F1740" s="69">
        <v>1</v>
      </c>
      <c r="G1740" s="70"/>
      <c r="H1740" s="71">
        <v>0.5</v>
      </c>
      <c r="I1740" s="71">
        <v>0</v>
      </c>
      <c r="J1740" s="71">
        <v>0</v>
      </c>
      <c r="M1740"/>
      <c r="N1740"/>
      <c r="O1740"/>
      <c r="P1740"/>
      <c r="Q1740"/>
      <c r="R1740"/>
      <c r="S1740"/>
      <c r="T1740"/>
      <c r="U1740"/>
    </row>
    <row r="1741" ht="12.75" hidden="1" spans="1:21">
      <c r="A1741" s="64"/>
      <c r="B1741" s="73" t="s">
        <v>3326</v>
      </c>
      <c r="C1741" s="66" t="s">
        <v>3327</v>
      </c>
      <c r="D1741" s="67">
        <v>0.2174</v>
      </c>
      <c r="E1741" s="68"/>
      <c r="F1741" s="69">
        <v>0.8</v>
      </c>
      <c r="G1741" s="70"/>
      <c r="H1741" s="71">
        <v>0.5</v>
      </c>
      <c r="I1741" s="71">
        <v>0</v>
      </c>
      <c r="J1741" s="71">
        <v>0</v>
      </c>
      <c r="M1741"/>
      <c r="N1741"/>
      <c r="O1741"/>
      <c r="P1741"/>
      <c r="Q1741"/>
      <c r="R1741"/>
      <c r="S1741"/>
      <c r="T1741"/>
      <c r="U1741"/>
    </row>
    <row r="1742" ht="12.75" hidden="1" spans="1:21">
      <c r="A1742" s="64"/>
      <c r="B1742" s="73" t="s">
        <v>3328</v>
      </c>
      <c r="C1742" s="66" t="s">
        <v>3329</v>
      </c>
      <c r="D1742" s="67">
        <v>0.8261</v>
      </c>
      <c r="E1742" s="68"/>
      <c r="F1742" s="69">
        <v>3</v>
      </c>
      <c r="G1742" s="70"/>
      <c r="H1742" s="71">
        <v>1.9</v>
      </c>
      <c r="I1742" s="71">
        <v>0</v>
      </c>
      <c r="J1742" s="71">
        <v>0</v>
      </c>
      <c r="M1742"/>
      <c r="N1742"/>
      <c r="O1742"/>
      <c r="P1742"/>
      <c r="Q1742"/>
      <c r="R1742"/>
      <c r="S1742"/>
      <c r="T1742"/>
      <c r="U1742"/>
    </row>
    <row r="1743" ht="38.25" spans="1:20">
      <c r="A1743" s="72" t="s">
        <v>3773</v>
      </c>
      <c r="B1743" s="73" t="s">
        <v>3330</v>
      </c>
      <c r="C1743" s="66" t="s">
        <v>3331</v>
      </c>
      <c r="D1743" s="67">
        <v>0.3913</v>
      </c>
      <c r="E1743" s="68"/>
      <c r="F1743" s="69">
        <v>1.5</v>
      </c>
      <c r="G1743" s="70"/>
      <c r="H1743" s="71">
        <v>0.9</v>
      </c>
      <c r="I1743" s="71"/>
      <c r="J1743" s="71"/>
      <c r="M1743" s="32">
        <v>3</v>
      </c>
      <c r="N1743" s="77">
        <f>+F1743</f>
        <v>1.5</v>
      </c>
      <c r="O1743" s="77">
        <f>+M1743*N1743</f>
        <v>4.5</v>
      </c>
      <c r="R1743" s="3">
        <f>+M1743</f>
        <v>3</v>
      </c>
      <c r="S1743" s="49">
        <f>+H1743</f>
        <v>0.9</v>
      </c>
      <c r="T1743" s="49">
        <f>+R1743*S1743</f>
        <v>2.7</v>
      </c>
    </row>
    <row r="1744" ht="12.75" hidden="1" spans="1:21">
      <c r="A1744" s="64"/>
      <c r="B1744" s="73" t="s">
        <v>3332</v>
      </c>
      <c r="C1744" s="66" t="s">
        <v>3333</v>
      </c>
      <c r="D1744" s="67">
        <v>0.4783</v>
      </c>
      <c r="E1744" s="68"/>
      <c r="F1744" s="69">
        <v>2</v>
      </c>
      <c r="G1744" s="70"/>
      <c r="H1744" s="71">
        <v>1.5</v>
      </c>
      <c r="I1744" s="71">
        <v>0</v>
      </c>
      <c r="J1744" s="71">
        <v>0</v>
      </c>
      <c r="M1744"/>
      <c r="N1744"/>
      <c r="O1744"/>
      <c r="P1744"/>
      <c r="Q1744"/>
      <c r="R1744"/>
      <c r="S1744"/>
      <c r="T1744"/>
      <c r="U1744"/>
    </row>
    <row r="1745" customFormat="1" ht="12.75" hidden="1" spans="1:10">
      <c r="A1745" s="64"/>
      <c r="B1745" s="73" t="s">
        <v>3334</v>
      </c>
      <c r="C1745" s="66" t="s">
        <v>3335</v>
      </c>
      <c r="D1745" s="67">
        <v>0.2174</v>
      </c>
      <c r="E1745" s="68"/>
      <c r="F1745" s="69">
        <v>1</v>
      </c>
      <c r="G1745" s="70"/>
      <c r="H1745" s="71">
        <v>0.5</v>
      </c>
      <c r="I1745" s="71">
        <v>0</v>
      </c>
      <c r="J1745" s="71">
        <v>0</v>
      </c>
    </row>
    <row r="1746" customFormat="1" ht="25.5" hidden="1" spans="1:10">
      <c r="A1746" s="64"/>
      <c r="B1746" s="73" t="s">
        <v>3336</v>
      </c>
      <c r="C1746" s="66" t="s">
        <v>3337</v>
      </c>
      <c r="D1746" s="67">
        <v>2.4348</v>
      </c>
      <c r="E1746" s="68"/>
      <c r="F1746" s="69">
        <v>9</v>
      </c>
      <c r="G1746" s="70"/>
      <c r="H1746" s="71">
        <v>5.6</v>
      </c>
      <c r="I1746" s="71">
        <v>0</v>
      </c>
      <c r="J1746" s="71">
        <v>0</v>
      </c>
    </row>
    <row r="1747" customFormat="1" ht="12.75" hidden="1" spans="1:10">
      <c r="A1747" s="64"/>
      <c r="B1747" s="73" t="s">
        <v>3338</v>
      </c>
      <c r="C1747" s="66" t="s">
        <v>3339</v>
      </c>
      <c r="D1747" s="67">
        <v>0.6087</v>
      </c>
      <c r="E1747" s="68"/>
      <c r="F1747" s="69">
        <v>2.2</v>
      </c>
      <c r="G1747" s="70"/>
      <c r="H1747" s="71">
        <v>1.4</v>
      </c>
      <c r="I1747" s="71">
        <v>0</v>
      </c>
      <c r="J1747" s="71">
        <v>0</v>
      </c>
    </row>
    <row r="1748" customFormat="1" ht="12.75" hidden="1" spans="1:10">
      <c r="A1748" s="64"/>
      <c r="B1748" s="73" t="s">
        <v>3340</v>
      </c>
      <c r="C1748" s="66" t="s">
        <v>3341</v>
      </c>
      <c r="D1748" s="67">
        <v>3.6957</v>
      </c>
      <c r="E1748" s="68"/>
      <c r="F1748" s="79">
        <v>12.5</v>
      </c>
      <c r="G1748" s="80"/>
      <c r="H1748" s="71">
        <v>7.5</v>
      </c>
      <c r="I1748" s="71">
        <v>0</v>
      </c>
      <c r="J1748" s="71">
        <v>0</v>
      </c>
    </row>
    <row r="1749" customFormat="1" ht="12.75" hidden="1" spans="1:10">
      <c r="A1749" s="64"/>
      <c r="B1749" s="73" t="s">
        <v>3342</v>
      </c>
      <c r="C1749" s="66" t="s">
        <v>3343</v>
      </c>
      <c r="D1749" s="67">
        <v>1.1739</v>
      </c>
      <c r="E1749" s="68"/>
      <c r="F1749" s="69">
        <v>4.4</v>
      </c>
      <c r="G1749" s="70"/>
      <c r="H1749" s="71">
        <v>2.7</v>
      </c>
      <c r="I1749" s="71">
        <v>0</v>
      </c>
      <c r="J1749" s="71">
        <v>0</v>
      </c>
    </row>
    <row r="1750" customFormat="1" ht="12.75" hidden="1" spans="1:10">
      <c r="A1750" s="64"/>
      <c r="B1750" s="73" t="s">
        <v>3344</v>
      </c>
      <c r="C1750" s="66" t="s">
        <v>3345</v>
      </c>
      <c r="D1750" s="67">
        <v>0.6087</v>
      </c>
      <c r="E1750" s="68"/>
      <c r="F1750" s="69">
        <v>2.5</v>
      </c>
      <c r="G1750" s="70"/>
      <c r="H1750" s="71">
        <v>1.4</v>
      </c>
      <c r="I1750" s="71">
        <v>0</v>
      </c>
      <c r="J1750" s="71">
        <v>0</v>
      </c>
    </row>
    <row r="1751" customFormat="1" ht="12.75" hidden="1" spans="1:10">
      <c r="A1751" s="64"/>
      <c r="B1751" s="73" t="s">
        <v>3346</v>
      </c>
      <c r="C1751" s="66" t="s">
        <v>3347</v>
      </c>
      <c r="D1751" s="67">
        <v>0.6087</v>
      </c>
      <c r="E1751" s="68"/>
      <c r="F1751" s="69">
        <v>2.3</v>
      </c>
      <c r="G1751" s="70"/>
      <c r="H1751" s="71">
        <v>1.4</v>
      </c>
      <c r="I1751" s="71">
        <v>0</v>
      </c>
      <c r="J1751" s="71">
        <v>0</v>
      </c>
    </row>
    <row r="1752" customFormat="1" ht="12.75" hidden="1" spans="1:10">
      <c r="A1752" s="64"/>
      <c r="B1752" s="73" t="s">
        <v>3348</v>
      </c>
      <c r="C1752" s="66" t="s">
        <v>3349</v>
      </c>
      <c r="D1752" s="67">
        <v>0.6087</v>
      </c>
      <c r="E1752" s="68"/>
      <c r="F1752" s="69">
        <v>2.5</v>
      </c>
      <c r="G1752" s="70"/>
      <c r="H1752" s="71">
        <v>1.4</v>
      </c>
      <c r="I1752" s="71">
        <v>0</v>
      </c>
      <c r="J1752" s="71">
        <v>0</v>
      </c>
    </row>
    <row r="1753" customFormat="1" ht="12.75" hidden="1" spans="1:10">
      <c r="A1753" s="64"/>
      <c r="B1753" s="73" t="s">
        <v>3350</v>
      </c>
      <c r="C1753" s="66" t="s">
        <v>3351</v>
      </c>
      <c r="D1753" s="67">
        <v>0.6087</v>
      </c>
      <c r="E1753" s="68"/>
      <c r="F1753" s="69">
        <v>2.3</v>
      </c>
      <c r="G1753" s="70"/>
      <c r="H1753" s="71">
        <v>1.4</v>
      </c>
      <c r="I1753" s="71">
        <v>0</v>
      </c>
      <c r="J1753" s="71">
        <v>0</v>
      </c>
    </row>
    <row r="1754" customFormat="1" ht="12.75" hidden="1" spans="1:10">
      <c r="A1754" s="64"/>
      <c r="B1754" s="73" t="s">
        <v>3352</v>
      </c>
      <c r="C1754" s="66" t="s">
        <v>3353</v>
      </c>
      <c r="D1754" s="67">
        <v>0.6087</v>
      </c>
      <c r="E1754" s="68"/>
      <c r="F1754" s="69">
        <v>2.2</v>
      </c>
      <c r="G1754" s="70"/>
      <c r="H1754" s="71">
        <v>1.4</v>
      </c>
      <c r="I1754" s="71">
        <v>0</v>
      </c>
      <c r="J1754" s="71">
        <v>0</v>
      </c>
    </row>
    <row r="1755" customFormat="1" ht="12.75" hidden="1" spans="1:10">
      <c r="A1755" s="64"/>
      <c r="B1755" s="73" t="s">
        <v>3354</v>
      </c>
      <c r="C1755" s="66" t="s">
        <v>3355</v>
      </c>
      <c r="D1755" s="67">
        <v>4.2609</v>
      </c>
      <c r="E1755" s="68"/>
      <c r="F1755" s="79">
        <v>16</v>
      </c>
      <c r="G1755" s="80"/>
      <c r="H1755" s="71">
        <v>9.8</v>
      </c>
      <c r="I1755" s="71">
        <v>0</v>
      </c>
      <c r="J1755" s="71">
        <v>0</v>
      </c>
    </row>
    <row r="1756" customFormat="1" ht="12.75" hidden="1" spans="1:10">
      <c r="A1756" s="64"/>
      <c r="B1756" s="73" t="s">
        <v>3356</v>
      </c>
      <c r="C1756" s="66" t="s">
        <v>3357</v>
      </c>
      <c r="D1756" s="67">
        <v>3.4348</v>
      </c>
      <c r="E1756" s="68"/>
      <c r="F1756" s="79">
        <v>12</v>
      </c>
      <c r="G1756" s="80"/>
      <c r="H1756" s="71">
        <v>7.9</v>
      </c>
      <c r="I1756" s="71">
        <v>0</v>
      </c>
      <c r="J1756" s="71">
        <v>0</v>
      </c>
    </row>
    <row r="1757" customFormat="1" ht="12.75" hidden="1" spans="1:10">
      <c r="A1757" s="64"/>
      <c r="B1757" s="65">
        <v>8955155819767</v>
      </c>
      <c r="C1757" s="66" t="s">
        <v>3358</v>
      </c>
      <c r="D1757" s="67">
        <v>0.1304</v>
      </c>
      <c r="E1757" s="68"/>
      <c r="F1757" s="69">
        <v>1</v>
      </c>
      <c r="G1757" s="70"/>
      <c r="H1757" s="71">
        <v>0.3</v>
      </c>
      <c r="I1757" s="71">
        <v>0</v>
      </c>
      <c r="J1757" s="71">
        <v>0</v>
      </c>
    </row>
    <row r="1758" customFormat="1" ht="12.75" hidden="1" spans="1:10">
      <c r="A1758" s="64"/>
      <c r="B1758" s="65">
        <v>8955155818036</v>
      </c>
      <c r="C1758" s="66" t="s">
        <v>3359</v>
      </c>
      <c r="D1758" s="67">
        <v>0.1304</v>
      </c>
      <c r="E1758" s="68"/>
      <c r="F1758" s="69">
        <v>0.5</v>
      </c>
      <c r="G1758" s="70"/>
      <c r="H1758" s="71">
        <v>0.3</v>
      </c>
      <c r="I1758" s="71">
        <v>0</v>
      </c>
      <c r="J1758" s="71">
        <v>0</v>
      </c>
    </row>
    <row r="1759" customFormat="1" ht="12.75" hidden="1" spans="1:10">
      <c r="A1759" s="64"/>
      <c r="B1759" s="65">
        <v>8955155819125</v>
      </c>
      <c r="C1759" s="66" t="s">
        <v>3360</v>
      </c>
      <c r="D1759" s="67">
        <v>0.1304</v>
      </c>
      <c r="E1759" s="68"/>
      <c r="F1759" s="69">
        <v>0.5</v>
      </c>
      <c r="G1759" s="70"/>
      <c r="H1759" s="71">
        <v>0.3</v>
      </c>
      <c r="I1759" s="71">
        <v>0</v>
      </c>
      <c r="J1759" s="71">
        <v>0</v>
      </c>
    </row>
    <row r="1760" customFormat="1" ht="12.75" hidden="1" spans="1:10">
      <c r="A1760" s="64"/>
      <c r="B1760" s="65">
        <v>8991005219523</v>
      </c>
      <c r="C1760" s="66" t="s">
        <v>3361</v>
      </c>
      <c r="D1760" s="67">
        <v>0.1304</v>
      </c>
      <c r="E1760" s="68"/>
      <c r="F1760" s="69">
        <v>1</v>
      </c>
      <c r="G1760" s="70"/>
      <c r="H1760" s="71">
        <v>0.5</v>
      </c>
      <c r="I1760" s="71">
        <v>0</v>
      </c>
      <c r="J1760" s="71">
        <v>0</v>
      </c>
    </row>
    <row r="1761" ht="12.75" hidden="1" spans="1:21">
      <c r="A1761" s="64"/>
      <c r="B1761" s="65">
        <v>8955155816087</v>
      </c>
      <c r="C1761" s="66" t="s">
        <v>3362</v>
      </c>
      <c r="D1761" s="67">
        <v>0.1304</v>
      </c>
      <c r="E1761" s="68"/>
      <c r="F1761" s="69">
        <v>0.5</v>
      </c>
      <c r="G1761" s="70"/>
      <c r="H1761" s="71">
        <v>0.3</v>
      </c>
      <c r="I1761" s="71">
        <v>0</v>
      </c>
      <c r="J1761" s="71">
        <v>0</v>
      </c>
      <c r="M1761"/>
      <c r="N1761"/>
      <c r="O1761"/>
      <c r="P1761"/>
      <c r="Q1761"/>
      <c r="R1761"/>
      <c r="S1761"/>
      <c r="T1761"/>
      <c r="U1761"/>
    </row>
    <row r="1762" ht="12.75" hidden="1" spans="1:21">
      <c r="A1762" s="64"/>
      <c r="B1762" s="73" t="s">
        <v>3363</v>
      </c>
      <c r="C1762" s="66" t="s">
        <v>3364</v>
      </c>
      <c r="D1762" s="67">
        <v>0.2174</v>
      </c>
      <c r="E1762" s="68"/>
      <c r="F1762" s="69">
        <v>1</v>
      </c>
      <c r="G1762" s="70"/>
      <c r="H1762" s="71">
        <v>0.5</v>
      </c>
      <c r="I1762" s="71">
        <v>0</v>
      </c>
      <c r="J1762" s="71">
        <v>0</v>
      </c>
      <c r="M1762"/>
      <c r="N1762"/>
      <c r="O1762"/>
      <c r="P1762"/>
      <c r="Q1762"/>
      <c r="R1762"/>
      <c r="S1762"/>
      <c r="T1762"/>
      <c r="U1762"/>
    </row>
    <row r="1763" ht="12.75" hidden="1" spans="1:21">
      <c r="A1763" s="64"/>
      <c r="B1763" s="73" t="s">
        <v>3365</v>
      </c>
      <c r="C1763" s="66" t="s">
        <v>3366</v>
      </c>
      <c r="D1763" s="67">
        <v>2.4348</v>
      </c>
      <c r="E1763" s="68"/>
      <c r="F1763" s="69">
        <v>9</v>
      </c>
      <c r="G1763" s="70"/>
      <c r="H1763" s="71">
        <v>5.6</v>
      </c>
      <c r="I1763" s="71">
        <v>0</v>
      </c>
      <c r="J1763" s="71">
        <v>0</v>
      </c>
      <c r="M1763"/>
      <c r="N1763"/>
      <c r="O1763"/>
      <c r="P1763"/>
      <c r="Q1763"/>
      <c r="R1763"/>
      <c r="S1763"/>
      <c r="T1763"/>
      <c r="U1763"/>
    </row>
    <row r="1764" ht="12.75" hidden="1" spans="1:21">
      <c r="A1764" s="64"/>
      <c r="B1764" s="73" t="s">
        <v>3779</v>
      </c>
      <c r="C1764" s="66" t="s">
        <v>3780</v>
      </c>
      <c r="D1764" s="67">
        <v>0.3478</v>
      </c>
      <c r="E1764" s="68"/>
      <c r="F1764" s="69">
        <v>1.3</v>
      </c>
      <c r="G1764" s="70"/>
      <c r="H1764" s="71">
        <v>0.8</v>
      </c>
      <c r="I1764" s="71">
        <v>0</v>
      </c>
      <c r="J1764" s="71">
        <v>0</v>
      </c>
      <c r="M1764"/>
      <c r="N1764"/>
      <c r="O1764"/>
      <c r="P1764"/>
      <c r="Q1764"/>
      <c r="R1764"/>
      <c r="S1764"/>
      <c r="T1764"/>
      <c r="U1764"/>
    </row>
    <row r="1765" ht="12.75" hidden="1" spans="1:21">
      <c r="A1765" s="64"/>
      <c r="B1765" s="73" t="s">
        <v>3369</v>
      </c>
      <c r="C1765" s="66" t="s">
        <v>3370</v>
      </c>
      <c r="D1765" s="67">
        <v>0.6087</v>
      </c>
      <c r="E1765" s="68"/>
      <c r="F1765" s="69">
        <v>2.5</v>
      </c>
      <c r="G1765" s="70"/>
      <c r="H1765" s="71">
        <v>1.4</v>
      </c>
      <c r="I1765" s="71">
        <v>0</v>
      </c>
      <c r="J1765" s="71">
        <v>0</v>
      </c>
      <c r="M1765"/>
      <c r="N1765"/>
      <c r="O1765"/>
      <c r="P1765"/>
      <c r="Q1765"/>
      <c r="R1765"/>
      <c r="S1765"/>
      <c r="T1765"/>
      <c r="U1765"/>
    </row>
    <row r="1766" ht="12.75" hidden="1" spans="1:21">
      <c r="A1766" s="64"/>
      <c r="B1766" s="73" t="s">
        <v>3371</v>
      </c>
      <c r="C1766" s="66" t="s">
        <v>3372</v>
      </c>
      <c r="D1766" s="67">
        <v>0.5652</v>
      </c>
      <c r="E1766" s="68"/>
      <c r="F1766" s="69">
        <v>2</v>
      </c>
      <c r="G1766" s="70"/>
      <c r="H1766" s="71">
        <v>1.3</v>
      </c>
      <c r="I1766" s="71">
        <v>0</v>
      </c>
      <c r="J1766" s="71">
        <v>0</v>
      </c>
      <c r="M1766"/>
      <c r="N1766"/>
      <c r="O1766"/>
      <c r="P1766"/>
      <c r="Q1766"/>
      <c r="R1766"/>
      <c r="S1766"/>
      <c r="T1766"/>
      <c r="U1766"/>
    </row>
    <row r="1767" ht="12.75" hidden="1" spans="1:21">
      <c r="A1767" s="64"/>
      <c r="B1767" s="73" t="s">
        <v>3373</v>
      </c>
      <c r="C1767" s="66" t="s">
        <v>3374</v>
      </c>
      <c r="D1767" s="67">
        <v>0.2609</v>
      </c>
      <c r="E1767" s="68"/>
      <c r="F1767" s="69">
        <v>1</v>
      </c>
      <c r="G1767" s="70"/>
      <c r="H1767" s="71">
        <v>0.6</v>
      </c>
      <c r="I1767" s="71">
        <v>0</v>
      </c>
      <c r="J1767" s="71">
        <v>0</v>
      </c>
      <c r="M1767"/>
      <c r="N1767"/>
      <c r="O1767"/>
      <c r="P1767"/>
      <c r="Q1767"/>
      <c r="R1767"/>
      <c r="S1767"/>
      <c r="T1767"/>
      <c r="U1767"/>
    </row>
    <row r="1768" ht="12.75" hidden="1" spans="1:21">
      <c r="A1768" s="64"/>
      <c r="B1768" s="73" t="s">
        <v>3375</v>
      </c>
      <c r="C1768" s="66" t="s">
        <v>3376</v>
      </c>
      <c r="D1768" s="67">
        <v>0.1304</v>
      </c>
      <c r="E1768" s="68"/>
      <c r="F1768" s="69">
        <v>0.5</v>
      </c>
      <c r="G1768" s="70"/>
      <c r="H1768" s="71">
        <v>0.3</v>
      </c>
      <c r="I1768" s="71">
        <v>0</v>
      </c>
      <c r="J1768" s="71">
        <v>0</v>
      </c>
      <c r="M1768"/>
      <c r="N1768"/>
      <c r="O1768"/>
      <c r="P1768"/>
      <c r="Q1768"/>
      <c r="R1768"/>
      <c r="S1768"/>
      <c r="T1768"/>
      <c r="U1768"/>
    </row>
    <row r="1769" ht="12.75" hidden="1" spans="1:21">
      <c r="A1769" s="64"/>
      <c r="B1769" s="73" t="s">
        <v>3377</v>
      </c>
      <c r="C1769" s="66" t="s">
        <v>3378</v>
      </c>
      <c r="D1769" s="67">
        <v>0.2609</v>
      </c>
      <c r="E1769" s="68"/>
      <c r="F1769" s="69">
        <v>0.9</v>
      </c>
      <c r="G1769" s="70"/>
      <c r="H1769" s="71">
        <v>0.6</v>
      </c>
      <c r="I1769" s="71">
        <v>0</v>
      </c>
      <c r="J1769" s="71">
        <v>0</v>
      </c>
      <c r="M1769"/>
      <c r="N1769"/>
      <c r="O1769"/>
      <c r="P1769"/>
      <c r="Q1769"/>
      <c r="R1769"/>
      <c r="S1769"/>
      <c r="T1769"/>
      <c r="U1769"/>
    </row>
    <row r="1770" ht="12.75" hidden="1" spans="1:21">
      <c r="A1770" s="64"/>
      <c r="B1770" s="73" t="s">
        <v>3379</v>
      </c>
      <c r="C1770" s="66" t="s">
        <v>3380</v>
      </c>
      <c r="D1770" s="67">
        <v>0.2609</v>
      </c>
      <c r="E1770" s="68"/>
      <c r="F1770" s="69">
        <v>1</v>
      </c>
      <c r="G1770" s="70"/>
      <c r="H1770" s="71">
        <v>0.6</v>
      </c>
      <c r="I1770" s="71">
        <v>0</v>
      </c>
      <c r="J1770" s="71">
        <v>0</v>
      </c>
      <c r="M1770"/>
      <c r="N1770"/>
      <c r="O1770"/>
      <c r="P1770"/>
      <c r="Q1770"/>
      <c r="R1770"/>
      <c r="S1770"/>
      <c r="T1770"/>
      <c r="U1770"/>
    </row>
    <row r="1771" ht="25.5" hidden="1" spans="1:21">
      <c r="A1771" s="64"/>
      <c r="B1771" s="73" t="s">
        <v>3381</v>
      </c>
      <c r="C1771" s="66" t="s">
        <v>3382</v>
      </c>
      <c r="D1771" s="67">
        <v>0.5217</v>
      </c>
      <c r="E1771" s="68"/>
      <c r="F1771" s="69">
        <v>2</v>
      </c>
      <c r="G1771" s="70"/>
      <c r="H1771" s="71">
        <v>1.2</v>
      </c>
      <c r="I1771" s="71">
        <v>0</v>
      </c>
      <c r="J1771" s="71">
        <v>0</v>
      </c>
      <c r="M1771"/>
      <c r="N1771"/>
      <c r="O1771"/>
      <c r="P1771"/>
      <c r="Q1771"/>
      <c r="R1771"/>
      <c r="S1771"/>
      <c r="T1771"/>
      <c r="U1771"/>
    </row>
    <row r="1772" ht="12.75" hidden="1" spans="1:21">
      <c r="A1772" s="64"/>
      <c r="B1772" s="73" t="s">
        <v>3383</v>
      </c>
      <c r="C1772" s="66" t="s">
        <v>3384</v>
      </c>
      <c r="D1772" s="67">
        <v>0.5217</v>
      </c>
      <c r="E1772" s="68"/>
      <c r="F1772" s="69">
        <v>1.9</v>
      </c>
      <c r="G1772" s="70"/>
      <c r="H1772" s="71">
        <v>1.2</v>
      </c>
      <c r="I1772" s="71">
        <v>0</v>
      </c>
      <c r="J1772" s="71">
        <v>0</v>
      </c>
      <c r="M1772"/>
      <c r="N1772"/>
      <c r="O1772"/>
      <c r="P1772"/>
      <c r="Q1772"/>
      <c r="R1772"/>
      <c r="S1772"/>
      <c r="T1772"/>
      <c r="U1772"/>
    </row>
    <row r="1773" ht="12.75" hidden="1" spans="1:21">
      <c r="A1773" s="74"/>
      <c r="B1773" s="73" t="s">
        <v>3385</v>
      </c>
      <c r="C1773" s="66" t="s">
        <v>3386</v>
      </c>
      <c r="D1773" s="67">
        <v>0.1304</v>
      </c>
      <c r="E1773" s="68"/>
      <c r="F1773" s="69">
        <v>0.5</v>
      </c>
      <c r="G1773" s="70"/>
      <c r="H1773" s="71">
        <v>0.3</v>
      </c>
      <c r="I1773" s="71">
        <v>0</v>
      </c>
      <c r="J1773" s="71">
        <v>0</v>
      </c>
      <c r="M1773"/>
      <c r="N1773"/>
      <c r="O1773"/>
      <c r="P1773"/>
      <c r="Q1773"/>
      <c r="R1773"/>
      <c r="S1773"/>
      <c r="T1773"/>
      <c r="U1773"/>
    </row>
    <row r="1774" ht="12.75" hidden="1" spans="1:21">
      <c r="A1774" s="75"/>
      <c r="B1774" s="73" t="s">
        <v>3387</v>
      </c>
      <c r="C1774" s="66" t="s">
        <v>3386</v>
      </c>
      <c r="D1774" s="67">
        <v>0.087</v>
      </c>
      <c r="E1774" s="68"/>
      <c r="F1774" s="69">
        <v>0.5</v>
      </c>
      <c r="G1774" s="70"/>
      <c r="H1774" s="71">
        <v>0.2</v>
      </c>
      <c r="I1774" s="71">
        <v>0</v>
      </c>
      <c r="J1774" s="71">
        <v>0</v>
      </c>
      <c r="M1774"/>
      <c r="N1774"/>
      <c r="O1774"/>
      <c r="P1774"/>
      <c r="Q1774"/>
      <c r="R1774"/>
      <c r="S1774"/>
      <c r="T1774"/>
      <c r="U1774"/>
    </row>
    <row r="1775" ht="38.25" spans="1:20">
      <c r="A1775" s="72" t="s">
        <v>3773</v>
      </c>
      <c r="B1775" s="73" t="s">
        <v>3388</v>
      </c>
      <c r="C1775" s="66" t="s">
        <v>3389</v>
      </c>
      <c r="D1775" s="67">
        <v>0.1304</v>
      </c>
      <c r="E1775" s="68"/>
      <c r="F1775" s="69">
        <v>0.5</v>
      </c>
      <c r="G1775" s="70"/>
      <c r="H1775" s="71">
        <v>0.3</v>
      </c>
      <c r="I1775" s="71"/>
      <c r="J1775" s="71"/>
      <c r="M1775" s="32">
        <v>17</v>
      </c>
      <c r="N1775" s="77">
        <f>+F1775</f>
        <v>0.5</v>
      </c>
      <c r="O1775" s="77">
        <f>+M1775*N1775</f>
        <v>8.5</v>
      </c>
      <c r="R1775" s="3">
        <f>+M1775</f>
        <v>17</v>
      </c>
      <c r="S1775" s="49">
        <f>+H1775</f>
        <v>0.3</v>
      </c>
      <c r="T1775" s="49">
        <f>+R1775*S1775</f>
        <v>5.1</v>
      </c>
    </row>
    <row r="1776" ht="12.75" hidden="1" spans="1:21">
      <c r="A1776" s="64"/>
      <c r="B1776" s="73" t="s">
        <v>3390</v>
      </c>
      <c r="C1776" s="66" t="s">
        <v>3391</v>
      </c>
      <c r="D1776" s="67">
        <v>0.0435</v>
      </c>
      <c r="E1776" s="68"/>
      <c r="F1776" s="69">
        <v>0.2</v>
      </c>
      <c r="G1776" s="70"/>
      <c r="H1776" s="71">
        <v>0.1</v>
      </c>
      <c r="I1776" s="71">
        <v>0</v>
      </c>
      <c r="J1776" s="71">
        <v>0</v>
      </c>
      <c r="M1776"/>
      <c r="N1776"/>
      <c r="O1776"/>
      <c r="P1776"/>
      <c r="Q1776"/>
      <c r="R1776"/>
      <c r="S1776"/>
      <c r="T1776"/>
      <c r="U1776"/>
    </row>
    <row r="1777" customFormat="1" ht="12.75" hidden="1" spans="1:10">
      <c r="A1777" s="64"/>
      <c r="B1777" s="73" t="s">
        <v>3392</v>
      </c>
      <c r="C1777" s="66" t="s">
        <v>3393</v>
      </c>
      <c r="D1777" s="67">
        <v>0.1304</v>
      </c>
      <c r="E1777" s="68"/>
      <c r="F1777" s="69">
        <v>1</v>
      </c>
      <c r="G1777" s="70"/>
      <c r="H1777" s="71">
        <v>0.5</v>
      </c>
      <c r="I1777" s="71">
        <v>0</v>
      </c>
      <c r="J1777" s="71">
        <v>0</v>
      </c>
    </row>
    <row r="1778" customFormat="1" ht="12.75" hidden="1" spans="1:10">
      <c r="A1778" s="64"/>
      <c r="B1778" s="73" t="s">
        <v>3394</v>
      </c>
      <c r="C1778" s="66" t="s">
        <v>3395</v>
      </c>
      <c r="D1778" s="67">
        <v>0.1304</v>
      </c>
      <c r="E1778" s="68"/>
      <c r="F1778" s="69">
        <v>1</v>
      </c>
      <c r="G1778" s="70"/>
      <c r="H1778" s="71">
        <v>0.3</v>
      </c>
      <c r="I1778" s="71">
        <v>0</v>
      </c>
      <c r="J1778" s="71">
        <v>0</v>
      </c>
    </row>
    <row r="1779" customFormat="1" ht="12.75" hidden="1" spans="1:10">
      <c r="A1779" s="64"/>
      <c r="B1779" s="73" t="s">
        <v>3396</v>
      </c>
      <c r="C1779" s="66" t="s">
        <v>3397</v>
      </c>
      <c r="D1779" s="67">
        <v>0.3043</v>
      </c>
      <c r="E1779" s="68"/>
      <c r="F1779" s="69">
        <v>1</v>
      </c>
      <c r="G1779" s="70"/>
      <c r="H1779" s="71">
        <v>0.7</v>
      </c>
      <c r="I1779" s="71">
        <v>0</v>
      </c>
      <c r="J1779" s="71">
        <v>0</v>
      </c>
    </row>
    <row r="1780" customFormat="1" ht="12.75" hidden="1" spans="1:10">
      <c r="A1780" s="64"/>
      <c r="B1780" s="73" t="s">
        <v>3398</v>
      </c>
      <c r="C1780" s="66" t="s">
        <v>3399</v>
      </c>
      <c r="D1780" s="67">
        <v>0.3043</v>
      </c>
      <c r="E1780" s="68"/>
      <c r="F1780" s="69">
        <v>1</v>
      </c>
      <c r="G1780" s="70"/>
      <c r="H1780" s="71">
        <v>0.7</v>
      </c>
      <c r="I1780" s="71">
        <v>0</v>
      </c>
      <c r="J1780" s="71">
        <v>0</v>
      </c>
    </row>
    <row r="1781" customFormat="1" ht="12.75" hidden="1" spans="1:10">
      <c r="A1781" s="64"/>
      <c r="B1781" s="73" t="s">
        <v>3400</v>
      </c>
      <c r="C1781" s="66" t="s">
        <v>3401</v>
      </c>
      <c r="D1781" s="67">
        <v>0.1304</v>
      </c>
      <c r="E1781" s="68"/>
      <c r="F1781" s="69">
        <v>0.5</v>
      </c>
      <c r="G1781" s="70"/>
      <c r="H1781" s="71">
        <v>0.3</v>
      </c>
      <c r="I1781" s="71">
        <v>0</v>
      </c>
      <c r="J1781" s="71">
        <v>0</v>
      </c>
    </row>
    <row r="1782" customFormat="1" ht="12.75" hidden="1" spans="1:10">
      <c r="A1782" s="64"/>
      <c r="B1782" s="73" t="s">
        <v>3402</v>
      </c>
      <c r="C1782" s="66" t="s">
        <v>3403</v>
      </c>
      <c r="D1782" s="67">
        <v>0.1304</v>
      </c>
      <c r="E1782" s="68"/>
      <c r="F1782" s="69">
        <v>0.5</v>
      </c>
      <c r="G1782" s="70"/>
      <c r="H1782" s="71">
        <v>0.3</v>
      </c>
      <c r="I1782" s="71">
        <v>0</v>
      </c>
      <c r="J1782" s="71">
        <v>0</v>
      </c>
    </row>
    <row r="1783" customFormat="1" ht="12.75" hidden="1" spans="1:10">
      <c r="A1783" s="64"/>
      <c r="B1783" s="73" t="s">
        <v>3404</v>
      </c>
      <c r="C1783" s="66" t="s">
        <v>3405</v>
      </c>
      <c r="D1783" s="67">
        <v>0.1304</v>
      </c>
      <c r="E1783" s="68"/>
      <c r="F1783" s="69">
        <v>0.5</v>
      </c>
      <c r="G1783" s="70"/>
      <c r="H1783" s="71">
        <v>0.3</v>
      </c>
      <c r="I1783" s="71">
        <v>0</v>
      </c>
      <c r="J1783" s="71">
        <v>0</v>
      </c>
    </row>
    <row r="1784" customFormat="1" ht="12.75" hidden="1" spans="1:10">
      <c r="A1784" s="64"/>
      <c r="B1784" s="73" t="s">
        <v>3406</v>
      </c>
      <c r="C1784" s="66" t="s">
        <v>3407</v>
      </c>
      <c r="D1784" s="67">
        <v>0.2174</v>
      </c>
      <c r="E1784" s="68"/>
      <c r="F1784" s="69">
        <v>0.8</v>
      </c>
      <c r="G1784" s="70"/>
      <c r="H1784" s="71">
        <v>0.5</v>
      </c>
      <c r="I1784" s="71">
        <v>0</v>
      </c>
      <c r="J1784" s="71">
        <v>0</v>
      </c>
    </row>
    <row r="1785" customFormat="1" ht="12.75" hidden="1" spans="1:10">
      <c r="A1785" s="64"/>
      <c r="B1785" s="73" t="s">
        <v>3408</v>
      </c>
      <c r="C1785" s="66" t="s">
        <v>3409</v>
      </c>
      <c r="D1785" s="67">
        <v>0.1304</v>
      </c>
      <c r="E1785" s="68"/>
      <c r="F1785" s="69">
        <v>0.4</v>
      </c>
      <c r="G1785" s="70"/>
      <c r="H1785" s="71">
        <v>0.3</v>
      </c>
      <c r="I1785" s="71">
        <v>0</v>
      </c>
      <c r="J1785" s="71">
        <v>0</v>
      </c>
    </row>
    <row r="1786" customFormat="1" ht="12.75" hidden="1" spans="1:10">
      <c r="A1786" s="64"/>
      <c r="B1786" s="73" t="s">
        <v>3410</v>
      </c>
      <c r="C1786" s="66" t="s">
        <v>3411</v>
      </c>
      <c r="D1786" s="67">
        <v>0.1304</v>
      </c>
      <c r="E1786" s="68"/>
      <c r="F1786" s="69">
        <v>0.5</v>
      </c>
      <c r="G1786" s="70"/>
      <c r="H1786" s="71">
        <v>0.3</v>
      </c>
      <c r="I1786" s="71">
        <v>0</v>
      </c>
      <c r="J1786" s="71">
        <v>0</v>
      </c>
    </row>
    <row r="1787" customFormat="1" ht="12.75" hidden="1" spans="1:10">
      <c r="A1787" s="64"/>
      <c r="B1787" s="73" t="s">
        <v>3412</v>
      </c>
      <c r="C1787" s="66" t="s">
        <v>3413</v>
      </c>
      <c r="D1787" s="67">
        <v>0.1304</v>
      </c>
      <c r="E1787" s="68"/>
      <c r="F1787" s="69">
        <v>0.5</v>
      </c>
      <c r="G1787" s="70"/>
      <c r="H1787" s="71">
        <v>0.3</v>
      </c>
      <c r="I1787" s="71">
        <v>0</v>
      </c>
      <c r="J1787" s="71">
        <v>0</v>
      </c>
    </row>
    <row r="1788" customFormat="1" ht="12.75" hidden="1" spans="1:10">
      <c r="A1788" s="64"/>
      <c r="B1788" s="73" t="s">
        <v>3414</v>
      </c>
      <c r="C1788" s="66" t="s">
        <v>3415</v>
      </c>
      <c r="D1788" s="67">
        <v>0.087</v>
      </c>
      <c r="E1788" s="68"/>
      <c r="F1788" s="69">
        <v>1</v>
      </c>
      <c r="G1788" s="70"/>
      <c r="H1788" s="71">
        <v>0.2</v>
      </c>
      <c r="I1788" s="71">
        <v>0</v>
      </c>
      <c r="J1788" s="71">
        <v>0</v>
      </c>
    </row>
    <row r="1789" customFormat="1" ht="12.75" hidden="1" spans="1:10">
      <c r="A1789" s="64"/>
      <c r="B1789" s="73" t="s">
        <v>3416</v>
      </c>
      <c r="C1789" s="66" t="s">
        <v>3417</v>
      </c>
      <c r="D1789" s="67">
        <v>0.1304</v>
      </c>
      <c r="E1789" s="68"/>
      <c r="F1789" s="69">
        <v>1</v>
      </c>
      <c r="G1789" s="70"/>
      <c r="H1789" s="71">
        <v>0.3</v>
      </c>
      <c r="I1789" s="71">
        <v>0</v>
      </c>
      <c r="J1789" s="71">
        <v>0</v>
      </c>
    </row>
    <row r="1790" customFormat="1" ht="12.75" hidden="1" spans="1:10">
      <c r="A1790" s="64"/>
      <c r="B1790" s="73" t="s">
        <v>3418</v>
      </c>
      <c r="C1790" s="66" t="s">
        <v>3419</v>
      </c>
      <c r="D1790" s="67">
        <v>0.087</v>
      </c>
      <c r="E1790" s="68"/>
      <c r="F1790" s="69">
        <v>1</v>
      </c>
      <c r="G1790" s="70"/>
      <c r="H1790" s="71">
        <v>0.2</v>
      </c>
      <c r="I1790" s="71">
        <v>0</v>
      </c>
      <c r="J1790" s="71">
        <v>0</v>
      </c>
    </row>
    <row r="1791" customFormat="1" ht="12.75" hidden="1" spans="1:10">
      <c r="A1791" s="64"/>
      <c r="B1791" s="73" t="s">
        <v>3420</v>
      </c>
      <c r="C1791" s="66" t="s">
        <v>3421</v>
      </c>
      <c r="D1791" s="67">
        <v>0.1739</v>
      </c>
      <c r="E1791" s="68"/>
      <c r="F1791" s="69">
        <v>1</v>
      </c>
      <c r="G1791" s="70"/>
      <c r="H1791" s="71">
        <v>0.4</v>
      </c>
      <c r="I1791" s="71">
        <v>0</v>
      </c>
      <c r="J1791" s="71">
        <v>0</v>
      </c>
    </row>
    <row r="1792" customFormat="1" ht="12.75" hidden="1" spans="1:10">
      <c r="A1792" s="64"/>
      <c r="B1792" s="73" t="s">
        <v>3422</v>
      </c>
      <c r="C1792" s="66" t="s">
        <v>3423</v>
      </c>
      <c r="D1792" s="67">
        <v>0.1304</v>
      </c>
      <c r="E1792" s="68"/>
      <c r="F1792" s="69">
        <v>1</v>
      </c>
      <c r="G1792" s="70"/>
      <c r="H1792" s="71">
        <v>0.3</v>
      </c>
      <c r="I1792" s="71">
        <v>0</v>
      </c>
      <c r="J1792" s="71">
        <v>0</v>
      </c>
    </row>
    <row r="1793" ht="12.75" hidden="1" spans="1:21">
      <c r="A1793" s="64"/>
      <c r="B1793" s="73" t="s">
        <v>3424</v>
      </c>
      <c r="C1793" s="66" t="s">
        <v>3425</v>
      </c>
      <c r="D1793" s="67">
        <v>0.1304</v>
      </c>
      <c r="E1793" s="68"/>
      <c r="F1793" s="69">
        <v>0.5</v>
      </c>
      <c r="G1793" s="70"/>
      <c r="H1793" s="71">
        <v>0.3</v>
      </c>
      <c r="I1793" s="71">
        <v>0</v>
      </c>
      <c r="J1793" s="71">
        <v>0</v>
      </c>
      <c r="M1793"/>
      <c r="N1793"/>
      <c r="O1793"/>
      <c r="P1793"/>
      <c r="Q1793"/>
      <c r="R1793"/>
      <c r="S1793"/>
      <c r="T1793"/>
      <c r="U1793"/>
    </row>
    <row r="1794" ht="12.75" hidden="1" spans="1:21">
      <c r="A1794" s="64"/>
      <c r="B1794" s="73" t="s">
        <v>3426</v>
      </c>
      <c r="C1794" s="66" t="s">
        <v>3427</v>
      </c>
      <c r="D1794" s="67">
        <v>0.1304</v>
      </c>
      <c r="E1794" s="68"/>
      <c r="F1794" s="69">
        <v>0.5</v>
      </c>
      <c r="G1794" s="70"/>
      <c r="H1794" s="71">
        <v>0.3</v>
      </c>
      <c r="I1794" s="71">
        <v>0</v>
      </c>
      <c r="J1794" s="71">
        <v>0</v>
      </c>
      <c r="M1794"/>
      <c r="N1794"/>
      <c r="O1794"/>
      <c r="P1794"/>
      <c r="Q1794"/>
      <c r="R1794"/>
      <c r="S1794"/>
      <c r="T1794"/>
      <c r="U1794"/>
    </row>
    <row r="1795" ht="12.75" hidden="1" spans="1:21">
      <c r="A1795" s="64"/>
      <c r="B1795" s="73" t="s">
        <v>3428</v>
      </c>
      <c r="C1795" s="66" t="s">
        <v>3429</v>
      </c>
      <c r="D1795" s="67">
        <v>0.1304</v>
      </c>
      <c r="E1795" s="68"/>
      <c r="F1795" s="69">
        <v>0.5</v>
      </c>
      <c r="G1795" s="70"/>
      <c r="H1795" s="71">
        <v>0.3</v>
      </c>
      <c r="I1795" s="71">
        <v>0</v>
      </c>
      <c r="J1795" s="71">
        <v>0</v>
      </c>
      <c r="M1795"/>
      <c r="N1795"/>
      <c r="O1795"/>
      <c r="P1795"/>
      <c r="Q1795"/>
      <c r="R1795"/>
      <c r="S1795"/>
      <c r="T1795"/>
      <c r="U1795"/>
    </row>
    <row r="1796" ht="38.25" spans="1:20">
      <c r="A1796" s="72" t="s">
        <v>3773</v>
      </c>
      <c r="B1796" s="73" t="s">
        <v>3430</v>
      </c>
      <c r="C1796" s="66" t="s">
        <v>3431</v>
      </c>
      <c r="D1796" s="67">
        <v>0.1565</v>
      </c>
      <c r="E1796" s="68"/>
      <c r="F1796" s="69">
        <v>0.5</v>
      </c>
      <c r="G1796" s="70"/>
      <c r="H1796" s="71">
        <v>0.36</v>
      </c>
      <c r="I1796" s="71"/>
      <c r="J1796" s="71"/>
      <c r="M1796" s="32">
        <v>24</v>
      </c>
      <c r="N1796" s="77">
        <f>+F1796</f>
        <v>0.5</v>
      </c>
      <c r="O1796" s="77">
        <f>+M1796*N1796</f>
        <v>12</v>
      </c>
      <c r="R1796" s="3">
        <f>+M1796</f>
        <v>24</v>
      </c>
      <c r="S1796" s="49">
        <f>+H1796</f>
        <v>0.36</v>
      </c>
      <c r="T1796" s="49">
        <f>+R1796*S1796</f>
        <v>8.64</v>
      </c>
    </row>
    <row r="1797" ht="12.75" hidden="1" spans="1:21">
      <c r="A1797" s="64"/>
      <c r="B1797" s="73" t="s">
        <v>3432</v>
      </c>
      <c r="C1797" s="66" t="s">
        <v>3433</v>
      </c>
      <c r="D1797" s="67">
        <v>0.1304</v>
      </c>
      <c r="E1797" s="68"/>
      <c r="F1797" s="69">
        <v>0.5</v>
      </c>
      <c r="G1797" s="70"/>
      <c r="H1797" s="71">
        <v>0.3</v>
      </c>
      <c r="I1797" s="71">
        <v>0</v>
      </c>
      <c r="J1797" s="71">
        <v>0</v>
      </c>
      <c r="M1797"/>
      <c r="N1797"/>
      <c r="O1797"/>
      <c r="P1797"/>
      <c r="Q1797"/>
      <c r="R1797"/>
      <c r="S1797"/>
      <c r="T1797"/>
      <c r="U1797"/>
    </row>
    <row r="1798" ht="12.75" hidden="1" spans="1:21">
      <c r="A1798" s="64"/>
      <c r="B1798" s="73" t="s">
        <v>3434</v>
      </c>
      <c r="C1798" s="66" t="s">
        <v>3435</v>
      </c>
      <c r="D1798" s="67">
        <v>0.1304</v>
      </c>
      <c r="E1798" s="68"/>
      <c r="F1798" s="69">
        <v>0.5</v>
      </c>
      <c r="G1798" s="70"/>
      <c r="H1798" s="71">
        <v>0.3</v>
      </c>
      <c r="I1798" s="71">
        <v>0</v>
      </c>
      <c r="J1798" s="71">
        <v>0</v>
      </c>
      <c r="M1798"/>
      <c r="N1798"/>
      <c r="O1798"/>
      <c r="P1798"/>
      <c r="Q1798"/>
      <c r="R1798"/>
      <c r="S1798"/>
      <c r="T1798"/>
      <c r="U1798"/>
    </row>
    <row r="1799" ht="12.75" hidden="1" spans="1:21">
      <c r="A1799" s="64"/>
      <c r="B1799" s="73" t="s">
        <v>3436</v>
      </c>
      <c r="C1799" s="66" t="s">
        <v>3437</v>
      </c>
      <c r="D1799" s="67">
        <v>0.1304</v>
      </c>
      <c r="E1799" s="68"/>
      <c r="F1799" s="69">
        <v>0.5</v>
      </c>
      <c r="G1799" s="70"/>
      <c r="H1799" s="71">
        <v>0.3</v>
      </c>
      <c r="I1799" s="71">
        <v>0</v>
      </c>
      <c r="J1799" s="71">
        <v>0</v>
      </c>
      <c r="M1799"/>
      <c r="N1799"/>
      <c r="O1799"/>
      <c r="P1799"/>
      <c r="Q1799"/>
      <c r="R1799"/>
      <c r="S1799"/>
      <c r="T1799"/>
      <c r="U1799"/>
    </row>
    <row r="1800" ht="12.75" hidden="1" spans="1:21">
      <c r="A1800" s="64"/>
      <c r="B1800" s="73" t="s">
        <v>3438</v>
      </c>
      <c r="C1800" s="66" t="s">
        <v>3439</v>
      </c>
      <c r="D1800" s="67">
        <v>0.1304</v>
      </c>
      <c r="E1800" s="68"/>
      <c r="F1800" s="69">
        <v>0.5</v>
      </c>
      <c r="G1800" s="70"/>
      <c r="H1800" s="71">
        <v>0.3</v>
      </c>
      <c r="I1800" s="71">
        <v>0</v>
      </c>
      <c r="J1800" s="71">
        <v>0</v>
      </c>
      <c r="M1800"/>
      <c r="N1800"/>
      <c r="O1800"/>
      <c r="P1800"/>
      <c r="Q1800"/>
      <c r="R1800"/>
      <c r="S1800"/>
      <c r="T1800"/>
      <c r="U1800"/>
    </row>
    <row r="1801" ht="12.75" hidden="1" spans="1:21">
      <c r="A1801" s="64"/>
      <c r="B1801" s="73" t="s">
        <v>3440</v>
      </c>
      <c r="C1801" s="66" t="s">
        <v>3441</v>
      </c>
      <c r="D1801" s="67">
        <v>0.0435</v>
      </c>
      <c r="E1801" s="68"/>
      <c r="F1801" s="69">
        <v>0.2</v>
      </c>
      <c r="G1801" s="70"/>
      <c r="H1801" s="71">
        <v>0.1</v>
      </c>
      <c r="I1801" s="71">
        <v>0</v>
      </c>
      <c r="J1801" s="71">
        <v>0</v>
      </c>
      <c r="M1801"/>
      <c r="N1801"/>
      <c r="O1801"/>
      <c r="P1801"/>
      <c r="Q1801"/>
      <c r="R1801"/>
      <c r="S1801"/>
      <c r="T1801"/>
      <c r="U1801"/>
    </row>
    <row r="1802" ht="12.75" hidden="1" spans="1:21">
      <c r="A1802" s="64"/>
      <c r="B1802" s="73" t="s">
        <v>3442</v>
      </c>
      <c r="C1802" s="66" t="s">
        <v>3443</v>
      </c>
      <c r="D1802" s="67">
        <v>0.087</v>
      </c>
      <c r="E1802" s="68"/>
      <c r="F1802" s="69">
        <v>0.5</v>
      </c>
      <c r="G1802" s="70"/>
      <c r="H1802" s="71">
        <v>0.2</v>
      </c>
      <c r="I1802" s="71">
        <v>0</v>
      </c>
      <c r="J1802" s="71">
        <v>0</v>
      </c>
      <c r="M1802"/>
      <c r="N1802"/>
      <c r="O1802"/>
      <c r="P1802"/>
      <c r="Q1802"/>
      <c r="R1802"/>
      <c r="S1802"/>
      <c r="T1802"/>
      <c r="U1802"/>
    </row>
    <row r="1803" ht="12.75" hidden="1" spans="1:21">
      <c r="A1803" s="64"/>
      <c r="B1803" s="73" t="s">
        <v>3444</v>
      </c>
      <c r="C1803" s="66" t="s">
        <v>3445</v>
      </c>
      <c r="D1803" s="67">
        <v>0.1304</v>
      </c>
      <c r="E1803" s="68"/>
      <c r="F1803" s="69">
        <v>0.5</v>
      </c>
      <c r="G1803" s="70"/>
      <c r="H1803" s="71">
        <v>0.3</v>
      </c>
      <c r="I1803" s="71">
        <v>0</v>
      </c>
      <c r="J1803" s="71">
        <v>0</v>
      </c>
      <c r="M1803"/>
      <c r="N1803"/>
      <c r="O1803"/>
      <c r="P1803"/>
      <c r="Q1803"/>
      <c r="R1803"/>
      <c r="S1803"/>
      <c r="T1803"/>
      <c r="U1803"/>
    </row>
    <row r="1804" ht="12.75" hidden="1" spans="1:21">
      <c r="A1804" s="64"/>
      <c r="B1804" s="73" t="s">
        <v>3446</v>
      </c>
      <c r="C1804" s="66" t="s">
        <v>3447</v>
      </c>
      <c r="D1804" s="67">
        <v>0.0435</v>
      </c>
      <c r="E1804" s="68"/>
      <c r="F1804" s="69">
        <v>0.2</v>
      </c>
      <c r="G1804" s="70"/>
      <c r="H1804" s="71">
        <v>0.1</v>
      </c>
      <c r="I1804" s="71">
        <v>0</v>
      </c>
      <c r="J1804" s="71">
        <v>0</v>
      </c>
      <c r="M1804"/>
      <c r="N1804"/>
      <c r="O1804"/>
      <c r="P1804"/>
      <c r="Q1804"/>
      <c r="R1804"/>
      <c r="S1804"/>
      <c r="T1804"/>
      <c r="U1804"/>
    </row>
    <row r="1805" ht="12.75" hidden="1" spans="1:21">
      <c r="A1805" s="64"/>
      <c r="B1805" s="73" t="s">
        <v>3448</v>
      </c>
      <c r="C1805" s="66" t="s">
        <v>3449</v>
      </c>
      <c r="D1805" s="67">
        <v>0.3913</v>
      </c>
      <c r="E1805" s="68"/>
      <c r="F1805" s="69">
        <v>1.5</v>
      </c>
      <c r="G1805" s="70"/>
      <c r="H1805" s="71">
        <v>0.9</v>
      </c>
      <c r="I1805" s="71">
        <v>0</v>
      </c>
      <c r="J1805" s="71">
        <v>0</v>
      </c>
      <c r="M1805"/>
      <c r="N1805"/>
      <c r="O1805"/>
      <c r="P1805"/>
      <c r="Q1805"/>
      <c r="R1805"/>
      <c r="S1805"/>
      <c r="T1805"/>
      <c r="U1805"/>
    </row>
    <row r="1806" ht="12.75" hidden="1" spans="1:21">
      <c r="A1806" s="64"/>
      <c r="B1806" s="73" t="s">
        <v>3450</v>
      </c>
      <c r="C1806" s="66" t="s">
        <v>3451</v>
      </c>
      <c r="D1806" s="67">
        <v>0.3478</v>
      </c>
      <c r="E1806" s="68"/>
      <c r="F1806" s="69">
        <v>1.3</v>
      </c>
      <c r="G1806" s="70"/>
      <c r="H1806" s="71">
        <v>0.8</v>
      </c>
      <c r="I1806" s="71">
        <v>0</v>
      </c>
      <c r="J1806" s="71">
        <v>0</v>
      </c>
      <c r="M1806"/>
      <c r="N1806"/>
      <c r="O1806"/>
      <c r="P1806"/>
      <c r="Q1806"/>
      <c r="R1806"/>
      <c r="S1806"/>
      <c r="T1806"/>
      <c r="U1806"/>
    </row>
    <row r="1807" ht="12.75" hidden="1" spans="1:21">
      <c r="A1807" s="64"/>
      <c r="B1807" s="73" t="s">
        <v>3452</v>
      </c>
      <c r="C1807" s="66" t="s">
        <v>3453</v>
      </c>
      <c r="D1807" s="67">
        <v>0.2609</v>
      </c>
      <c r="E1807" s="68"/>
      <c r="F1807" s="69">
        <v>1</v>
      </c>
      <c r="G1807" s="70"/>
      <c r="H1807" s="71">
        <v>0.6</v>
      </c>
      <c r="I1807" s="71">
        <v>0</v>
      </c>
      <c r="J1807" s="71">
        <v>0</v>
      </c>
      <c r="M1807"/>
      <c r="N1807"/>
      <c r="O1807"/>
      <c r="P1807"/>
      <c r="Q1807"/>
      <c r="R1807"/>
      <c r="S1807"/>
      <c r="T1807"/>
      <c r="U1807"/>
    </row>
    <row r="1808" ht="12.75" hidden="1" spans="1:21">
      <c r="A1808" s="64"/>
      <c r="B1808" s="73" t="s">
        <v>3454</v>
      </c>
      <c r="C1808" s="66" t="s">
        <v>3455</v>
      </c>
      <c r="D1808" s="67">
        <v>0.087</v>
      </c>
      <c r="E1808" s="68"/>
      <c r="F1808" s="69">
        <v>1</v>
      </c>
      <c r="G1808" s="70"/>
      <c r="H1808" s="71">
        <v>0.2</v>
      </c>
      <c r="I1808" s="71">
        <v>0</v>
      </c>
      <c r="J1808" s="71">
        <v>0</v>
      </c>
      <c r="M1808"/>
      <c r="N1808"/>
      <c r="O1808"/>
      <c r="P1808"/>
      <c r="Q1808"/>
      <c r="R1808"/>
      <c r="S1808"/>
      <c r="T1808"/>
      <c r="U1808"/>
    </row>
    <row r="1809" customFormat="1" ht="12.75" hidden="1" spans="1:10">
      <c r="A1809" s="64"/>
      <c r="B1809" s="73" t="s">
        <v>3456</v>
      </c>
      <c r="C1809" s="66" t="s">
        <v>3457</v>
      </c>
      <c r="D1809" s="67">
        <v>0.1304</v>
      </c>
      <c r="E1809" s="68"/>
      <c r="F1809" s="69">
        <v>0.5</v>
      </c>
      <c r="G1809" s="70"/>
      <c r="H1809" s="71">
        <v>0.3</v>
      </c>
      <c r="I1809" s="71">
        <v>0</v>
      </c>
      <c r="J1809" s="71">
        <v>0</v>
      </c>
    </row>
    <row r="1810" customFormat="1" ht="12.75" hidden="1" spans="1:10">
      <c r="A1810" s="64"/>
      <c r="B1810" s="73" t="s">
        <v>3458</v>
      </c>
      <c r="C1810" s="66" t="s">
        <v>3459</v>
      </c>
      <c r="D1810" s="67">
        <v>0.6522</v>
      </c>
      <c r="E1810" s="68"/>
      <c r="F1810" s="69">
        <v>2.5</v>
      </c>
      <c r="G1810" s="70"/>
      <c r="H1810" s="71">
        <v>1.5</v>
      </c>
      <c r="I1810" s="71">
        <v>0</v>
      </c>
      <c r="J1810" s="71">
        <v>0</v>
      </c>
    </row>
    <row r="1811" customFormat="1" ht="12.75" hidden="1" spans="1:10">
      <c r="A1811" s="64"/>
      <c r="B1811" s="73" t="s">
        <v>3460</v>
      </c>
      <c r="C1811" s="66" t="s">
        <v>3461</v>
      </c>
      <c r="D1811" s="67">
        <v>5.1304</v>
      </c>
      <c r="E1811" s="68"/>
      <c r="F1811" s="79">
        <v>18</v>
      </c>
      <c r="G1811" s="80"/>
      <c r="H1811" s="71">
        <v>11.8</v>
      </c>
      <c r="I1811" s="71">
        <v>0</v>
      </c>
      <c r="J1811" s="71">
        <v>0</v>
      </c>
    </row>
    <row r="1812" customFormat="1" ht="12.75" hidden="1" spans="1:10">
      <c r="A1812" s="64"/>
      <c r="B1812" s="73" t="s">
        <v>3462</v>
      </c>
      <c r="C1812" s="66" t="s">
        <v>3463</v>
      </c>
      <c r="D1812" s="67">
        <v>0.5652</v>
      </c>
      <c r="E1812" s="68"/>
      <c r="F1812" s="69">
        <v>2.1</v>
      </c>
      <c r="G1812" s="70"/>
      <c r="H1812" s="71">
        <v>1.3</v>
      </c>
      <c r="I1812" s="71">
        <v>0</v>
      </c>
      <c r="J1812" s="71">
        <v>0</v>
      </c>
    </row>
    <row r="1813" customFormat="1" ht="12.75" hidden="1" spans="1:10">
      <c r="A1813" s="64"/>
      <c r="B1813" s="73" t="s">
        <v>3464</v>
      </c>
      <c r="C1813" s="66" t="s">
        <v>3465</v>
      </c>
      <c r="D1813" s="67">
        <v>0.7391</v>
      </c>
      <c r="E1813" s="68"/>
      <c r="F1813" s="69">
        <v>2.7</v>
      </c>
      <c r="G1813" s="70"/>
      <c r="H1813" s="71">
        <v>1.7</v>
      </c>
      <c r="I1813" s="71">
        <v>0</v>
      </c>
      <c r="J1813" s="71">
        <v>0</v>
      </c>
    </row>
    <row r="1814" customFormat="1" ht="12.75" hidden="1" spans="1:10">
      <c r="A1814" s="64"/>
      <c r="B1814" s="73" t="s">
        <v>3466</v>
      </c>
      <c r="C1814" s="66" t="s">
        <v>3467</v>
      </c>
      <c r="D1814" s="67">
        <v>1.2174</v>
      </c>
      <c r="E1814" s="68"/>
      <c r="F1814" s="69">
        <v>4.5</v>
      </c>
      <c r="G1814" s="70"/>
      <c r="H1814" s="71">
        <v>2.8</v>
      </c>
      <c r="I1814" s="71">
        <v>0</v>
      </c>
      <c r="J1814" s="71">
        <v>0</v>
      </c>
    </row>
    <row r="1815" customFormat="1" ht="12.75" hidden="1" spans="1:10">
      <c r="A1815" s="64"/>
      <c r="B1815" s="73" t="s">
        <v>3468</v>
      </c>
      <c r="C1815" s="66" t="s">
        <v>3469</v>
      </c>
      <c r="D1815" s="67">
        <v>0.5652</v>
      </c>
      <c r="E1815" s="68"/>
      <c r="F1815" s="69">
        <v>2.1</v>
      </c>
      <c r="G1815" s="70"/>
      <c r="H1815" s="71">
        <v>1.3</v>
      </c>
      <c r="I1815" s="71">
        <v>0</v>
      </c>
      <c r="J1815" s="71">
        <v>0</v>
      </c>
    </row>
    <row r="1816" customFormat="1" ht="12.75" hidden="1" spans="1:10">
      <c r="A1816" s="64"/>
      <c r="B1816" s="73" t="s">
        <v>3470</v>
      </c>
      <c r="C1816" s="66" t="s">
        <v>3471</v>
      </c>
      <c r="D1816" s="67">
        <v>0.5652</v>
      </c>
      <c r="E1816" s="68"/>
      <c r="F1816" s="69">
        <v>2</v>
      </c>
      <c r="G1816" s="70"/>
      <c r="H1816" s="71">
        <v>1.3</v>
      </c>
      <c r="I1816" s="71">
        <v>0</v>
      </c>
      <c r="J1816" s="71">
        <v>0</v>
      </c>
    </row>
    <row r="1817" customFormat="1" ht="12.75" hidden="1" spans="1:10">
      <c r="A1817" s="64"/>
      <c r="B1817" s="73" t="s">
        <v>3472</v>
      </c>
      <c r="C1817" s="66" t="s">
        <v>3473</v>
      </c>
      <c r="D1817" s="67">
        <v>9</v>
      </c>
      <c r="E1817" s="68"/>
      <c r="F1817" s="79">
        <v>33.1</v>
      </c>
      <c r="G1817" s="80"/>
      <c r="H1817" s="71">
        <v>20.7</v>
      </c>
      <c r="I1817" s="71">
        <v>0</v>
      </c>
      <c r="J1817" s="71">
        <v>0</v>
      </c>
    </row>
    <row r="1818" customFormat="1" ht="12.75" hidden="1" spans="1:10">
      <c r="A1818" s="64"/>
      <c r="B1818" s="73" t="s">
        <v>3474</v>
      </c>
      <c r="C1818" s="66" t="s">
        <v>3475</v>
      </c>
      <c r="D1818" s="67">
        <v>3.7391</v>
      </c>
      <c r="E1818" s="68"/>
      <c r="F1818" s="79">
        <v>15</v>
      </c>
      <c r="G1818" s="80"/>
      <c r="H1818" s="71">
        <v>8.6</v>
      </c>
      <c r="I1818" s="71">
        <v>0</v>
      </c>
      <c r="J1818" s="71">
        <v>0</v>
      </c>
    </row>
    <row r="1819" customFormat="1" ht="12.75" hidden="1" spans="1:10">
      <c r="A1819" s="64"/>
      <c r="B1819" s="73" t="s">
        <v>3476</v>
      </c>
      <c r="C1819" s="66" t="s">
        <v>3477</v>
      </c>
      <c r="D1819" s="67">
        <v>6.4348</v>
      </c>
      <c r="E1819" s="68"/>
      <c r="F1819" s="79">
        <v>15</v>
      </c>
      <c r="G1819" s="80"/>
      <c r="H1819" s="71">
        <v>14.8</v>
      </c>
      <c r="I1819" s="71">
        <v>0</v>
      </c>
      <c r="J1819" s="71">
        <v>0</v>
      </c>
    </row>
    <row r="1820" customFormat="1" ht="12.75" hidden="1" spans="1:10">
      <c r="A1820" s="64"/>
      <c r="B1820" s="73" t="s">
        <v>3478</v>
      </c>
      <c r="C1820" s="66" t="s">
        <v>3479</v>
      </c>
      <c r="D1820" s="67">
        <v>0.3913</v>
      </c>
      <c r="E1820" s="68"/>
      <c r="F1820" s="69">
        <v>1.5</v>
      </c>
      <c r="G1820" s="70"/>
      <c r="H1820" s="71">
        <v>0.9</v>
      </c>
      <c r="I1820" s="71">
        <v>0</v>
      </c>
      <c r="J1820" s="71">
        <v>0</v>
      </c>
    </row>
    <row r="1821" customFormat="1" ht="12.75" hidden="1" spans="1:10">
      <c r="A1821" s="64"/>
      <c r="B1821" s="73" t="s">
        <v>3480</v>
      </c>
      <c r="C1821" s="66" t="s">
        <v>3481</v>
      </c>
      <c r="D1821" s="67">
        <v>0.6087</v>
      </c>
      <c r="E1821" s="68"/>
      <c r="F1821" s="69">
        <v>2.3</v>
      </c>
      <c r="G1821" s="70"/>
      <c r="H1821" s="71">
        <v>1.4</v>
      </c>
      <c r="I1821" s="71">
        <v>0</v>
      </c>
      <c r="J1821" s="71">
        <v>0</v>
      </c>
    </row>
    <row r="1822" customFormat="1" ht="12.75" hidden="1" spans="1:10">
      <c r="A1822" s="64"/>
      <c r="B1822" s="73" t="s">
        <v>3482</v>
      </c>
      <c r="C1822" s="66" t="s">
        <v>3483</v>
      </c>
      <c r="D1822" s="67">
        <v>0.3913</v>
      </c>
      <c r="E1822" s="68"/>
      <c r="F1822" s="69">
        <v>1.5</v>
      </c>
      <c r="G1822" s="70"/>
      <c r="H1822" s="71">
        <v>0.9</v>
      </c>
      <c r="I1822" s="71">
        <v>0</v>
      </c>
      <c r="J1822" s="71">
        <v>0</v>
      </c>
    </row>
    <row r="1823" customFormat="1" ht="12.75" hidden="1" spans="1:10">
      <c r="A1823" s="64"/>
      <c r="B1823" s="73" t="s">
        <v>3484</v>
      </c>
      <c r="C1823" s="66" t="s">
        <v>3485</v>
      </c>
      <c r="D1823" s="67">
        <v>0.3913</v>
      </c>
      <c r="E1823" s="68"/>
      <c r="F1823" s="69">
        <v>1.5</v>
      </c>
      <c r="G1823" s="70"/>
      <c r="H1823" s="71">
        <v>0.9</v>
      </c>
      <c r="I1823" s="71">
        <v>0</v>
      </c>
      <c r="J1823" s="71">
        <v>0</v>
      </c>
    </row>
    <row r="1824" customFormat="1" ht="12.75" hidden="1" spans="1:10">
      <c r="A1824" s="64"/>
      <c r="B1824" s="73" t="s">
        <v>3486</v>
      </c>
      <c r="C1824" s="66" t="s">
        <v>3487</v>
      </c>
      <c r="D1824" s="67">
        <v>1.2609</v>
      </c>
      <c r="E1824" s="68"/>
      <c r="F1824" s="69">
        <v>4</v>
      </c>
      <c r="G1824" s="70"/>
      <c r="H1824" s="71">
        <v>2.9</v>
      </c>
      <c r="I1824" s="71">
        <v>0</v>
      </c>
      <c r="J1824" s="71">
        <v>0</v>
      </c>
    </row>
    <row r="1825" customFormat="1" ht="12.75" hidden="1" spans="1:10">
      <c r="A1825" s="64"/>
      <c r="B1825" s="73" t="s">
        <v>3488</v>
      </c>
      <c r="C1825" s="66" t="s">
        <v>3489</v>
      </c>
      <c r="D1825" s="67">
        <v>1.7391</v>
      </c>
      <c r="E1825" s="68"/>
      <c r="F1825" s="69">
        <v>6.5</v>
      </c>
      <c r="G1825" s="70"/>
      <c r="H1825" s="71">
        <v>4</v>
      </c>
      <c r="I1825" s="71">
        <v>0</v>
      </c>
      <c r="J1825" s="71">
        <v>0</v>
      </c>
    </row>
    <row r="1826" customFormat="1" ht="12.75" hidden="1" spans="1:10">
      <c r="A1826" s="64"/>
      <c r="B1826" s="73" t="s">
        <v>3490</v>
      </c>
      <c r="C1826" s="66" t="s">
        <v>3491</v>
      </c>
      <c r="D1826" s="67">
        <v>3.087</v>
      </c>
      <c r="E1826" s="68"/>
      <c r="F1826" s="79">
        <v>11.5</v>
      </c>
      <c r="G1826" s="80"/>
      <c r="H1826" s="71">
        <v>7.1</v>
      </c>
      <c r="I1826" s="71">
        <v>0</v>
      </c>
      <c r="J1826" s="71">
        <v>0</v>
      </c>
    </row>
    <row r="1827" customFormat="1" ht="12.75" hidden="1" spans="1:10">
      <c r="A1827" s="64"/>
      <c r="B1827" s="73" t="s">
        <v>3492</v>
      </c>
      <c r="C1827" s="66" t="s">
        <v>3493</v>
      </c>
      <c r="D1827" s="67">
        <v>4.4783</v>
      </c>
      <c r="E1827" s="68"/>
      <c r="F1827" s="79">
        <v>16.4</v>
      </c>
      <c r="G1827" s="80"/>
      <c r="H1827" s="71">
        <v>10.3</v>
      </c>
      <c r="I1827" s="71">
        <v>0</v>
      </c>
      <c r="J1827" s="71">
        <v>0</v>
      </c>
    </row>
    <row r="1828" customFormat="1" ht="12.75" hidden="1" spans="1:10">
      <c r="A1828" s="64"/>
      <c r="B1828" s="73" t="s">
        <v>3494</v>
      </c>
      <c r="C1828" s="66" t="s">
        <v>3495</v>
      </c>
      <c r="D1828" s="67">
        <v>0.4348</v>
      </c>
      <c r="E1828" s="68"/>
      <c r="F1828" s="69">
        <v>1.6</v>
      </c>
      <c r="G1828" s="70"/>
      <c r="H1828" s="71">
        <v>1</v>
      </c>
      <c r="I1828" s="71">
        <v>0</v>
      </c>
      <c r="J1828" s="71">
        <v>0</v>
      </c>
    </row>
    <row r="1829" customFormat="1" ht="12.75" hidden="1" spans="1:10">
      <c r="A1829" s="64"/>
      <c r="B1829" s="73" t="s">
        <v>3496</v>
      </c>
      <c r="C1829" s="66" t="s">
        <v>3497</v>
      </c>
      <c r="D1829" s="67">
        <v>0.1739</v>
      </c>
      <c r="E1829" s="68"/>
      <c r="F1829" s="69">
        <v>0.6</v>
      </c>
      <c r="G1829" s="70"/>
      <c r="H1829" s="71">
        <v>0.4</v>
      </c>
      <c r="I1829" s="71">
        <v>0</v>
      </c>
      <c r="J1829" s="71">
        <v>0</v>
      </c>
    </row>
    <row r="1830" customFormat="1" ht="12.75" hidden="1" spans="1:10">
      <c r="A1830" s="64"/>
      <c r="B1830" s="73" t="s">
        <v>3498</v>
      </c>
      <c r="C1830" s="66" t="s">
        <v>3499</v>
      </c>
      <c r="D1830" s="67">
        <v>0.1739</v>
      </c>
      <c r="E1830" s="68"/>
      <c r="F1830" s="69">
        <v>0.7</v>
      </c>
      <c r="G1830" s="70"/>
      <c r="H1830" s="71">
        <v>0.4</v>
      </c>
      <c r="I1830" s="71">
        <v>0</v>
      </c>
      <c r="J1830" s="71">
        <v>0</v>
      </c>
    </row>
    <row r="1831" customFormat="1" ht="12.75" hidden="1" spans="1:10">
      <c r="A1831" s="64"/>
      <c r="B1831" s="73" t="s">
        <v>3500</v>
      </c>
      <c r="C1831" s="66" t="s">
        <v>3501</v>
      </c>
      <c r="D1831" s="67">
        <v>0.3478</v>
      </c>
      <c r="E1831" s="68"/>
      <c r="F1831" s="69">
        <v>1.3</v>
      </c>
      <c r="G1831" s="70"/>
      <c r="H1831" s="71">
        <v>0.8</v>
      </c>
      <c r="I1831" s="71">
        <v>0</v>
      </c>
      <c r="J1831" s="71">
        <v>0</v>
      </c>
    </row>
    <row r="1832" customFormat="1" ht="12.75" hidden="1" spans="1:10">
      <c r="A1832" s="64"/>
      <c r="B1832" s="73" t="s">
        <v>3502</v>
      </c>
      <c r="C1832" s="66" t="s">
        <v>3503</v>
      </c>
      <c r="D1832" s="67">
        <v>0.0435</v>
      </c>
      <c r="E1832" s="68"/>
      <c r="F1832" s="69">
        <v>0.25</v>
      </c>
      <c r="G1832" s="70"/>
      <c r="H1832" s="71">
        <v>0.1</v>
      </c>
      <c r="I1832" s="71">
        <v>0</v>
      </c>
      <c r="J1832" s="71">
        <v>0</v>
      </c>
    </row>
    <row r="1833" customFormat="1" ht="12.75" hidden="1" spans="1:10">
      <c r="A1833" s="64"/>
      <c r="B1833" s="73" t="s">
        <v>3504</v>
      </c>
      <c r="C1833" s="66" t="s">
        <v>3505</v>
      </c>
      <c r="D1833" s="67">
        <v>0.0435</v>
      </c>
      <c r="E1833" s="68"/>
      <c r="F1833" s="69">
        <v>0.3</v>
      </c>
      <c r="G1833" s="70"/>
      <c r="H1833" s="71">
        <v>0.2</v>
      </c>
      <c r="I1833" s="71">
        <v>0</v>
      </c>
      <c r="J1833" s="71">
        <v>0</v>
      </c>
    </row>
    <row r="1834" customFormat="1" ht="12.75" hidden="1" spans="1:10">
      <c r="A1834" s="64"/>
      <c r="B1834" s="73" t="s">
        <v>3506</v>
      </c>
      <c r="C1834" s="66" t="s">
        <v>3507</v>
      </c>
      <c r="D1834" s="67">
        <v>0.087</v>
      </c>
      <c r="E1834" s="68"/>
      <c r="F1834" s="69">
        <v>0.25</v>
      </c>
      <c r="G1834" s="70"/>
      <c r="H1834" s="71">
        <v>0.2</v>
      </c>
      <c r="I1834" s="71">
        <v>0</v>
      </c>
      <c r="J1834" s="71">
        <v>0</v>
      </c>
    </row>
    <row r="1835" customFormat="1" ht="12.75" hidden="1" spans="1:10">
      <c r="A1835" s="64"/>
      <c r="B1835" s="73" t="s">
        <v>3508</v>
      </c>
      <c r="C1835" s="66" t="s">
        <v>3509</v>
      </c>
      <c r="D1835" s="67">
        <v>0.087</v>
      </c>
      <c r="E1835" s="68"/>
      <c r="F1835" s="69">
        <v>0.3</v>
      </c>
      <c r="G1835" s="70"/>
      <c r="H1835" s="71">
        <v>0.2</v>
      </c>
      <c r="I1835" s="71">
        <v>0</v>
      </c>
      <c r="J1835" s="71">
        <v>0</v>
      </c>
    </row>
    <row r="1836" customFormat="1" ht="12.75" hidden="1" spans="1:10">
      <c r="A1836" s="64"/>
      <c r="B1836" s="73" t="s">
        <v>3510</v>
      </c>
      <c r="C1836" s="66" t="s">
        <v>3511</v>
      </c>
      <c r="D1836" s="67">
        <v>3.0435</v>
      </c>
      <c r="E1836" s="68"/>
      <c r="F1836" s="79">
        <v>13</v>
      </c>
      <c r="G1836" s="80"/>
      <c r="H1836" s="71">
        <v>7</v>
      </c>
      <c r="I1836" s="71">
        <v>0</v>
      </c>
      <c r="J1836" s="71">
        <v>0</v>
      </c>
    </row>
    <row r="1837" customFormat="1" ht="12.75" hidden="1" spans="1:10">
      <c r="A1837" s="64"/>
      <c r="B1837" s="73" t="s">
        <v>3512</v>
      </c>
      <c r="C1837" s="66" t="s">
        <v>3513</v>
      </c>
      <c r="D1837" s="67">
        <v>0.4348</v>
      </c>
      <c r="E1837" s="68"/>
      <c r="F1837" s="69">
        <v>1.5</v>
      </c>
      <c r="G1837" s="70"/>
      <c r="H1837" s="71">
        <v>1</v>
      </c>
      <c r="I1837" s="71">
        <v>0</v>
      </c>
      <c r="J1837" s="71">
        <v>0</v>
      </c>
    </row>
    <row r="1838" customFormat="1" ht="25.5" hidden="1" spans="1:10">
      <c r="A1838" s="64"/>
      <c r="B1838" s="73" t="s">
        <v>3514</v>
      </c>
      <c r="C1838" s="66" t="s">
        <v>3515</v>
      </c>
      <c r="D1838" s="67">
        <v>1.8696</v>
      </c>
      <c r="E1838" s="68"/>
      <c r="F1838" s="69">
        <v>6.8</v>
      </c>
      <c r="G1838" s="70"/>
      <c r="H1838" s="71">
        <v>4.3</v>
      </c>
      <c r="I1838" s="71">
        <v>0</v>
      </c>
      <c r="J1838" s="71">
        <v>0</v>
      </c>
    </row>
    <row r="1839" customFormat="1" ht="12.75" hidden="1" spans="1:10">
      <c r="A1839" s="64"/>
      <c r="B1839" s="73" t="s">
        <v>3516</v>
      </c>
      <c r="C1839" s="66" t="s">
        <v>3517</v>
      </c>
      <c r="D1839" s="67">
        <v>3.8261</v>
      </c>
      <c r="E1839" s="68"/>
      <c r="F1839" s="79">
        <v>14</v>
      </c>
      <c r="G1839" s="80"/>
      <c r="H1839" s="71">
        <v>8.8</v>
      </c>
      <c r="I1839" s="71">
        <v>0</v>
      </c>
      <c r="J1839" s="71">
        <v>0</v>
      </c>
    </row>
    <row r="1840" customFormat="1" ht="12.75" hidden="1" spans="1:10">
      <c r="A1840" s="64"/>
      <c r="B1840" s="73" t="s">
        <v>3518</v>
      </c>
      <c r="C1840" s="66" t="s">
        <v>3519</v>
      </c>
      <c r="D1840" s="67">
        <v>8.3043</v>
      </c>
      <c r="E1840" s="68"/>
      <c r="F1840" s="79">
        <v>30</v>
      </c>
      <c r="G1840" s="80"/>
      <c r="H1840" s="71">
        <v>19.1</v>
      </c>
      <c r="I1840" s="71">
        <v>0</v>
      </c>
      <c r="J1840" s="71">
        <v>0</v>
      </c>
    </row>
    <row r="1841" customFormat="1" ht="12.75" hidden="1" spans="1:10">
      <c r="A1841" s="64"/>
      <c r="B1841" s="73" t="s">
        <v>3520</v>
      </c>
      <c r="C1841" s="66" t="s">
        <v>3521</v>
      </c>
      <c r="D1841" s="67">
        <v>3.087</v>
      </c>
      <c r="E1841" s="68"/>
      <c r="F1841" s="79">
        <v>11.3</v>
      </c>
      <c r="G1841" s="80"/>
      <c r="H1841" s="71">
        <v>7.1</v>
      </c>
      <c r="I1841" s="71">
        <v>0</v>
      </c>
      <c r="J1841" s="71">
        <v>0</v>
      </c>
    </row>
    <row r="1842" customFormat="1" ht="12.75" hidden="1" spans="1:10">
      <c r="A1842" s="64"/>
      <c r="B1842" s="73" t="s">
        <v>3522</v>
      </c>
      <c r="C1842" s="66" t="s">
        <v>3523</v>
      </c>
      <c r="D1842" s="67">
        <v>3.3043</v>
      </c>
      <c r="E1842" s="68"/>
      <c r="F1842" s="79">
        <v>12.5</v>
      </c>
      <c r="G1842" s="80"/>
      <c r="H1842" s="71">
        <v>7.6</v>
      </c>
      <c r="I1842" s="71">
        <v>0</v>
      </c>
      <c r="J1842" s="71">
        <v>0</v>
      </c>
    </row>
    <row r="1843" customFormat="1" ht="12.75" hidden="1" spans="1:10">
      <c r="A1843" s="64"/>
      <c r="B1843" s="73" t="s">
        <v>3524</v>
      </c>
      <c r="C1843" s="66" t="s">
        <v>3525</v>
      </c>
      <c r="D1843" s="67">
        <v>1.8696</v>
      </c>
      <c r="E1843" s="68"/>
      <c r="F1843" s="69">
        <v>6.9</v>
      </c>
      <c r="G1843" s="70"/>
      <c r="H1843" s="71">
        <v>4.3</v>
      </c>
      <c r="I1843" s="71">
        <v>0</v>
      </c>
      <c r="J1843" s="71">
        <v>0</v>
      </c>
    </row>
    <row r="1844" customFormat="1" ht="12.75" hidden="1" spans="1:10">
      <c r="A1844" s="64"/>
      <c r="B1844" s="73" t="s">
        <v>3526</v>
      </c>
      <c r="C1844" s="66" t="s">
        <v>3527</v>
      </c>
      <c r="D1844" s="67">
        <v>0.2174</v>
      </c>
      <c r="E1844" s="68"/>
      <c r="F1844" s="69">
        <v>1</v>
      </c>
      <c r="G1844" s="70"/>
      <c r="H1844" s="71">
        <v>0.5</v>
      </c>
      <c r="I1844" s="71">
        <v>0</v>
      </c>
      <c r="J1844" s="71">
        <v>0</v>
      </c>
    </row>
    <row r="1845" customFormat="1" ht="12.75" hidden="1" spans="1:10">
      <c r="A1845" s="64"/>
      <c r="B1845" s="73" t="s">
        <v>3528</v>
      </c>
      <c r="C1845" s="66" t="s">
        <v>3529</v>
      </c>
      <c r="D1845" s="67">
        <v>0.2174</v>
      </c>
      <c r="E1845" s="68"/>
      <c r="F1845" s="69">
        <v>1</v>
      </c>
      <c r="G1845" s="70"/>
      <c r="H1845" s="71">
        <v>0.5</v>
      </c>
      <c r="I1845" s="71">
        <v>0</v>
      </c>
      <c r="J1845" s="71">
        <v>0</v>
      </c>
    </row>
    <row r="1846" customFormat="1" ht="12.75" hidden="1" spans="1:10">
      <c r="A1846" s="64"/>
      <c r="B1846" s="73" t="s">
        <v>3530</v>
      </c>
      <c r="C1846" s="66" t="s">
        <v>3531</v>
      </c>
      <c r="D1846" s="67">
        <v>0.2174</v>
      </c>
      <c r="E1846" s="68"/>
      <c r="F1846" s="69">
        <v>1</v>
      </c>
      <c r="G1846" s="70"/>
      <c r="H1846" s="71">
        <v>0.5</v>
      </c>
      <c r="I1846" s="71">
        <v>0</v>
      </c>
      <c r="J1846" s="71">
        <v>0</v>
      </c>
    </row>
    <row r="1847" customFormat="1" ht="12.75" hidden="1" spans="1:10">
      <c r="A1847" s="64"/>
      <c r="B1847" s="73" t="s">
        <v>3532</v>
      </c>
      <c r="C1847" s="66" t="s">
        <v>3533</v>
      </c>
      <c r="D1847" s="67">
        <v>0.2174</v>
      </c>
      <c r="E1847" s="68"/>
      <c r="F1847" s="69">
        <v>1</v>
      </c>
      <c r="G1847" s="70"/>
      <c r="H1847" s="71">
        <v>0.5</v>
      </c>
      <c r="I1847" s="71">
        <v>0</v>
      </c>
      <c r="J1847" s="71">
        <v>0</v>
      </c>
    </row>
    <row r="1848" customFormat="1" ht="12.75" hidden="1" spans="1:10">
      <c r="A1848" s="64"/>
      <c r="B1848" s="73" t="s">
        <v>3534</v>
      </c>
      <c r="C1848" s="66" t="s">
        <v>3535</v>
      </c>
      <c r="D1848" s="67">
        <v>0.2174</v>
      </c>
      <c r="E1848" s="68"/>
      <c r="F1848" s="69">
        <v>1</v>
      </c>
      <c r="G1848" s="70"/>
      <c r="H1848" s="71">
        <v>0.5</v>
      </c>
      <c r="I1848" s="71">
        <v>0</v>
      </c>
      <c r="J1848" s="71">
        <v>0</v>
      </c>
    </row>
    <row r="1849" customFormat="1" ht="12.75" hidden="1" spans="1:10">
      <c r="A1849" s="64"/>
      <c r="B1849" s="73" t="s">
        <v>3536</v>
      </c>
      <c r="C1849" s="66" t="s">
        <v>3537</v>
      </c>
      <c r="D1849" s="67">
        <v>0.2174</v>
      </c>
      <c r="E1849" s="68"/>
      <c r="F1849" s="69">
        <v>1</v>
      </c>
      <c r="G1849" s="70"/>
      <c r="H1849" s="71">
        <v>0.5</v>
      </c>
      <c r="I1849" s="71">
        <v>0</v>
      </c>
      <c r="J1849" s="71">
        <v>0</v>
      </c>
    </row>
    <row r="1850" customFormat="1" ht="12.75" hidden="1" spans="1:10">
      <c r="A1850" s="64"/>
      <c r="B1850" s="73" t="s">
        <v>3538</v>
      </c>
      <c r="C1850" s="66" t="s">
        <v>3539</v>
      </c>
      <c r="D1850" s="67">
        <v>0.2174</v>
      </c>
      <c r="E1850" s="68"/>
      <c r="F1850" s="69">
        <v>1</v>
      </c>
      <c r="G1850" s="70"/>
      <c r="H1850" s="71">
        <v>0.5</v>
      </c>
      <c r="I1850" s="71">
        <v>0</v>
      </c>
      <c r="J1850" s="71">
        <v>0</v>
      </c>
    </row>
    <row r="1851" customFormat="1" ht="25.5" hidden="1" spans="1:10">
      <c r="A1851" s="64"/>
      <c r="B1851" s="73" t="s">
        <v>3540</v>
      </c>
      <c r="C1851" s="66" t="s">
        <v>3541</v>
      </c>
      <c r="D1851" s="67">
        <v>0.2174</v>
      </c>
      <c r="E1851" s="68"/>
      <c r="F1851" s="69">
        <v>1</v>
      </c>
      <c r="G1851" s="70"/>
      <c r="H1851" s="71">
        <v>0.5</v>
      </c>
      <c r="I1851" s="71">
        <v>0</v>
      </c>
      <c r="J1851" s="71">
        <v>0</v>
      </c>
    </row>
    <row r="1852" customFormat="1" ht="12.75" hidden="1" spans="1:10">
      <c r="A1852" s="64"/>
      <c r="B1852" s="73" t="s">
        <v>3542</v>
      </c>
      <c r="C1852" s="66" t="s">
        <v>3543</v>
      </c>
      <c r="D1852" s="67">
        <v>0.2174</v>
      </c>
      <c r="E1852" s="68"/>
      <c r="F1852" s="69">
        <v>1</v>
      </c>
      <c r="G1852" s="70"/>
      <c r="H1852" s="71">
        <v>0.5</v>
      </c>
      <c r="I1852" s="71">
        <v>0</v>
      </c>
      <c r="J1852" s="71">
        <v>0</v>
      </c>
    </row>
    <row r="1853" customFormat="1" ht="12.75" hidden="1" spans="1:10">
      <c r="A1853" s="64"/>
      <c r="B1853" s="73" t="s">
        <v>3544</v>
      </c>
      <c r="C1853" s="66" t="s">
        <v>3545</v>
      </c>
      <c r="D1853" s="67">
        <v>0.2174</v>
      </c>
      <c r="E1853" s="68"/>
      <c r="F1853" s="69">
        <v>1</v>
      </c>
      <c r="G1853" s="70"/>
      <c r="H1853" s="71">
        <v>0.5</v>
      </c>
      <c r="I1853" s="71">
        <v>0</v>
      </c>
      <c r="J1853" s="71">
        <v>0</v>
      </c>
    </row>
    <row r="1854" customFormat="1" ht="12.75" hidden="1" spans="1:10">
      <c r="A1854" s="64"/>
      <c r="B1854" s="73" t="s">
        <v>3546</v>
      </c>
      <c r="C1854" s="66" t="s">
        <v>3547</v>
      </c>
      <c r="D1854" s="67">
        <v>0.2174</v>
      </c>
      <c r="E1854" s="68"/>
      <c r="F1854" s="69">
        <v>1</v>
      </c>
      <c r="G1854" s="70"/>
      <c r="H1854" s="71">
        <v>0.5</v>
      </c>
      <c r="I1854" s="71">
        <v>0</v>
      </c>
      <c r="J1854" s="71">
        <v>0</v>
      </c>
    </row>
    <row r="1855" customFormat="1" ht="12.75" hidden="1" spans="1:10">
      <c r="A1855" s="64"/>
      <c r="B1855" s="73" t="s">
        <v>3548</v>
      </c>
      <c r="C1855" s="66" t="s">
        <v>3549</v>
      </c>
      <c r="D1855" s="67">
        <v>0.2174</v>
      </c>
      <c r="E1855" s="68"/>
      <c r="F1855" s="69">
        <v>1</v>
      </c>
      <c r="G1855" s="70"/>
      <c r="H1855" s="71">
        <v>0.5</v>
      </c>
      <c r="I1855" s="71">
        <v>0</v>
      </c>
      <c r="J1855" s="71">
        <v>0</v>
      </c>
    </row>
    <row r="1856" customFormat="1" ht="12.75" hidden="1" spans="1:10">
      <c r="A1856" s="64"/>
      <c r="B1856" s="73" t="s">
        <v>3550</v>
      </c>
      <c r="C1856" s="66" t="s">
        <v>3551</v>
      </c>
      <c r="D1856" s="67">
        <v>0.2174</v>
      </c>
      <c r="E1856" s="68"/>
      <c r="F1856" s="69">
        <v>1</v>
      </c>
      <c r="G1856" s="70"/>
      <c r="H1856" s="71">
        <v>0.5</v>
      </c>
      <c r="I1856" s="71">
        <v>0</v>
      </c>
      <c r="J1856" s="71">
        <v>0</v>
      </c>
    </row>
    <row r="1857" customFormat="1" ht="12.75" hidden="1" spans="1:10">
      <c r="A1857" s="64"/>
      <c r="B1857" s="73" t="s">
        <v>3552</v>
      </c>
      <c r="C1857" s="66" t="s">
        <v>3553</v>
      </c>
      <c r="D1857" s="67">
        <v>0.2174</v>
      </c>
      <c r="E1857" s="68"/>
      <c r="F1857" s="69">
        <v>1</v>
      </c>
      <c r="G1857" s="70"/>
      <c r="H1857" s="71">
        <v>0.5</v>
      </c>
      <c r="I1857" s="71">
        <v>0</v>
      </c>
      <c r="J1857" s="71">
        <v>0</v>
      </c>
    </row>
    <row r="1858" customFormat="1" ht="12.75" hidden="1" spans="1:10">
      <c r="A1858" s="64"/>
      <c r="B1858" s="73" t="s">
        <v>3554</v>
      </c>
      <c r="C1858" s="66" t="s">
        <v>3555</v>
      </c>
      <c r="D1858" s="67">
        <v>0.2174</v>
      </c>
      <c r="E1858" s="68"/>
      <c r="F1858" s="69">
        <v>1</v>
      </c>
      <c r="G1858" s="70"/>
      <c r="H1858" s="71">
        <v>0.5</v>
      </c>
      <c r="I1858" s="71">
        <v>0</v>
      </c>
      <c r="J1858" s="71">
        <v>0</v>
      </c>
    </row>
    <row r="1859" customFormat="1" ht="12.75" hidden="1" spans="1:10">
      <c r="A1859" s="64"/>
      <c r="B1859" s="73" t="s">
        <v>3556</v>
      </c>
      <c r="C1859" s="66" t="s">
        <v>3557</v>
      </c>
      <c r="D1859" s="67">
        <v>0.2174</v>
      </c>
      <c r="E1859" s="68"/>
      <c r="F1859" s="69">
        <v>1</v>
      </c>
      <c r="G1859" s="70"/>
      <c r="H1859" s="71">
        <v>0.5</v>
      </c>
      <c r="I1859" s="71">
        <v>0</v>
      </c>
      <c r="J1859" s="71">
        <v>0</v>
      </c>
    </row>
    <row r="1860" customFormat="1" ht="12.75" hidden="1" spans="1:10">
      <c r="A1860" s="64"/>
      <c r="B1860" s="73" t="s">
        <v>3558</v>
      </c>
      <c r="C1860" s="66" t="s">
        <v>3559</v>
      </c>
      <c r="D1860" s="67">
        <v>0.2174</v>
      </c>
      <c r="E1860" s="68"/>
      <c r="F1860" s="69">
        <v>1</v>
      </c>
      <c r="G1860" s="70"/>
      <c r="H1860" s="71">
        <v>0.5</v>
      </c>
      <c r="I1860" s="71">
        <v>0</v>
      </c>
      <c r="J1860" s="71">
        <v>0</v>
      </c>
    </row>
    <row r="1861" customFormat="1" ht="12.75" hidden="1" spans="1:10">
      <c r="A1861" s="64"/>
      <c r="B1861" s="73" t="s">
        <v>3560</v>
      </c>
      <c r="C1861" s="66" t="s">
        <v>3561</v>
      </c>
      <c r="D1861" s="67">
        <v>0.2174</v>
      </c>
      <c r="E1861" s="68"/>
      <c r="F1861" s="69">
        <v>1</v>
      </c>
      <c r="G1861" s="70"/>
      <c r="H1861" s="71">
        <v>0.5</v>
      </c>
      <c r="I1861" s="71">
        <v>0</v>
      </c>
      <c r="J1861" s="71">
        <v>0</v>
      </c>
    </row>
    <row r="1862" customFormat="1" ht="12.75" hidden="1" spans="1:10">
      <c r="A1862" s="74"/>
      <c r="B1862" s="73" t="s">
        <v>3562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  <c r="I1862" s="71">
        <v>0</v>
      </c>
      <c r="J1862" s="71">
        <v>0</v>
      </c>
    </row>
    <row r="1863" customFormat="1" ht="12.75" hidden="1" spans="1:10">
      <c r="A1863" s="75"/>
      <c r="B1863" s="73" t="s">
        <v>3564</v>
      </c>
      <c r="C1863" s="66" t="s">
        <v>3563</v>
      </c>
      <c r="D1863" s="67">
        <v>0.2174</v>
      </c>
      <c r="E1863" s="68"/>
      <c r="F1863" s="69">
        <v>1</v>
      </c>
      <c r="G1863" s="70"/>
      <c r="H1863" s="71">
        <v>0.5</v>
      </c>
      <c r="I1863" s="71">
        <v>0</v>
      </c>
      <c r="J1863" s="71">
        <v>0</v>
      </c>
    </row>
    <row r="1864" customFormat="1" ht="12.75" hidden="1" spans="1:10">
      <c r="A1864" s="64"/>
      <c r="B1864" s="73" t="s">
        <v>3565</v>
      </c>
      <c r="C1864" s="66" t="s">
        <v>3566</v>
      </c>
      <c r="D1864" s="67">
        <v>0.2174</v>
      </c>
      <c r="E1864" s="68"/>
      <c r="F1864" s="69">
        <v>1</v>
      </c>
      <c r="G1864" s="70"/>
      <c r="H1864" s="71">
        <v>0.5</v>
      </c>
      <c r="I1864" s="71">
        <v>0</v>
      </c>
      <c r="J1864" s="71">
        <v>0</v>
      </c>
    </row>
    <row r="1865" customFormat="1" ht="12.75" hidden="1" spans="1:10">
      <c r="A1865" s="64"/>
      <c r="B1865" s="73" t="s">
        <v>3567</v>
      </c>
      <c r="C1865" s="66" t="s">
        <v>3568</v>
      </c>
      <c r="D1865" s="67">
        <v>0.2174</v>
      </c>
      <c r="E1865" s="68"/>
      <c r="F1865" s="69">
        <v>1</v>
      </c>
      <c r="G1865" s="70"/>
      <c r="H1865" s="71">
        <v>0.5</v>
      </c>
      <c r="I1865" s="71">
        <v>0</v>
      </c>
      <c r="J1865" s="71">
        <v>0</v>
      </c>
    </row>
    <row r="1866" customFormat="1" ht="12.75" hidden="1" spans="1:10">
      <c r="A1866" s="64"/>
      <c r="B1866" s="73" t="s">
        <v>3569</v>
      </c>
      <c r="C1866" s="66" t="s">
        <v>3570</v>
      </c>
      <c r="D1866" s="67">
        <v>0.2174</v>
      </c>
      <c r="E1866" s="68"/>
      <c r="F1866" s="69">
        <v>1</v>
      </c>
      <c r="G1866" s="70"/>
      <c r="H1866" s="71">
        <v>0.5</v>
      </c>
      <c r="I1866" s="71">
        <v>0</v>
      </c>
      <c r="J1866" s="71">
        <v>0</v>
      </c>
    </row>
    <row r="1867" customFormat="1" ht="12.75" hidden="1" spans="1:10">
      <c r="A1867" s="64"/>
      <c r="B1867" s="73" t="s">
        <v>3571</v>
      </c>
      <c r="C1867" s="66" t="s">
        <v>3572</v>
      </c>
      <c r="D1867" s="67">
        <v>0.2174</v>
      </c>
      <c r="E1867" s="68"/>
      <c r="F1867" s="69">
        <v>1</v>
      </c>
      <c r="G1867" s="70"/>
      <c r="H1867" s="71">
        <v>0.5</v>
      </c>
      <c r="I1867" s="71">
        <v>0</v>
      </c>
      <c r="J1867" s="71">
        <v>0</v>
      </c>
    </row>
    <row r="1868" customFormat="1" ht="12.75" hidden="1" spans="1:10">
      <c r="A1868" s="64"/>
      <c r="B1868" s="73" t="s">
        <v>3573</v>
      </c>
      <c r="C1868" s="66" t="s">
        <v>3574</v>
      </c>
      <c r="D1868" s="67">
        <v>0.1739</v>
      </c>
      <c r="E1868" s="68"/>
      <c r="F1868" s="69">
        <v>0.7</v>
      </c>
      <c r="G1868" s="70"/>
      <c r="H1868" s="71">
        <v>0.4</v>
      </c>
      <c r="I1868" s="71">
        <v>0</v>
      </c>
      <c r="J1868" s="71">
        <v>0</v>
      </c>
    </row>
    <row r="1869" customFormat="1" ht="12.75" hidden="1" spans="1:10">
      <c r="A1869" s="64"/>
      <c r="B1869" s="73" t="s">
        <v>3575</v>
      </c>
      <c r="C1869" s="66" t="s">
        <v>3576</v>
      </c>
      <c r="D1869" s="67">
        <v>0.4348</v>
      </c>
      <c r="E1869" s="68"/>
      <c r="F1869" s="69">
        <v>2</v>
      </c>
      <c r="G1869" s="70"/>
      <c r="H1869" s="71">
        <v>1</v>
      </c>
      <c r="I1869" s="71">
        <v>0</v>
      </c>
      <c r="J1869" s="71">
        <v>0</v>
      </c>
    </row>
    <row r="1870" customFormat="1" ht="12.75" hidden="1" spans="1:10">
      <c r="A1870" s="64"/>
      <c r="B1870" s="73" t="s">
        <v>3577</v>
      </c>
      <c r="C1870" s="66" t="s">
        <v>3578</v>
      </c>
      <c r="D1870" s="67">
        <v>0.3043</v>
      </c>
      <c r="E1870" s="68"/>
      <c r="F1870" s="69">
        <v>1.1</v>
      </c>
      <c r="G1870" s="70"/>
      <c r="H1870" s="71">
        <v>0.7</v>
      </c>
      <c r="I1870" s="71">
        <v>0</v>
      </c>
      <c r="J1870" s="71">
        <v>0</v>
      </c>
    </row>
    <row r="1871" customFormat="1" ht="12.75" hidden="1" spans="1:10">
      <c r="A1871" s="64"/>
      <c r="B1871" s="73" t="s">
        <v>3579</v>
      </c>
      <c r="C1871" s="66" t="s">
        <v>3580</v>
      </c>
      <c r="D1871" s="67">
        <v>0.8261</v>
      </c>
      <c r="E1871" s="68"/>
      <c r="F1871" s="69">
        <v>3</v>
      </c>
      <c r="G1871" s="70"/>
      <c r="H1871" s="71">
        <v>1.9</v>
      </c>
      <c r="I1871" s="71">
        <v>0</v>
      </c>
      <c r="J1871" s="71">
        <v>0</v>
      </c>
    </row>
    <row r="1872" customFormat="1" ht="12.75" hidden="1" spans="1:10">
      <c r="A1872" s="64"/>
      <c r="B1872" s="73" t="s">
        <v>3581</v>
      </c>
      <c r="C1872" s="66" t="s">
        <v>3582</v>
      </c>
      <c r="D1872" s="67">
        <v>0.4783</v>
      </c>
      <c r="E1872" s="68"/>
      <c r="F1872" s="69">
        <v>1.7</v>
      </c>
      <c r="G1872" s="70"/>
      <c r="H1872" s="71">
        <v>1.1</v>
      </c>
      <c r="I1872" s="71">
        <v>0</v>
      </c>
      <c r="J1872" s="71">
        <v>0</v>
      </c>
    </row>
    <row r="1873" customFormat="1" ht="12.75" hidden="1" spans="1:10">
      <c r="A1873" s="64"/>
      <c r="B1873" s="73" t="s">
        <v>3583</v>
      </c>
      <c r="C1873" s="66" t="s">
        <v>3584</v>
      </c>
      <c r="D1873" s="67">
        <v>0.1304</v>
      </c>
      <c r="E1873" s="68"/>
      <c r="F1873" s="69">
        <v>0.5</v>
      </c>
      <c r="G1873" s="70"/>
      <c r="H1873" s="71">
        <v>0.3</v>
      </c>
      <c r="I1873" s="71">
        <v>0</v>
      </c>
      <c r="J1873" s="71">
        <v>0</v>
      </c>
    </row>
    <row r="1874" customFormat="1" ht="12.75" hidden="1" spans="1:10">
      <c r="A1874" s="64"/>
      <c r="B1874" s="73" t="s">
        <v>3585</v>
      </c>
      <c r="C1874" s="66" t="s">
        <v>3586</v>
      </c>
      <c r="D1874" s="67">
        <v>0.5217</v>
      </c>
      <c r="E1874" s="68"/>
      <c r="F1874" s="69">
        <v>2</v>
      </c>
      <c r="G1874" s="70"/>
      <c r="H1874" s="71">
        <v>1.2</v>
      </c>
      <c r="I1874" s="71">
        <v>0</v>
      </c>
      <c r="J1874" s="71">
        <v>0</v>
      </c>
    </row>
    <row r="1875" customFormat="1" ht="12.75" hidden="1" spans="1:10">
      <c r="A1875" s="64"/>
      <c r="B1875" s="73" t="s">
        <v>3587</v>
      </c>
      <c r="C1875" s="66" t="s">
        <v>3588</v>
      </c>
      <c r="D1875" s="67">
        <v>0.6522</v>
      </c>
      <c r="E1875" s="68"/>
      <c r="F1875" s="69">
        <v>2.5</v>
      </c>
      <c r="G1875" s="70"/>
      <c r="H1875" s="71">
        <v>1.5</v>
      </c>
      <c r="I1875" s="71">
        <v>0</v>
      </c>
      <c r="J1875" s="71">
        <v>0</v>
      </c>
    </row>
    <row r="1876" customFormat="1" ht="12.75" hidden="1" spans="1:10">
      <c r="A1876" s="64"/>
      <c r="B1876" s="73" t="s">
        <v>3589</v>
      </c>
      <c r="C1876" s="66" t="s">
        <v>3590</v>
      </c>
      <c r="D1876" s="67">
        <v>0.4348</v>
      </c>
      <c r="E1876" s="68"/>
      <c r="F1876" s="69">
        <v>1.6</v>
      </c>
      <c r="G1876" s="70"/>
      <c r="H1876" s="71">
        <v>1</v>
      </c>
      <c r="I1876" s="71">
        <v>0</v>
      </c>
      <c r="J1876" s="71">
        <v>0</v>
      </c>
    </row>
    <row r="1877" customFormat="1" ht="12.75" hidden="1" spans="1:10">
      <c r="A1877" s="64"/>
      <c r="B1877" s="73" t="s">
        <v>3591</v>
      </c>
      <c r="C1877" s="66" t="s">
        <v>3592</v>
      </c>
      <c r="D1877" s="67">
        <v>0.5217</v>
      </c>
      <c r="E1877" s="68"/>
      <c r="F1877" s="69">
        <v>2</v>
      </c>
      <c r="G1877" s="70"/>
      <c r="H1877" s="71">
        <v>1.2</v>
      </c>
      <c r="I1877" s="71">
        <v>0</v>
      </c>
      <c r="J1877" s="71">
        <v>0</v>
      </c>
    </row>
    <row r="1878" customFormat="1" ht="12.75" hidden="1" spans="1:10">
      <c r="A1878" s="64"/>
      <c r="B1878" s="73" t="s">
        <v>3593</v>
      </c>
      <c r="C1878" s="66" t="s">
        <v>3594</v>
      </c>
      <c r="D1878" s="67">
        <v>0.4348</v>
      </c>
      <c r="E1878" s="68"/>
      <c r="F1878" s="69">
        <v>2</v>
      </c>
      <c r="G1878" s="70"/>
      <c r="H1878" s="71">
        <v>1</v>
      </c>
      <c r="I1878" s="71">
        <v>0</v>
      </c>
      <c r="J1878" s="71">
        <v>0</v>
      </c>
    </row>
    <row r="1879" customFormat="1" ht="12.75" hidden="1" spans="1:10">
      <c r="A1879" s="64"/>
      <c r="B1879" s="73" t="s">
        <v>3595</v>
      </c>
      <c r="C1879" s="66" t="s">
        <v>3596</v>
      </c>
      <c r="D1879" s="67">
        <v>0.3913</v>
      </c>
      <c r="E1879" s="68"/>
      <c r="F1879" s="69">
        <v>1.5</v>
      </c>
      <c r="G1879" s="70"/>
      <c r="H1879" s="71">
        <v>1</v>
      </c>
      <c r="I1879" s="71">
        <v>0</v>
      </c>
      <c r="J1879" s="71">
        <v>0</v>
      </c>
    </row>
    <row r="1880" customFormat="1" ht="12.75" hidden="1" spans="1:10">
      <c r="A1880" s="64"/>
      <c r="B1880" s="73" t="s">
        <v>3597</v>
      </c>
      <c r="C1880" s="66" t="s">
        <v>3598</v>
      </c>
      <c r="D1880" s="67">
        <v>1</v>
      </c>
      <c r="E1880" s="68"/>
      <c r="F1880" s="69">
        <v>4</v>
      </c>
      <c r="G1880" s="70"/>
      <c r="H1880" s="71">
        <v>2.3</v>
      </c>
      <c r="I1880" s="71">
        <v>0</v>
      </c>
      <c r="J1880" s="71">
        <v>0</v>
      </c>
    </row>
    <row r="1881" customFormat="1" ht="12.75" hidden="1" spans="1:10">
      <c r="A1881" s="64"/>
      <c r="B1881" s="73" t="s">
        <v>3599</v>
      </c>
      <c r="C1881" s="66" t="s">
        <v>3600</v>
      </c>
      <c r="D1881" s="67">
        <v>0.6522</v>
      </c>
      <c r="E1881" s="68"/>
      <c r="F1881" s="69">
        <v>2.5</v>
      </c>
      <c r="G1881" s="70"/>
      <c r="H1881" s="71">
        <v>1.5</v>
      </c>
      <c r="I1881" s="71">
        <v>0</v>
      </c>
      <c r="J1881" s="71">
        <v>0</v>
      </c>
    </row>
    <row r="1882" customFormat="1" ht="12.75" hidden="1" spans="1:10">
      <c r="A1882" s="64"/>
      <c r="B1882" s="73" t="s">
        <v>3601</v>
      </c>
      <c r="C1882" s="66" t="s">
        <v>3602</v>
      </c>
      <c r="D1882" s="67">
        <v>0.1739</v>
      </c>
      <c r="E1882" s="68"/>
      <c r="F1882" s="69">
        <v>0.5</v>
      </c>
      <c r="G1882" s="70"/>
      <c r="H1882" s="71">
        <v>0.4</v>
      </c>
      <c r="I1882" s="71">
        <v>0</v>
      </c>
      <c r="J1882" s="71">
        <v>0</v>
      </c>
    </row>
    <row r="1883" customFormat="1" ht="12.75" hidden="1" spans="1:10">
      <c r="A1883" s="64"/>
      <c r="B1883" s="73" t="s">
        <v>3603</v>
      </c>
      <c r="C1883" s="66" t="s">
        <v>3604</v>
      </c>
      <c r="D1883" s="67">
        <v>0.1739</v>
      </c>
      <c r="E1883" s="68"/>
      <c r="F1883" s="69">
        <v>0.5</v>
      </c>
      <c r="G1883" s="70"/>
      <c r="H1883" s="71">
        <v>0.4</v>
      </c>
      <c r="I1883" s="71">
        <v>0</v>
      </c>
      <c r="J1883" s="71">
        <v>0</v>
      </c>
    </row>
    <row r="1884" customFormat="1" ht="12.75" hidden="1" spans="1:10">
      <c r="A1884" s="64"/>
      <c r="B1884" s="73" t="s">
        <v>3605</v>
      </c>
      <c r="C1884" s="66" t="s">
        <v>3606</v>
      </c>
      <c r="D1884" s="67">
        <v>0.1739</v>
      </c>
      <c r="E1884" s="68"/>
      <c r="F1884" s="69">
        <v>0.5</v>
      </c>
      <c r="G1884" s="70"/>
      <c r="H1884" s="71">
        <v>0.3</v>
      </c>
      <c r="I1884" s="71">
        <v>0</v>
      </c>
      <c r="J1884" s="71">
        <v>0</v>
      </c>
    </row>
    <row r="1885" customFormat="1" ht="12.75" hidden="1" spans="1:10">
      <c r="A1885" s="64"/>
      <c r="B1885" s="73" t="s">
        <v>3607</v>
      </c>
      <c r="C1885" s="66" t="s">
        <v>3608</v>
      </c>
      <c r="D1885" s="67">
        <v>0.2174</v>
      </c>
      <c r="E1885" s="68"/>
      <c r="F1885" s="69">
        <v>1</v>
      </c>
      <c r="G1885" s="70"/>
      <c r="H1885" s="71">
        <v>0.5</v>
      </c>
      <c r="I1885" s="71">
        <v>0</v>
      </c>
      <c r="J1885" s="71">
        <v>0</v>
      </c>
    </row>
    <row r="1886" customFormat="1" ht="12.75" hidden="1" spans="1:10">
      <c r="A1886" s="64"/>
      <c r="B1886" s="73" t="s">
        <v>3609</v>
      </c>
      <c r="C1886" s="66" t="s">
        <v>3610</v>
      </c>
      <c r="D1886" s="67">
        <v>0.2174</v>
      </c>
      <c r="E1886" s="68"/>
      <c r="F1886" s="69">
        <v>1</v>
      </c>
      <c r="G1886" s="70"/>
      <c r="H1886" s="71">
        <v>0.5</v>
      </c>
      <c r="I1886" s="71">
        <v>0</v>
      </c>
      <c r="J1886" s="71">
        <v>0</v>
      </c>
    </row>
    <row r="1887" customFormat="1" ht="12.75" hidden="1" spans="1:10">
      <c r="A1887" s="64"/>
      <c r="B1887" s="73" t="s">
        <v>3611</v>
      </c>
      <c r="C1887" s="66" t="s">
        <v>3612</v>
      </c>
      <c r="D1887" s="67">
        <v>0.2174</v>
      </c>
      <c r="E1887" s="68"/>
      <c r="F1887" s="69">
        <v>1</v>
      </c>
      <c r="G1887" s="70"/>
      <c r="H1887" s="71">
        <v>0.5</v>
      </c>
      <c r="I1887" s="71">
        <v>0</v>
      </c>
      <c r="J1887" s="71">
        <v>0</v>
      </c>
    </row>
    <row r="1888" customFormat="1" ht="12.75" hidden="1" spans="1:10">
      <c r="A1888" s="64"/>
      <c r="B1888" s="73" t="s">
        <v>3613</v>
      </c>
      <c r="C1888" s="66" t="s">
        <v>3614</v>
      </c>
      <c r="D1888" s="67">
        <v>0.2174</v>
      </c>
      <c r="E1888" s="68"/>
      <c r="F1888" s="69">
        <v>1</v>
      </c>
      <c r="G1888" s="70"/>
      <c r="H1888" s="71">
        <v>0.5</v>
      </c>
      <c r="I1888" s="71">
        <v>0</v>
      </c>
      <c r="J1888" s="71">
        <v>0</v>
      </c>
    </row>
    <row r="1889" customFormat="1" ht="12.75" hidden="1" spans="1:10">
      <c r="A1889" s="64"/>
      <c r="B1889" s="73" t="s">
        <v>3615</v>
      </c>
      <c r="C1889" s="66" t="s">
        <v>3616</v>
      </c>
      <c r="D1889" s="67">
        <v>0.2174</v>
      </c>
      <c r="E1889" s="68"/>
      <c r="F1889" s="69">
        <v>1</v>
      </c>
      <c r="G1889" s="70"/>
      <c r="H1889" s="71">
        <v>0.5</v>
      </c>
      <c r="I1889" s="71">
        <v>0</v>
      </c>
      <c r="J1889" s="71">
        <v>0</v>
      </c>
    </row>
    <row r="1890" customFormat="1" ht="12.75" hidden="1" spans="1:10">
      <c r="A1890" s="64"/>
      <c r="B1890" s="73" t="s">
        <v>3617</v>
      </c>
      <c r="C1890" s="66" t="s">
        <v>3618</v>
      </c>
      <c r="D1890" s="67">
        <v>0.2174</v>
      </c>
      <c r="E1890" s="68"/>
      <c r="F1890" s="69">
        <v>1</v>
      </c>
      <c r="G1890" s="70"/>
      <c r="H1890" s="71">
        <v>0.5</v>
      </c>
      <c r="I1890" s="71">
        <v>0</v>
      </c>
      <c r="J1890" s="71">
        <v>0</v>
      </c>
    </row>
    <row r="1891" customFormat="1" ht="12.75" hidden="1" spans="1:10">
      <c r="A1891" s="64"/>
      <c r="B1891" s="73" t="s">
        <v>3619</v>
      </c>
      <c r="C1891" s="66" t="s">
        <v>3620</v>
      </c>
      <c r="D1891" s="67">
        <v>0.2174</v>
      </c>
      <c r="E1891" s="68"/>
      <c r="F1891" s="69">
        <v>1</v>
      </c>
      <c r="G1891" s="70"/>
      <c r="H1891" s="71">
        <v>0.5</v>
      </c>
      <c r="I1891" s="71">
        <v>0</v>
      </c>
      <c r="J1891" s="71">
        <v>0</v>
      </c>
    </row>
    <row r="1892" customFormat="1" ht="25.5" hidden="1" spans="1:10">
      <c r="A1892" s="64"/>
      <c r="B1892" s="73" t="s">
        <v>3621</v>
      </c>
      <c r="C1892" s="66" t="s">
        <v>3622</v>
      </c>
      <c r="D1892" s="67">
        <v>0.2174</v>
      </c>
      <c r="E1892" s="68"/>
      <c r="F1892" s="69">
        <v>1</v>
      </c>
      <c r="G1892" s="70"/>
      <c r="H1892" s="71">
        <v>0.5</v>
      </c>
      <c r="I1892" s="71">
        <v>0</v>
      </c>
      <c r="J1892" s="71">
        <v>0</v>
      </c>
    </row>
    <row r="1893" customFormat="1" ht="12.75" hidden="1" spans="1:10">
      <c r="A1893" s="64"/>
      <c r="B1893" s="73" t="s">
        <v>3623</v>
      </c>
      <c r="C1893" s="66" t="s">
        <v>3624</v>
      </c>
      <c r="D1893" s="67">
        <v>0.2174</v>
      </c>
      <c r="E1893" s="68"/>
      <c r="F1893" s="69">
        <v>1</v>
      </c>
      <c r="G1893" s="70"/>
      <c r="H1893" s="71">
        <v>0.5</v>
      </c>
      <c r="I1893" s="71">
        <v>0</v>
      </c>
      <c r="J1893" s="71">
        <v>0</v>
      </c>
    </row>
    <row r="1894" customFormat="1" ht="12.75" hidden="1" spans="1:10">
      <c r="A1894" s="64"/>
      <c r="B1894" s="73" t="s">
        <v>3625</v>
      </c>
      <c r="C1894" s="66" t="s">
        <v>3626</v>
      </c>
      <c r="D1894" s="67">
        <v>0.2174</v>
      </c>
      <c r="E1894" s="68"/>
      <c r="F1894" s="69">
        <v>1</v>
      </c>
      <c r="G1894" s="70"/>
      <c r="H1894" s="71">
        <v>0.5</v>
      </c>
      <c r="I1894" s="71">
        <v>0</v>
      </c>
      <c r="J1894" s="71">
        <v>0</v>
      </c>
    </row>
    <row r="1895" customFormat="1" ht="12.75" hidden="1" spans="1:10">
      <c r="A1895" s="64"/>
      <c r="B1895" s="73" t="s">
        <v>3627</v>
      </c>
      <c r="C1895" s="66" t="s">
        <v>3628</v>
      </c>
      <c r="D1895" s="67">
        <v>0.2174</v>
      </c>
      <c r="E1895" s="68"/>
      <c r="F1895" s="69">
        <v>1</v>
      </c>
      <c r="G1895" s="70"/>
      <c r="H1895" s="71">
        <v>0.5</v>
      </c>
      <c r="I1895" s="71">
        <v>0</v>
      </c>
      <c r="J1895" s="71">
        <v>0</v>
      </c>
    </row>
    <row r="1896" customFormat="1" ht="12.75" hidden="1" spans="1:10">
      <c r="A1896" s="64"/>
      <c r="B1896" s="73" t="s">
        <v>3629</v>
      </c>
      <c r="C1896" s="66" t="s">
        <v>3630</v>
      </c>
      <c r="D1896" s="67">
        <v>0.2174</v>
      </c>
      <c r="E1896" s="68"/>
      <c r="F1896" s="69">
        <v>1</v>
      </c>
      <c r="G1896" s="70"/>
      <c r="H1896" s="71">
        <v>0.5</v>
      </c>
      <c r="I1896" s="71">
        <v>0</v>
      </c>
      <c r="J1896" s="71">
        <v>0</v>
      </c>
    </row>
    <row r="1897" customFormat="1" ht="12.75" hidden="1" spans="1:10">
      <c r="A1897" s="64"/>
      <c r="B1897" s="73" t="s">
        <v>3631</v>
      </c>
      <c r="C1897" s="66" t="s">
        <v>3632</v>
      </c>
      <c r="D1897" s="67">
        <v>0.2174</v>
      </c>
      <c r="E1897" s="68"/>
      <c r="F1897" s="69">
        <v>1</v>
      </c>
      <c r="G1897" s="70"/>
      <c r="H1897" s="71">
        <v>0.5</v>
      </c>
      <c r="I1897" s="71">
        <v>0</v>
      </c>
      <c r="J1897" s="71">
        <v>0</v>
      </c>
    </row>
    <row r="1898" customFormat="1" ht="12.75" hidden="1" spans="1:10">
      <c r="A1898" s="64"/>
      <c r="B1898" s="73" t="s">
        <v>3633</v>
      </c>
      <c r="C1898" s="66" t="s">
        <v>3634</v>
      </c>
      <c r="D1898" s="67">
        <v>0.2174</v>
      </c>
      <c r="E1898" s="68"/>
      <c r="F1898" s="69">
        <v>1</v>
      </c>
      <c r="G1898" s="70"/>
      <c r="H1898" s="71">
        <v>0.5</v>
      </c>
      <c r="I1898" s="71">
        <v>0</v>
      </c>
      <c r="J1898" s="71">
        <v>0</v>
      </c>
    </row>
    <row r="1899" customFormat="1" ht="12.75" hidden="1" spans="1:10">
      <c r="A1899" s="64"/>
      <c r="B1899" s="73" t="s">
        <v>3635</v>
      </c>
      <c r="C1899" s="66" t="s">
        <v>3636</v>
      </c>
      <c r="D1899" s="67">
        <v>0.2174</v>
      </c>
      <c r="E1899" s="68"/>
      <c r="F1899" s="69">
        <v>1</v>
      </c>
      <c r="G1899" s="70"/>
      <c r="H1899" s="71">
        <v>0.5</v>
      </c>
      <c r="I1899" s="71">
        <v>0</v>
      </c>
      <c r="J1899" s="71">
        <v>0</v>
      </c>
    </row>
    <row r="1900" customFormat="1" ht="12.75" hidden="1" spans="1:10">
      <c r="A1900" s="64"/>
      <c r="B1900" s="73" t="s">
        <v>3637</v>
      </c>
      <c r="C1900" s="66" t="s">
        <v>3638</v>
      </c>
      <c r="D1900" s="67">
        <v>0.2174</v>
      </c>
      <c r="E1900" s="68"/>
      <c r="F1900" s="69">
        <v>1</v>
      </c>
      <c r="G1900" s="70"/>
      <c r="H1900" s="71">
        <v>0.5</v>
      </c>
      <c r="I1900" s="71">
        <v>0</v>
      </c>
      <c r="J1900" s="71">
        <v>0</v>
      </c>
    </row>
    <row r="1901" customFormat="1" ht="12.75" hidden="1" spans="1:10">
      <c r="A1901" s="64"/>
      <c r="B1901" s="73" t="s">
        <v>3639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  <c r="I1901" s="71">
        <v>0</v>
      </c>
      <c r="J1901" s="71">
        <v>0</v>
      </c>
    </row>
    <row r="1902" customFormat="1" ht="12.75" hidden="1" spans="1:10">
      <c r="A1902" s="64"/>
      <c r="B1902" s="73" t="s">
        <v>3641</v>
      </c>
      <c r="C1902" s="66" t="s">
        <v>3640</v>
      </c>
      <c r="D1902" s="67">
        <v>0.2174</v>
      </c>
      <c r="E1902" s="68"/>
      <c r="F1902" s="69">
        <v>1</v>
      </c>
      <c r="G1902" s="70"/>
      <c r="H1902" s="71">
        <v>0.5</v>
      </c>
      <c r="I1902" s="71">
        <v>0</v>
      </c>
      <c r="J1902" s="71">
        <v>0</v>
      </c>
    </row>
    <row r="1903" customFormat="1" ht="12.75" hidden="1" spans="1:10">
      <c r="A1903" s="64"/>
      <c r="B1903" s="73" t="s">
        <v>3642</v>
      </c>
      <c r="C1903" s="66" t="s">
        <v>3643</v>
      </c>
      <c r="D1903" s="67">
        <v>0.2174</v>
      </c>
      <c r="E1903" s="68"/>
      <c r="F1903" s="69">
        <v>1</v>
      </c>
      <c r="G1903" s="70"/>
      <c r="H1903" s="71">
        <v>0.5</v>
      </c>
      <c r="I1903" s="71">
        <v>0</v>
      </c>
      <c r="J1903" s="71">
        <v>0</v>
      </c>
    </row>
    <row r="1904" customFormat="1" ht="12.75" hidden="1" spans="1:10">
      <c r="A1904" s="64"/>
      <c r="B1904" s="73" t="s">
        <v>3644</v>
      </c>
      <c r="C1904" s="66" t="s">
        <v>3645</v>
      </c>
      <c r="D1904" s="67">
        <v>0.2174</v>
      </c>
      <c r="E1904" s="68"/>
      <c r="F1904" s="69">
        <v>1</v>
      </c>
      <c r="G1904" s="70"/>
      <c r="H1904" s="71">
        <v>0.5</v>
      </c>
      <c r="I1904" s="71">
        <v>0</v>
      </c>
      <c r="J1904" s="71">
        <v>0</v>
      </c>
    </row>
    <row r="1905" customFormat="1" ht="12.75" hidden="1" spans="1:10">
      <c r="A1905" s="64"/>
      <c r="B1905" s="73" t="s">
        <v>3646</v>
      </c>
      <c r="C1905" s="66" t="s">
        <v>3647</v>
      </c>
      <c r="D1905" s="67">
        <v>0.2174</v>
      </c>
      <c r="E1905" s="68"/>
      <c r="F1905" s="69">
        <v>1</v>
      </c>
      <c r="G1905" s="70"/>
      <c r="H1905" s="71">
        <v>0.5</v>
      </c>
      <c r="I1905" s="71">
        <v>0</v>
      </c>
      <c r="J1905" s="71">
        <v>0</v>
      </c>
    </row>
    <row r="1906" customFormat="1" ht="12.75" hidden="1" spans="1:10">
      <c r="A1906" s="64"/>
      <c r="B1906" s="73" t="s">
        <v>3648</v>
      </c>
      <c r="C1906" s="66" t="s">
        <v>3649</v>
      </c>
      <c r="D1906" s="67">
        <v>0.2174</v>
      </c>
      <c r="E1906" s="68"/>
      <c r="F1906" s="69">
        <v>1</v>
      </c>
      <c r="G1906" s="70"/>
      <c r="H1906" s="71">
        <v>0.5</v>
      </c>
      <c r="I1906" s="71">
        <v>0</v>
      </c>
      <c r="J1906" s="71">
        <v>0</v>
      </c>
    </row>
    <row r="1907" customFormat="1" ht="12.75" hidden="1" spans="1:10">
      <c r="A1907" s="64"/>
      <c r="B1907" s="73" t="s">
        <v>3650</v>
      </c>
      <c r="C1907" s="66" t="s">
        <v>3651</v>
      </c>
      <c r="D1907" s="67">
        <v>0.2174</v>
      </c>
      <c r="E1907" s="68"/>
      <c r="F1907" s="69">
        <v>1</v>
      </c>
      <c r="G1907" s="70"/>
      <c r="H1907" s="71">
        <v>0.5</v>
      </c>
      <c r="I1907" s="71">
        <v>0</v>
      </c>
      <c r="J1907" s="71">
        <v>0</v>
      </c>
    </row>
    <row r="1908" customFormat="1" ht="12.75" hidden="1" spans="1:10">
      <c r="A1908" s="64"/>
      <c r="B1908" s="73" t="s">
        <v>3652</v>
      </c>
      <c r="C1908" s="66" t="s">
        <v>3653</v>
      </c>
      <c r="D1908" s="67">
        <v>0.2174</v>
      </c>
      <c r="E1908" s="68"/>
      <c r="F1908" s="69">
        <v>1</v>
      </c>
      <c r="G1908" s="70"/>
      <c r="H1908" s="71">
        <v>0.5</v>
      </c>
      <c r="I1908" s="71">
        <v>0</v>
      </c>
      <c r="J1908" s="71">
        <v>0</v>
      </c>
    </row>
    <row r="1909" customFormat="1" ht="25.5" hidden="1" spans="1:10">
      <c r="A1909" s="64"/>
      <c r="B1909" s="73" t="s">
        <v>3654</v>
      </c>
      <c r="C1909" s="66" t="s">
        <v>3655</v>
      </c>
      <c r="D1909" s="67">
        <v>0.2174</v>
      </c>
      <c r="E1909" s="68"/>
      <c r="F1909" s="69">
        <v>1</v>
      </c>
      <c r="G1909" s="70"/>
      <c r="H1909" s="71">
        <v>0.5</v>
      </c>
      <c r="I1909" s="71">
        <v>0</v>
      </c>
      <c r="J1909" s="71">
        <v>0</v>
      </c>
    </row>
    <row r="1910" customFormat="1" ht="25.5" hidden="1" spans="1:10">
      <c r="A1910" s="64"/>
      <c r="B1910" s="73" t="s">
        <v>3656</v>
      </c>
      <c r="C1910" s="66" t="s">
        <v>3657</v>
      </c>
      <c r="D1910" s="67">
        <v>0.2174</v>
      </c>
      <c r="E1910" s="68"/>
      <c r="F1910" s="69">
        <v>1</v>
      </c>
      <c r="G1910" s="70"/>
      <c r="H1910" s="71">
        <v>0.5</v>
      </c>
      <c r="I1910" s="71">
        <v>0</v>
      </c>
      <c r="J1910" s="71">
        <v>0</v>
      </c>
    </row>
    <row r="1911" customFormat="1" ht="12.75" hidden="1" spans="1:10">
      <c r="A1911" s="64"/>
      <c r="B1911" s="73" t="s">
        <v>3658</v>
      </c>
      <c r="C1911" s="66" t="s">
        <v>3659</v>
      </c>
      <c r="D1911" s="67">
        <v>0.2174</v>
      </c>
      <c r="E1911" s="68"/>
      <c r="F1911" s="69">
        <v>1</v>
      </c>
      <c r="G1911" s="70"/>
      <c r="H1911" s="71">
        <v>0.5</v>
      </c>
      <c r="I1911" s="71">
        <v>0</v>
      </c>
      <c r="J1911" s="71">
        <v>0</v>
      </c>
    </row>
    <row r="1912" customFormat="1" ht="25.5" hidden="1" spans="1:10">
      <c r="A1912" s="64"/>
      <c r="B1912" s="73" t="s">
        <v>3660</v>
      </c>
      <c r="C1912" s="66" t="s">
        <v>3661</v>
      </c>
      <c r="D1912" s="67">
        <v>0.2174</v>
      </c>
      <c r="E1912" s="68"/>
      <c r="F1912" s="69">
        <v>1</v>
      </c>
      <c r="G1912" s="70"/>
      <c r="H1912" s="71">
        <v>0.5</v>
      </c>
      <c r="I1912" s="71">
        <v>0</v>
      </c>
      <c r="J1912" s="71">
        <v>0</v>
      </c>
    </row>
    <row r="1913" customFormat="1" ht="12.75" hidden="1" spans="1:10">
      <c r="A1913" s="64"/>
      <c r="B1913" s="73" t="s">
        <v>3662</v>
      </c>
      <c r="C1913" s="66" t="s">
        <v>3663</v>
      </c>
      <c r="D1913" s="67">
        <v>0.2174</v>
      </c>
      <c r="E1913" s="68"/>
      <c r="F1913" s="69">
        <v>1</v>
      </c>
      <c r="G1913" s="70"/>
      <c r="H1913" s="71">
        <v>0.5</v>
      </c>
      <c r="I1913" s="71">
        <v>0</v>
      </c>
      <c r="J1913" s="71">
        <v>0</v>
      </c>
    </row>
    <row r="1914" customFormat="1" ht="25.5" hidden="1" spans="1:10">
      <c r="A1914" s="64"/>
      <c r="B1914" s="73" t="s">
        <v>3664</v>
      </c>
      <c r="C1914" s="66" t="s">
        <v>3665</v>
      </c>
      <c r="D1914" s="67">
        <v>0.2174</v>
      </c>
      <c r="E1914" s="68"/>
      <c r="F1914" s="69">
        <v>1</v>
      </c>
      <c r="G1914" s="70"/>
      <c r="H1914" s="71">
        <v>0.5</v>
      </c>
      <c r="I1914" s="71">
        <v>0</v>
      </c>
      <c r="J1914" s="71">
        <v>0</v>
      </c>
    </row>
    <row r="1915" customFormat="1" ht="12.75" hidden="1" spans="1:10">
      <c r="A1915" s="64"/>
      <c r="B1915" s="73" t="s">
        <v>3666</v>
      </c>
      <c r="C1915" s="66" t="s">
        <v>3667</v>
      </c>
      <c r="D1915" s="67">
        <v>0.2174</v>
      </c>
      <c r="E1915" s="68"/>
      <c r="F1915" s="69">
        <v>1</v>
      </c>
      <c r="G1915" s="70"/>
      <c r="H1915" s="71">
        <v>0.5</v>
      </c>
      <c r="I1915" s="71">
        <v>0</v>
      </c>
      <c r="J1915" s="71">
        <v>0</v>
      </c>
    </row>
    <row r="1916" customFormat="1" ht="12.75" hidden="1" spans="1:10">
      <c r="A1916" s="64"/>
      <c r="B1916" s="73" t="s">
        <v>3668</v>
      </c>
      <c r="C1916" s="66" t="s">
        <v>3669</v>
      </c>
      <c r="D1916" s="67">
        <v>0.2174</v>
      </c>
      <c r="E1916" s="68"/>
      <c r="F1916" s="69">
        <v>1</v>
      </c>
      <c r="G1916" s="70"/>
      <c r="H1916" s="71">
        <v>0.5</v>
      </c>
      <c r="I1916" s="71">
        <v>0</v>
      </c>
      <c r="J1916" s="71">
        <v>0</v>
      </c>
    </row>
    <row r="1917" customFormat="1" ht="12.75" hidden="1" spans="1:10">
      <c r="A1917" s="64"/>
      <c r="B1917" s="73" t="s">
        <v>3670</v>
      </c>
      <c r="C1917" s="66" t="s">
        <v>3671</v>
      </c>
      <c r="D1917" s="67">
        <v>0.2174</v>
      </c>
      <c r="E1917" s="68"/>
      <c r="F1917" s="69">
        <v>1</v>
      </c>
      <c r="G1917" s="70"/>
      <c r="H1917" s="71">
        <v>0.5</v>
      </c>
      <c r="I1917" s="71">
        <v>0</v>
      </c>
      <c r="J1917" s="71">
        <v>0</v>
      </c>
    </row>
    <row r="1918" customFormat="1" ht="12.75" hidden="1" spans="1:10">
      <c r="A1918" s="64"/>
      <c r="B1918" s="73" t="s">
        <v>3672</v>
      </c>
      <c r="C1918" s="66" t="s">
        <v>3673</v>
      </c>
      <c r="D1918" s="67">
        <v>0.2174</v>
      </c>
      <c r="E1918" s="68"/>
      <c r="F1918" s="69">
        <v>1</v>
      </c>
      <c r="G1918" s="70"/>
      <c r="H1918" s="71">
        <v>0.5</v>
      </c>
      <c r="I1918" s="71">
        <v>0</v>
      </c>
      <c r="J1918" s="71">
        <v>0</v>
      </c>
    </row>
    <row r="1919" customFormat="1" ht="12.75" hidden="1" spans="1:10">
      <c r="A1919" s="64"/>
      <c r="B1919" s="73" t="s">
        <v>3674</v>
      </c>
      <c r="C1919" s="66" t="s">
        <v>3675</v>
      </c>
      <c r="D1919" s="67">
        <v>0.2174</v>
      </c>
      <c r="E1919" s="68"/>
      <c r="F1919" s="69">
        <v>1</v>
      </c>
      <c r="G1919" s="70"/>
      <c r="H1919" s="71">
        <v>0.5</v>
      </c>
      <c r="I1919" s="71">
        <v>0</v>
      </c>
      <c r="J1919" s="71">
        <v>0</v>
      </c>
    </row>
    <row r="1920" customFormat="1" ht="25.5" hidden="1" spans="1:10">
      <c r="A1920" s="64"/>
      <c r="B1920" s="73" t="s">
        <v>3676</v>
      </c>
      <c r="C1920" s="66" t="s">
        <v>3677</v>
      </c>
      <c r="D1920" s="67">
        <v>0.2174</v>
      </c>
      <c r="E1920" s="68"/>
      <c r="F1920" s="69">
        <v>1</v>
      </c>
      <c r="G1920" s="70"/>
      <c r="H1920" s="71">
        <v>0.5</v>
      </c>
      <c r="I1920" s="71">
        <v>0</v>
      </c>
      <c r="J1920" s="71">
        <v>0</v>
      </c>
    </row>
    <row r="1921" customFormat="1" ht="12.75" hidden="1" spans="1:10">
      <c r="A1921" s="64"/>
      <c r="B1921" s="73" t="s">
        <v>3678</v>
      </c>
      <c r="C1921" s="66" t="s">
        <v>3679</v>
      </c>
      <c r="D1921" s="67">
        <v>0.2174</v>
      </c>
      <c r="E1921" s="68"/>
      <c r="F1921" s="69">
        <v>1</v>
      </c>
      <c r="G1921" s="70"/>
      <c r="H1921" s="71">
        <v>0.5</v>
      </c>
      <c r="I1921" s="71">
        <v>0</v>
      </c>
      <c r="J1921" s="71">
        <v>0</v>
      </c>
    </row>
    <row r="1922" customFormat="1" ht="25.5" hidden="1" spans="1:10">
      <c r="A1922" s="64"/>
      <c r="B1922" s="73" t="s">
        <v>3680</v>
      </c>
      <c r="C1922" s="66" t="s">
        <v>3681</v>
      </c>
      <c r="D1922" s="67">
        <v>0.913</v>
      </c>
      <c r="E1922" s="68"/>
      <c r="F1922" s="69">
        <v>3.5</v>
      </c>
      <c r="G1922" s="70"/>
      <c r="H1922" s="71">
        <v>2.1</v>
      </c>
      <c r="I1922" s="71">
        <v>0</v>
      </c>
      <c r="J1922" s="71">
        <v>0</v>
      </c>
    </row>
    <row r="1923" customFormat="1" ht="12.75" hidden="1" spans="1:10">
      <c r="A1923" s="64"/>
      <c r="B1923" s="73" t="s">
        <v>3682</v>
      </c>
      <c r="C1923" s="66" t="s">
        <v>3683</v>
      </c>
      <c r="D1923" s="67">
        <v>0.2174</v>
      </c>
      <c r="E1923" s="68"/>
      <c r="F1923" s="69">
        <v>1</v>
      </c>
      <c r="G1923" s="70"/>
      <c r="H1923" s="71">
        <v>0.5</v>
      </c>
      <c r="I1923" s="71">
        <v>0</v>
      </c>
      <c r="J1923" s="71">
        <v>0</v>
      </c>
    </row>
    <row r="1924" customFormat="1" ht="12.75" hidden="1" spans="1:10">
      <c r="A1924" s="64"/>
      <c r="B1924" s="73" t="s">
        <v>3684</v>
      </c>
      <c r="C1924" s="66" t="s">
        <v>3685</v>
      </c>
      <c r="D1924" s="67">
        <v>0.2174</v>
      </c>
      <c r="E1924" s="68"/>
      <c r="F1924" s="69">
        <v>1</v>
      </c>
      <c r="G1924" s="70"/>
      <c r="H1924" s="71">
        <v>0.5</v>
      </c>
      <c r="I1924" s="71">
        <v>0</v>
      </c>
      <c r="J1924" s="71">
        <v>0</v>
      </c>
    </row>
    <row r="1925" customFormat="1" ht="12.75" hidden="1" spans="1:10">
      <c r="A1925" s="64"/>
      <c r="B1925" s="73" t="s">
        <v>3686</v>
      </c>
      <c r="C1925" s="66" t="s">
        <v>3687</v>
      </c>
      <c r="D1925" s="67">
        <v>0.2174</v>
      </c>
      <c r="E1925" s="68"/>
      <c r="F1925" s="69">
        <v>1</v>
      </c>
      <c r="G1925" s="70"/>
      <c r="H1925" s="71">
        <v>0.5</v>
      </c>
      <c r="I1925" s="71">
        <v>0</v>
      </c>
      <c r="J1925" s="71">
        <v>0</v>
      </c>
    </row>
    <row r="1926" customFormat="1" ht="12.75" hidden="1" spans="1:10">
      <c r="A1926" s="64"/>
      <c r="B1926" s="73" t="s">
        <v>3688</v>
      </c>
      <c r="C1926" s="66" t="s">
        <v>3689</v>
      </c>
      <c r="D1926" s="67">
        <v>0.2174</v>
      </c>
      <c r="E1926" s="68"/>
      <c r="F1926" s="69">
        <v>1</v>
      </c>
      <c r="G1926" s="70"/>
      <c r="H1926" s="71">
        <v>0.5</v>
      </c>
      <c r="I1926" s="71">
        <v>0</v>
      </c>
      <c r="J1926" s="71">
        <v>0</v>
      </c>
    </row>
    <row r="1927" customFormat="1" ht="25.5" hidden="1" spans="1:10">
      <c r="A1927" s="64"/>
      <c r="B1927" s="73" t="s">
        <v>3690</v>
      </c>
      <c r="C1927" s="66" t="s">
        <v>3691</v>
      </c>
      <c r="D1927" s="67">
        <v>0.2174</v>
      </c>
      <c r="E1927" s="68"/>
      <c r="F1927" s="69">
        <v>1</v>
      </c>
      <c r="G1927" s="70"/>
      <c r="H1927" s="71">
        <v>0.5</v>
      </c>
      <c r="I1927" s="71">
        <v>0</v>
      </c>
      <c r="J1927" s="71">
        <v>0</v>
      </c>
    </row>
    <row r="1928" customFormat="1" ht="12.75" hidden="1" spans="1:10">
      <c r="A1928" s="64"/>
      <c r="B1928" s="73" t="s">
        <v>3692</v>
      </c>
      <c r="C1928" s="66" t="s">
        <v>3693</v>
      </c>
      <c r="D1928" s="67">
        <v>0.2174</v>
      </c>
      <c r="E1928" s="68"/>
      <c r="F1928" s="69">
        <v>1</v>
      </c>
      <c r="G1928" s="70"/>
      <c r="H1928" s="71">
        <v>0.5</v>
      </c>
      <c r="I1928" s="71">
        <v>0</v>
      </c>
      <c r="J1928" s="71">
        <v>0</v>
      </c>
    </row>
    <row r="1929" customFormat="1" ht="25.5" hidden="1" spans="1:10">
      <c r="A1929" s="64"/>
      <c r="B1929" s="73" t="s">
        <v>3694</v>
      </c>
      <c r="C1929" s="66" t="s">
        <v>3695</v>
      </c>
      <c r="D1929" s="67">
        <v>0.2174</v>
      </c>
      <c r="E1929" s="68"/>
      <c r="F1929" s="69">
        <v>1</v>
      </c>
      <c r="G1929" s="70"/>
      <c r="H1929" s="71">
        <v>0.5</v>
      </c>
      <c r="I1929" s="71">
        <v>0</v>
      </c>
      <c r="J1929" s="71">
        <v>0</v>
      </c>
    </row>
    <row r="1930" customFormat="1" ht="12.75" hidden="1" spans="1:10">
      <c r="A1930" s="64"/>
      <c r="B1930" s="73" t="s">
        <v>3696</v>
      </c>
      <c r="C1930" s="66" t="s">
        <v>3697</v>
      </c>
      <c r="D1930" s="67">
        <v>0.2174</v>
      </c>
      <c r="E1930" s="68"/>
      <c r="F1930" s="69">
        <v>1</v>
      </c>
      <c r="G1930" s="70"/>
      <c r="H1930" s="71">
        <v>0.5</v>
      </c>
      <c r="I1930" s="71">
        <v>0</v>
      </c>
      <c r="J1930" s="71">
        <v>0</v>
      </c>
    </row>
    <row r="1931" customFormat="1" ht="12.75" hidden="1" spans="1:10">
      <c r="A1931" s="64"/>
      <c r="B1931" s="73" t="s">
        <v>3698</v>
      </c>
      <c r="C1931" s="66" t="s">
        <v>3699</v>
      </c>
      <c r="D1931" s="67">
        <v>0.2174</v>
      </c>
      <c r="E1931" s="68"/>
      <c r="F1931" s="69">
        <v>1</v>
      </c>
      <c r="G1931" s="70"/>
      <c r="H1931" s="71">
        <v>0.5</v>
      </c>
      <c r="I1931" s="71">
        <v>0</v>
      </c>
      <c r="J1931" s="71">
        <v>0</v>
      </c>
    </row>
    <row r="1932" customFormat="1" ht="12.75" hidden="1" spans="1:10">
      <c r="A1932" s="64"/>
      <c r="B1932" s="73" t="s">
        <v>3700</v>
      </c>
      <c r="C1932" s="66" t="s">
        <v>3701</v>
      </c>
      <c r="D1932" s="67">
        <v>0.2174</v>
      </c>
      <c r="E1932" s="68"/>
      <c r="F1932" s="69">
        <v>1</v>
      </c>
      <c r="G1932" s="70"/>
      <c r="H1932" s="71">
        <v>0.5</v>
      </c>
      <c r="I1932" s="71">
        <v>0</v>
      </c>
      <c r="J1932" s="71">
        <v>0</v>
      </c>
    </row>
    <row r="1933" customFormat="1" ht="12.75" hidden="1" spans="1:10">
      <c r="A1933" s="64"/>
      <c r="B1933" s="73" t="s">
        <v>3702</v>
      </c>
      <c r="C1933" s="66" t="s">
        <v>3703</v>
      </c>
      <c r="D1933" s="67">
        <v>0.2174</v>
      </c>
      <c r="E1933" s="68"/>
      <c r="F1933" s="69">
        <v>1</v>
      </c>
      <c r="G1933" s="70"/>
      <c r="H1933" s="71">
        <v>0.5</v>
      </c>
      <c r="I1933" s="71">
        <v>0</v>
      </c>
      <c r="J1933" s="71">
        <v>0</v>
      </c>
    </row>
    <row r="1934" customFormat="1" ht="25.5" hidden="1" spans="1:10">
      <c r="A1934" s="64"/>
      <c r="B1934" s="73" t="s">
        <v>3704</v>
      </c>
      <c r="C1934" s="66" t="s">
        <v>3705</v>
      </c>
      <c r="D1934" s="67">
        <v>0.2174</v>
      </c>
      <c r="E1934" s="68"/>
      <c r="F1934" s="69">
        <v>1</v>
      </c>
      <c r="G1934" s="70"/>
      <c r="H1934" s="71">
        <v>0.5</v>
      </c>
      <c r="I1934" s="71">
        <v>0</v>
      </c>
      <c r="J1934" s="71">
        <v>0</v>
      </c>
    </row>
    <row r="1935" customFormat="1" ht="12.75" hidden="1" spans="1:10">
      <c r="A1935" s="64"/>
      <c r="B1935" s="73" t="s">
        <v>3706</v>
      </c>
      <c r="C1935" s="66" t="s">
        <v>3707</v>
      </c>
      <c r="D1935" s="67">
        <v>0.2174</v>
      </c>
      <c r="E1935" s="68"/>
      <c r="F1935" s="69">
        <v>1</v>
      </c>
      <c r="G1935" s="70"/>
      <c r="H1935" s="71">
        <v>0.5</v>
      </c>
      <c r="I1935" s="71">
        <v>0</v>
      </c>
      <c r="J1935" s="71">
        <v>0</v>
      </c>
    </row>
    <row r="1936" customFormat="1" ht="12.75" hidden="1" spans="1:10">
      <c r="A1936" s="64"/>
      <c r="B1936" s="73" t="s">
        <v>3708</v>
      </c>
      <c r="C1936" s="66" t="s">
        <v>3709</v>
      </c>
      <c r="D1936" s="67">
        <v>0.2174</v>
      </c>
      <c r="E1936" s="68"/>
      <c r="F1936" s="69">
        <v>1</v>
      </c>
      <c r="G1936" s="70"/>
      <c r="H1936" s="71">
        <v>0.5</v>
      </c>
      <c r="I1936" s="71">
        <v>0</v>
      </c>
      <c r="J1936" s="71">
        <v>0</v>
      </c>
    </row>
    <row r="1937" customFormat="1" ht="12.75" hidden="1" spans="1:10">
      <c r="A1937" s="64"/>
      <c r="B1937" s="73" t="s">
        <v>3710</v>
      </c>
      <c r="C1937" s="66" t="s">
        <v>3711</v>
      </c>
      <c r="D1937" s="67">
        <v>0.2174</v>
      </c>
      <c r="E1937" s="68"/>
      <c r="F1937" s="69">
        <v>1</v>
      </c>
      <c r="G1937" s="70"/>
      <c r="H1937" s="71">
        <v>0.5</v>
      </c>
      <c r="I1937" s="71">
        <v>0</v>
      </c>
      <c r="J1937" s="71">
        <v>0</v>
      </c>
    </row>
    <row r="1938" customFormat="1" ht="12.75" hidden="1" spans="1:10">
      <c r="A1938" s="64"/>
      <c r="B1938" s="73" t="s">
        <v>3712</v>
      </c>
      <c r="C1938" s="66" t="s">
        <v>3713</v>
      </c>
      <c r="D1938" s="67">
        <v>0.2174</v>
      </c>
      <c r="E1938" s="68"/>
      <c r="F1938" s="69">
        <v>1</v>
      </c>
      <c r="G1938" s="70"/>
      <c r="H1938" s="71">
        <v>0.5</v>
      </c>
      <c r="I1938" s="71">
        <v>0</v>
      </c>
      <c r="J1938" s="71">
        <v>0</v>
      </c>
    </row>
    <row r="1939" customFormat="1" ht="12.75" hidden="1" spans="1:10">
      <c r="A1939" s="64"/>
      <c r="B1939" s="73" t="s">
        <v>3714</v>
      </c>
      <c r="C1939" s="66" t="s">
        <v>3715</v>
      </c>
      <c r="D1939" s="67">
        <v>0.2174</v>
      </c>
      <c r="E1939" s="68"/>
      <c r="F1939" s="69">
        <v>1</v>
      </c>
      <c r="G1939" s="70"/>
      <c r="H1939" s="71">
        <v>0.5</v>
      </c>
      <c r="I1939" s="71">
        <v>0</v>
      </c>
      <c r="J1939" s="71">
        <v>0</v>
      </c>
    </row>
    <row r="1940" customFormat="1" ht="12.75" hidden="1" spans="1:10">
      <c r="A1940" s="64"/>
      <c r="B1940" s="73" t="s">
        <v>3716</v>
      </c>
      <c r="C1940" s="66" t="s">
        <v>3717</v>
      </c>
      <c r="D1940" s="67">
        <v>0.2174</v>
      </c>
      <c r="E1940" s="68"/>
      <c r="F1940" s="69">
        <v>1</v>
      </c>
      <c r="G1940" s="70"/>
      <c r="H1940" s="71">
        <v>0.5</v>
      </c>
      <c r="I1940" s="71">
        <v>0</v>
      </c>
      <c r="J1940" s="71">
        <v>0</v>
      </c>
    </row>
    <row r="1941" customFormat="1" ht="12.75" hidden="1" spans="1:10">
      <c r="A1941" s="64"/>
      <c r="B1941" s="73" t="s">
        <v>3718</v>
      </c>
      <c r="C1941" s="66" t="s">
        <v>3719</v>
      </c>
      <c r="D1941" s="67">
        <v>0.2174</v>
      </c>
      <c r="E1941" s="68"/>
      <c r="F1941" s="69">
        <v>1</v>
      </c>
      <c r="G1941" s="70"/>
      <c r="H1941" s="71">
        <v>0.5</v>
      </c>
      <c r="I1941" s="71">
        <v>0</v>
      </c>
      <c r="J1941" s="71">
        <v>0</v>
      </c>
    </row>
    <row r="1942" customFormat="1" ht="12.75" hidden="1" spans="1:10">
      <c r="A1942" s="64"/>
      <c r="B1942" s="73" t="s">
        <v>3720</v>
      </c>
      <c r="C1942" s="66" t="s">
        <v>3721</v>
      </c>
      <c r="D1942" s="67">
        <v>0.2174</v>
      </c>
      <c r="E1942" s="68"/>
      <c r="F1942" s="69">
        <v>1</v>
      </c>
      <c r="G1942" s="70"/>
      <c r="H1942" s="71">
        <v>0.5</v>
      </c>
      <c r="I1942" s="71">
        <v>0</v>
      </c>
      <c r="J1942" s="71">
        <v>0</v>
      </c>
    </row>
    <row r="1943" customFormat="1" ht="25.5" hidden="1" spans="1:10">
      <c r="A1943" s="64"/>
      <c r="B1943" s="73" t="s">
        <v>3722</v>
      </c>
      <c r="C1943" s="66" t="s">
        <v>3723</v>
      </c>
      <c r="D1943" s="67">
        <v>0.2174</v>
      </c>
      <c r="E1943" s="68"/>
      <c r="F1943" s="69">
        <v>1</v>
      </c>
      <c r="G1943" s="70"/>
      <c r="H1943" s="71">
        <v>0.5</v>
      </c>
      <c r="I1943" s="71">
        <v>0</v>
      </c>
      <c r="J1943" s="71">
        <v>0</v>
      </c>
    </row>
    <row r="1944" customFormat="1" ht="12.75" hidden="1" spans="1:10">
      <c r="A1944" s="64"/>
      <c r="B1944" s="73" t="s">
        <v>3724</v>
      </c>
      <c r="C1944" s="66" t="s">
        <v>3725</v>
      </c>
      <c r="D1944" s="67">
        <v>0.2174</v>
      </c>
      <c r="E1944" s="68"/>
      <c r="F1944" s="69">
        <v>1</v>
      </c>
      <c r="G1944" s="70"/>
      <c r="H1944" s="71">
        <v>0.5</v>
      </c>
      <c r="I1944" s="71">
        <v>0</v>
      </c>
      <c r="J1944" s="71">
        <v>0</v>
      </c>
    </row>
    <row r="1945" customFormat="1" ht="25.5" hidden="1" spans="1:10">
      <c r="A1945" s="64"/>
      <c r="B1945" s="73" t="s">
        <v>3726</v>
      </c>
      <c r="C1945" s="66" t="s">
        <v>3727</v>
      </c>
      <c r="D1945" s="67">
        <v>0.2174</v>
      </c>
      <c r="E1945" s="68"/>
      <c r="F1945" s="69">
        <v>1</v>
      </c>
      <c r="G1945" s="70"/>
      <c r="H1945" s="71">
        <v>0.5</v>
      </c>
      <c r="I1945" s="71">
        <v>0</v>
      </c>
      <c r="J1945" s="71">
        <v>0</v>
      </c>
    </row>
    <row r="1946" customFormat="1" ht="12.75" hidden="1" spans="1:10">
      <c r="A1946" s="64"/>
      <c r="B1946" s="73" t="s">
        <v>3728</v>
      </c>
      <c r="C1946" s="66" t="s">
        <v>3729</v>
      </c>
      <c r="D1946" s="67">
        <v>0.2174</v>
      </c>
      <c r="E1946" s="68"/>
      <c r="F1946" s="69">
        <v>1</v>
      </c>
      <c r="G1946" s="70"/>
      <c r="H1946" s="71">
        <v>0.5</v>
      </c>
      <c r="I1946" s="71">
        <v>0</v>
      </c>
      <c r="J1946" s="71">
        <v>0</v>
      </c>
    </row>
    <row r="1947" customFormat="1" ht="12.75" hidden="1" spans="1:10">
      <c r="A1947" s="64"/>
      <c r="B1947" s="73" t="s">
        <v>3730</v>
      </c>
      <c r="C1947" s="66" t="s">
        <v>3731</v>
      </c>
      <c r="D1947" s="67">
        <v>0.2174</v>
      </c>
      <c r="E1947" s="68"/>
      <c r="F1947" s="69">
        <v>1</v>
      </c>
      <c r="G1947" s="70"/>
      <c r="H1947" s="71">
        <v>0.5</v>
      </c>
      <c r="I1947" s="71">
        <v>0</v>
      </c>
      <c r="J1947" s="71">
        <v>0</v>
      </c>
    </row>
    <row r="1948" customFormat="1" ht="12.75" hidden="1" spans="1:10">
      <c r="A1948" s="64"/>
      <c r="B1948" s="73" t="s">
        <v>3732</v>
      </c>
      <c r="C1948" s="66" t="s">
        <v>3733</v>
      </c>
      <c r="D1948" s="67">
        <v>0.2174</v>
      </c>
      <c r="E1948" s="68"/>
      <c r="F1948" s="69">
        <v>1</v>
      </c>
      <c r="G1948" s="70"/>
      <c r="H1948" s="71">
        <v>0.5</v>
      </c>
      <c r="I1948" s="71">
        <v>0</v>
      </c>
      <c r="J1948" s="71">
        <v>0</v>
      </c>
    </row>
    <row r="1949" customFormat="1" ht="12.75" hidden="1" spans="1:10">
      <c r="A1949" s="64"/>
      <c r="B1949" s="73" t="s">
        <v>3734</v>
      </c>
      <c r="C1949" s="66" t="s">
        <v>3735</v>
      </c>
      <c r="D1949" s="67">
        <v>0.2174</v>
      </c>
      <c r="E1949" s="68"/>
      <c r="F1949" s="69">
        <v>1</v>
      </c>
      <c r="G1949" s="70"/>
      <c r="H1949" s="71">
        <v>0.5</v>
      </c>
      <c r="I1949" s="71">
        <v>0</v>
      </c>
      <c r="J1949" s="71">
        <v>0</v>
      </c>
    </row>
    <row r="1950" customFormat="1" ht="25.5" hidden="1" spans="1:10">
      <c r="A1950" s="64"/>
      <c r="B1950" s="73" t="s">
        <v>3736</v>
      </c>
      <c r="C1950" s="66" t="s">
        <v>3737</v>
      </c>
      <c r="D1950" s="67">
        <v>0.2174</v>
      </c>
      <c r="E1950" s="68"/>
      <c r="F1950" s="69">
        <v>1</v>
      </c>
      <c r="G1950" s="70"/>
      <c r="H1950" s="71">
        <v>0.5</v>
      </c>
      <c r="I1950" s="71">
        <v>0</v>
      </c>
      <c r="J1950" s="71">
        <v>0</v>
      </c>
    </row>
    <row r="1951" customFormat="1" ht="12.75" hidden="1" spans="1:10">
      <c r="A1951" s="64"/>
      <c r="B1951" s="73" t="s">
        <v>3738</v>
      </c>
      <c r="C1951" s="66" t="s">
        <v>3739</v>
      </c>
      <c r="D1951" s="67">
        <v>0.2174</v>
      </c>
      <c r="E1951" s="68"/>
      <c r="F1951" s="69">
        <v>1</v>
      </c>
      <c r="G1951" s="70"/>
      <c r="H1951" s="71">
        <v>0.5</v>
      </c>
      <c r="I1951" s="71">
        <v>0</v>
      </c>
      <c r="J1951" s="71">
        <v>0</v>
      </c>
    </row>
    <row r="1952" customFormat="1" ht="12.75" hidden="1" spans="1:10">
      <c r="A1952" s="64"/>
      <c r="B1952" s="73" t="s">
        <v>3740</v>
      </c>
      <c r="C1952" s="66" t="s">
        <v>3741</v>
      </c>
      <c r="D1952" s="67">
        <v>0.2174</v>
      </c>
      <c r="E1952" s="68"/>
      <c r="F1952" s="69">
        <v>1</v>
      </c>
      <c r="G1952" s="70"/>
      <c r="H1952" s="71">
        <v>0.5</v>
      </c>
      <c r="I1952" s="71">
        <v>0</v>
      </c>
      <c r="J1952" s="71">
        <v>0</v>
      </c>
    </row>
    <row r="1953" customFormat="1" ht="12.75" hidden="1" spans="1:10">
      <c r="A1953" s="64"/>
      <c r="B1953" s="73" t="s">
        <v>3742</v>
      </c>
      <c r="C1953" s="66" t="s">
        <v>3743</v>
      </c>
      <c r="D1953" s="67">
        <v>0.2174</v>
      </c>
      <c r="E1953" s="68"/>
      <c r="F1953" s="69">
        <v>1</v>
      </c>
      <c r="G1953" s="70"/>
      <c r="H1953" s="71">
        <v>0.5</v>
      </c>
      <c r="I1953" s="71">
        <v>0</v>
      </c>
      <c r="J1953" s="71">
        <v>0</v>
      </c>
    </row>
    <row r="1954" customFormat="1" ht="12.75" hidden="1" spans="1:10">
      <c r="A1954" s="64"/>
      <c r="B1954" s="73" t="s">
        <v>3744</v>
      </c>
      <c r="C1954" s="66" t="s">
        <v>3745</v>
      </c>
      <c r="D1954" s="67">
        <v>0.2174</v>
      </c>
      <c r="E1954" s="68"/>
      <c r="F1954" s="69">
        <v>1</v>
      </c>
      <c r="G1954" s="70"/>
      <c r="H1954" s="71">
        <v>0.5</v>
      </c>
      <c r="I1954" s="71">
        <v>0</v>
      </c>
      <c r="J1954" s="71">
        <v>0</v>
      </c>
    </row>
    <row r="1955" customFormat="1" ht="12.75" hidden="1" spans="1:10">
      <c r="A1955" s="64"/>
      <c r="B1955" s="73" t="s">
        <v>3746</v>
      </c>
      <c r="C1955" s="66" t="s">
        <v>3747</v>
      </c>
      <c r="D1955" s="67">
        <v>0.4348</v>
      </c>
      <c r="E1955" s="68"/>
      <c r="F1955" s="69">
        <v>1.6</v>
      </c>
      <c r="G1955" s="70"/>
      <c r="H1955" s="71">
        <v>1</v>
      </c>
      <c r="I1955" s="71">
        <v>0</v>
      </c>
      <c r="J1955" s="71">
        <v>0</v>
      </c>
    </row>
    <row r="1956" customFormat="1" ht="12.75" hidden="1" spans="1:10">
      <c r="A1956" s="64"/>
      <c r="B1956" s="73" t="s">
        <v>3748</v>
      </c>
      <c r="C1956" s="66" t="s">
        <v>3749</v>
      </c>
      <c r="D1956" s="67">
        <v>0.4348</v>
      </c>
      <c r="E1956" s="68"/>
      <c r="F1956" s="69">
        <v>1.6</v>
      </c>
      <c r="G1956" s="70"/>
      <c r="H1956" s="71">
        <v>1</v>
      </c>
      <c r="I1956" s="71">
        <v>0</v>
      </c>
      <c r="J1956" s="71">
        <v>0</v>
      </c>
    </row>
    <row r="1957" customFormat="1" ht="12.75" hidden="1" spans="1:10">
      <c r="A1957" s="64"/>
      <c r="B1957" s="73" t="s">
        <v>3750</v>
      </c>
      <c r="C1957" s="66" t="s">
        <v>3751</v>
      </c>
      <c r="D1957" s="67">
        <v>1.6957</v>
      </c>
      <c r="E1957" s="68"/>
      <c r="F1957" s="69">
        <v>6.5</v>
      </c>
      <c r="G1957" s="70"/>
      <c r="H1957" s="71">
        <v>3.9</v>
      </c>
      <c r="I1957" s="71">
        <v>0</v>
      </c>
      <c r="J1957" s="71">
        <v>0</v>
      </c>
    </row>
    <row r="1958" customFormat="1" ht="12.75" hidden="1" spans="1:10">
      <c r="A1958" s="64"/>
      <c r="B1958" s="73" t="s">
        <v>3752</v>
      </c>
      <c r="C1958" s="66" t="s">
        <v>3753</v>
      </c>
      <c r="D1958" s="67">
        <v>1.2174</v>
      </c>
      <c r="E1958" s="68"/>
      <c r="F1958" s="69">
        <v>4.5</v>
      </c>
      <c r="G1958" s="70"/>
      <c r="H1958" s="71">
        <v>2.8</v>
      </c>
      <c r="I1958" s="71">
        <v>0</v>
      </c>
      <c r="J1958" s="71">
        <v>0</v>
      </c>
    </row>
    <row r="1959" customFormat="1" ht="12.75" hidden="1" spans="1:10">
      <c r="A1959" s="64"/>
      <c r="B1959" s="73" t="s">
        <v>3754</v>
      </c>
      <c r="C1959" s="66" t="s">
        <v>3755</v>
      </c>
      <c r="D1959" s="67">
        <v>1.8261</v>
      </c>
      <c r="E1959" s="68"/>
      <c r="F1959" s="69">
        <v>6.8</v>
      </c>
      <c r="G1959" s="70"/>
      <c r="H1959" s="71">
        <v>4.2</v>
      </c>
      <c r="I1959" s="71">
        <v>0</v>
      </c>
      <c r="J1959" s="71">
        <v>0</v>
      </c>
    </row>
    <row r="1960" customFormat="1" ht="12.75" hidden="1" spans="1:10">
      <c r="A1960" s="64"/>
      <c r="B1960" s="73" t="s">
        <v>3756</v>
      </c>
      <c r="C1960" s="66" t="s">
        <v>3757</v>
      </c>
      <c r="D1960" s="67">
        <v>1.3043</v>
      </c>
      <c r="E1960" s="68"/>
      <c r="F1960" s="69">
        <v>2</v>
      </c>
      <c r="G1960" s="70"/>
      <c r="H1960" s="71">
        <v>1.5</v>
      </c>
      <c r="I1960" s="71">
        <v>0</v>
      </c>
      <c r="J1960" s="71">
        <v>0</v>
      </c>
    </row>
    <row r="1961" spans="15:20">
      <c r="O1961" s="49">
        <f>+SUM(O8:O1796)</f>
        <v>199.15</v>
      </c>
      <c r="T1961" s="49">
        <f>+SUM(T8:T1796)</f>
        <v>119.54</v>
      </c>
    </row>
    <row r="1962" spans="18:18">
      <c r="R1962" s="3">
        <f>199.15-119.54</f>
        <v>79.61</v>
      </c>
    </row>
  </sheetData>
  <autoFilter xmlns:etc="http://www.wps.cn/officeDocument/2017/etCustomData" ref="A4:T1962" etc:filterBottomFollowUsedRange="0">
    <filterColumn colId="0">
      <customFilters>
        <customFilter operator="notEqual" val=""/>
      </customFilters>
    </filterColumn>
    <extLst/>
  </autoFilter>
  <mergeCells count="3963">
    <mergeCell ref="E2:F2"/>
    <mergeCell ref="G2:J2"/>
    <mergeCell ref="A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A17:A18"/>
    <mergeCell ref="A177:A178"/>
    <mergeCell ref="A218:A219"/>
    <mergeCell ref="A337:A338"/>
    <mergeCell ref="A345:A346"/>
    <mergeCell ref="A411:A412"/>
    <mergeCell ref="A418:A419"/>
    <mergeCell ref="A420:A424"/>
    <mergeCell ref="A426:A437"/>
    <mergeCell ref="A438:A441"/>
    <mergeCell ref="A442:A443"/>
    <mergeCell ref="A452:A453"/>
    <mergeCell ref="A483:A484"/>
    <mergeCell ref="A514:A515"/>
    <mergeCell ref="A540:A541"/>
    <mergeCell ref="A547:A553"/>
    <mergeCell ref="A568:A569"/>
    <mergeCell ref="A601:A602"/>
    <mergeCell ref="A604:A605"/>
    <mergeCell ref="A633:A634"/>
    <mergeCell ref="A635:A636"/>
    <mergeCell ref="A658:A661"/>
    <mergeCell ref="A719:A720"/>
    <mergeCell ref="A738:A739"/>
    <mergeCell ref="A792:A793"/>
    <mergeCell ref="A809:A810"/>
    <mergeCell ref="A811:A812"/>
    <mergeCell ref="A826:A828"/>
    <mergeCell ref="A854:A855"/>
    <mergeCell ref="A877:A879"/>
    <mergeCell ref="A886:A889"/>
    <mergeCell ref="A937:A939"/>
    <mergeCell ref="A1034:A1035"/>
    <mergeCell ref="A1059:A1060"/>
    <mergeCell ref="A1119:A1120"/>
    <mergeCell ref="A1184:A1195"/>
    <mergeCell ref="A1367:A1368"/>
    <mergeCell ref="A1542:A1543"/>
    <mergeCell ref="A1567:A1574"/>
    <mergeCell ref="A1575:A1576"/>
    <mergeCell ref="A1618:A1619"/>
    <mergeCell ref="A1657:A1658"/>
    <mergeCell ref="A1699:A1700"/>
    <mergeCell ref="A1701:A1703"/>
    <mergeCell ref="A1773:A1774"/>
    <mergeCell ref="A1862:A186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view="pageBreakPreview" zoomScale="130" zoomScaleNormal="100" topLeftCell="A28" workbookViewId="0">
      <selection activeCell="F31" sqref="F31"/>
    </sheetView>
  </sheetViews>
  <sheetFormatPr defaultColWidth="11" defaultRowHeight="12.75"/>
  <cols>
    <col min="1" max="1" width="7.33333333333333" style="3" customWidth="1"/>
    <col min="2" max="2" width="16.3333333333333" style="4" customWidth="1"/>
    <col min="3" max="3" width="13.8333333333333" style="4" customWidth="1"/>
    <col min="4" max="4" width="25.5" style="4" customWidth="1"/>
    <col min="5" max="5" width="12" style="5"/>
    <col min="6" max="6" width="12" style="4"/>
    <col min="7" max="7" width="15" style="4" customWidth="1"/>
    <col min="8" max="9" width="12" style="4"/>
    <col min="10" max="10" width="12" style="5"/>
    <col min="11" max="16384" width="12" style="4"/>
  </cols>
  <sheetData>
    <row r="1" ht="14.25" spans="1:1">
      <c r="A1" s="6" t="s">
        <v>3781</v>
      </c>
    </row>
    <row r="2" ht="18.75" spans="1:7">
      <c r="A2" s="7" t="s">
        <v>3782</v>
      </c>
      <c r="B2" s="7"/>
      <c r="C2" s="8" t="s">
        <v>3783</v>
      </c>
      <c r="D2" s="8"/>
      <c r="E2" s="8"/>
      <c r="F2" s="8"/>
      <c r="G2" s="8"/>
    </row>
    <row r="3" ht="20.25" spans="1:7">
      <c r="A3" s="7" t="s">
        <v>3784</v>
      </c>
      <c r="B3" s="7"/>
      <c r="C3" s="9">
        <v>1401091838</v>
      </c>
      <c r="D3" s="9"/>
      <c r="F3" s="10" t="s">
        <v>3785</v>
      </c>
      <c r="G3" s="11" t="s">
        <v>3786</v>
      </c>
    </row>
    <row r="4" ht="15.75" spans="1:7">
      <c r="A4" s="7" t="s">
        <v>3787</v>
      </c>
      <c r="B4" s="7" t="s">
        <v>3788</v>
      </c>
      <c r="C4" s="12" t="s">
        <v>3789</v>
      </c>
      <c r="D4" s="13" t="s">
        <v>3790</v>
      </c>
      <c r="E4" s="14" t="s">
        <v>3791</v>
      </c>
      <c r="F4" s="14"/>
      <c r="G4" s="14"/>
    </row>
    <row r="6" ht="18.75" spans="1:6">
      <c r="A6" s="15" t="s">
        <v>3792</v>
      </c>
      <c r="E6" s="16" t="s">
        <v>3793</v>
      </c>
      <c r="F6" s="17">
        <v>45951</v>
      </c>
    </row>
    <row r="7" s="1" customFormat="1" ht="15.75" spans="1:16">
      <c r="A7" s="18" t="s">
        <v>3794</v>
      </c>
      <c r="B7" s="19" t="s">
        <v>0</v>
      </c>
      <c r="C7" s="19" t="s">
        <v>1</v>
      </c>
      <c r="D7" s="19" t="s">
        <v>2</v>
      </c>
      <c r="E7" s="20" t="s">
        <v>3766</v>
      </c>
      <c r="F7" s="21" t="s">
        <v>3767</v>
      </c>
      <c r="G7" s="21" t="s">
        <v>3768</v>
      </c>
      <c r="J7" s="20" t="s">
        <v>3771</v>
      </c>
      <c r="K7" s="21" t="s">
        <v>3772</v>
      </c>
      <c r="L7" s="21" t="s">
        <v>3768</v>
      </c>
      <c r="O7" s="21" t="s">
        <v>3795</v>
      </c>
      <c r="P7" s="21"/>
    </row>
    <row r="8" ht="38.25" spans="1:16">
      <c r="A8" s="22">
        <v>1</v>
      </c>
      <c r="B8" s="23" t="s">
        <v>3773</v>
      </c>
      <c r="C8" s="24" t="s">
        <v>3774</v>
      </c>
      <c r="D8" s="25" t="s">
        <v>3775</v>
      </c>
      <c r="E8" s="26">
        <v>13</v>
      </c>
      <c r="F8" s="27">
        <v>0.5</v>
      </c>
      <c r="G8" s="27">
        <v>6.5</v>
      </c>
      <c r="J8" s="32">
        <f t="shared" ref="J8:J31" si="0">+E8</f>
        <v>13</v>
      </c>
      <c r="K8" s="33">
        <v>0.3</v>
      </c>
      <c r="L8" s="33">
        <f t="shared" ref="L8:L31" si="1">+J8*K8</f>
        <v>3.9</v>
      </c>
      <c r="O8" s="33">
        <f>+ROUND((F8/1.15),4)</f>
        <v>0.4348</v>
      </c>
      <c r="P8" s="33">
        <f>+E8*O8</f>
        <v>5.6524</v>
      </c>
    </row>
    <row r="9" ht="38.25" spans="1:16">
      <c r="A9" s="28">
        <v>2</v>
      </c>
      <c r="B9" s="29" t="s">
        <v>3773</v>
      </c>
      <c r="C9" s="30" t="s">
        <v>3796</v>
      </c>
      <c r="D9" s="31" t="s">
        <v>768</v>
      </c>
      <c r="E9" s="32">
        <v>6</v>
      </c>
      <c r="F9" s="33">
        <v>1</v>
      </c>
      <c r="G9" s="33">
        <v>6</v>
      </c>
      <c r="J9" s="32">
        <f t="shared" si="0"/>
        <v>6</v>
      </c>
      <c r="K9" s="33">
        <v>0.8</v>
      </c>
      <c r="L9" s="33">
        <f t="shared" si="1"/>
        <v>4.8</v>
      </c>
      <c r="O9" s="33">
        <f t="shared" ref="O9:O31" si="2">+ROUND((F9/1.15),4)</f>
        <v>0.8696</v>
      </c>
      <c r="P9" s="33">
        <f t="shared" ref="P9:P31" si="3">+E9*O9</f>
        <v>5.2176</v>
      </c>
    </row>
    <row r="10" ht="38.25" spans="1:16">
      <c r="A10" s="22">
        <v>3</v>
      </c>
      <c r="B10" s="29" t="s">
        <v>3773</v>
      </c>
      <c r="C10" s="30" t="s">
        <v>3797</v>
      </c>
      <c r="D10" s="31" t="s">
        <v>849</v>
      </c>
      <c r="E10" s="32">
        <v>8</v>
      </c>
      <c r="F10" s="33">
        <v>0.5</v>
      </c>
      <c r="G10" s="33">
        <v>4</v>
      </c>
      <c r="J10" s="32">
        <f t="shared" si="0"/>
        <v>8</v>
      </c>
      <c r="K10" s="33">
        <v>0.3</v>
      </c>
      <c r="L10" s="33">
        <f t="shared" si="1"/>
        <v>2.4</v>
      </c>
      <c r="O10" s="33">
        <f t="shared" si="2"/>
        <v>0.4348</v>
      </c>
      <c r="P10" s="33">
        <f t="shared" si="3"/>
        <v>3.4784</v>
      </c>
    </row>
    <row r="11" ht="38.25" spans="1:16">
      <c r="A11" s="28">
        <v>4</v>
      </c>
      <c r="B11" s="29" t="s">
        <v>3773</v>
      </c>
      <c r="C11" s="30" t="s">
        <v>3798</v>
      </c>
      <c r="D11" s="31" t="s">
        <v>1162</v>
      </c>
      <c r="E11" s="32">
        <v>5</v>
      </c>
      <c r="F11" s="33">
        <v>2.1</v>
      </c>
      <c r="G11" s="33">
        <v>11</v>
      </c>
      <c r="J11" s="32">
        <f t="shared" si="0"/>
        <v>5</v>
      </c>
      <c r="K11" s="33">
        <v>1.5</v>
      </c>
      <c r="L11" s="33">
        <f t="shared" si="1"/>
        <v>7.5</v>
      </c>
      <c r="O11" s="33">
        <f t="shared" si="2"/>
        <v>1.8261</v>
      </c>
      <c r="P11" s="33">
        <f t="shared" si="3"/>
        <v>9.1305</v>
      </c>
    </row>
    <row r="12" ht="38.25" spans="1:16">
      <c r="A12" s="22">
        <v>5</v>
      </c>
      <c r="B12" s="29" t="s">
        <v>3773</v>
      </c>
      <c r="C12" s="30" t="s">
        <v>3799</v>
      </c>
      <c r="D12" s="31" t="s">
        <v>1172</v>
      </c>
      <c r="E12" s="32">
        <v>3</v>
      </c>
      <c r="F12" s="33">
        <v>1.9</v>
      </c>
      <c r="G12" s="33">
        <v>5.7</v>
      </c>
      <c r="J12" s="32">
        <f t="shared" si="0"/>
        <v>3</v>
      </c>
      <c r="K12" s="33">
        <v>1.2</v>
      </c>
      <c r="L12" s="33">
        <f t="shared" si="1"/>
        <v>3.6</v>
      </c>
      <c r="O12" s="33">
        <f t="shared" si="2"/>
        <v>1.6522</v>
      </c>
      <c r="P12" s="33">
        <f t="shared" si="3"/>
        <v>4.9566</v>
      </c>
    </row>
    <row r="13" ht="38.25" spans="1:16">
      <c r="A13" s="28">
        <v>6</v>
      </c>
      <c r="B13" s="29" t="s">
        <v>3773</v>
      </c>
      <c r="C13" s="30" t="s">
        <v>3800</v>
      </c>
      <c r="D13" s="31" t="s">
        <v>1301</v>
      </c>
      <c r="E13" s="32">
        <v>6</v>
      </c>
      <c r="F13" s="33">
        <v>0.5</v>
      </c>
      <c r="G13" s="33">
        <v>3</v>
      </c>
      <c r="J13" s="32">
        <f t="shared" si="0"/>
        <v>6</v>
      </c>
      <c r="K13" s="33">
        <v>0.3</v>
      </c>
      <c r="L13" s="33">
        <f t="shared" si="1"/>
        <v>1.8</v>
      </c>
      <c r="O13" s="33">
        <f t="shared" si="2"/>
        <v>0.4348</v>
      </c>
      <c r="P13" s="33">
        <f t="shared" si="3"/>
        <v>2.6088</v>
      </c>
    </row>
    <row r="14" ht="38.25" spans="1:16">
      <c r="A14" s="22">
        <v>7</v>
      </c>
      <c r="B14" s="29" t="s">
        <v>3773</v>
      </c>
      <c r="C14" s="30" t="s">
        <v>3801</v>
      </c>
      <c r="D14" s="31" t="s">
        <v>1303</v>
      </c>
      <c r="E14" s="32">
        <v>6</v>
      </c>
      <c r="F14" s="33">
        <v>0.6</v>
      </c>
      <c r="G14" s="33">
        <v>3.6</v>
      </c>
      <c r="J14" s="32">
        <f t="shared" si="0"/>
        <v>6</v>
      </c>
      <c r="K14" s="33">
        <v>0.4</v>
      </c>
      <c r="L14" s="33">
        <f t="shared" si="1"/>
        <v>2.4</v>
      </c>
      <c r="O14" s="33">
        <f t="shared" si="2"/>
        <v>0.5217</v>
      </c>
      <c r="P14" s="33">
        <f t="shared" si="3"/>
        <v>3.1302</v>
      </c>
    </row>
    <row r="15" ht="38.25" spans="1:16">
      <c r="A15" s="28">
        <v>8</v>
      </c>
      <c r="B15" s="29" t="s">
        <v>3773</v>
      </c>
      <c r="C15" s="30" t="s">
        <v>3802</v>
      </c>
      <c r="D15" s="31" t="s">
        <v>1406</v>
      </c>
      <c r="E15" s="32">
        <v>6</v>
      </c>
      <c r="F15" s="33">
        <v>2</v>
      </c>
      <c r="G15" s="33">
        <v>12</v>
      </c>
      <c r="J15" s="32">
        <f t="shared" si="0"/>
        <v>6</v>
      </c>
      <c r="K15" s="33">
        <v>1.5</v>
      </c>
      <c r="L15" s="33">
        <f t="shared" si="1"/>
        <v>9</v>
      </c>
      <c r="O15" s="33">
        <f t="shared" si="2"/>
        <v>1.7391</v>
      </c>
      <c r="P15" s="33">
        <f t="shared" si="3"/>
        <v>10.4346</v>
      </c>
    </row>
    <row r="16" ht="38.25" spans="1:16">
      <c r="A16" s="22">
        <v>9</v>
      </c>
      <c r="B16" s="29" t="s">
        <v>3773</v>
      </c>
      <c r="C16" s="30" t="s">
        <v>3803</v>
      </c>
      <c r="D16" s="31" t="s">
        <v>1460</v>
      </c>
      <c r="E16" s="32">
        <f>12+24</f>
        <v>36</v>
      </c>
      <c r="F16" s="33">
        <v>0.5</v>
      </c>
      <c r="G16" s="33">
        <v>6</v>
      </c>
      <c r="J16" s="32">
        <f t="shared" si="0"/>
        <v>36</v>
      </c>
      <c r="K16" s="33">
        <v>0.3</v>
      </c>
      <c r="L16" s="33">
        <f t="shared" si="1"/>
        <v>10.8</v>
      </c>
      <c r="O16" s="33">
        <f t="shared" si="2"/>
        <v>0.4348</v>
      </c>
      <c r="P16" s="33">
        <f t="shared" si="3"/>
        <v>15.6528</v>
      </c>
    </row>
    <row r="17" ht="38.25" spans="1:16">
      <c r="A17" s="28">
        <v>10</v>
      </c>
      <c r="B17" s="29" t="s">
        <v>3773</v>
      </c>
      <c r="C17" s="30" t="s">
        <v>3804</v>
      </c>
      <c r="D17" s="31" t="s">
        <v>1639</v>
      </c>
      <c r="E17" s="32">
        <v>12</v>
      </c>
      <c r="F17" s="33">
        <v>1</v>
      </c>
      <c r="G17" s="33">
        <v>24</v>
      </c>
      <c r="J17" s="32">
        <f t="shared" si="0"/>
        <v>12</v>
      </c>
      <c r="K17" s="33">
        <v>0.5</v>
      </c>
      <c r="L17" s="33">
        <f t="shared" si="1"/>
        <v>6</v>
      </c>
      <c r="O17" s="33">
        <f t="shared" si="2"/>
        <v>0.8696</v>
      </c>
      <c r="P17" s="33">
        <f t="shared" si="3"/>
        <v>10.4352</v>
      </c>
    </row>
    <row r="18" ht="38.25" spans="1:16">
      <c r="A18" s="22">
        <v>11</v>
      </c>
      <c r="B18" s="29" t="s">
        <v>3773</v>
      </c>
      <c r="C18" s="30" t="s">
        <v>3805</v>
      </c>
      <c r="D18" s="31" t="s">
        <v>1781</v>
      </c>
      <c r="E18" s="32">
        <v>6</v>
      </c>
      <c r="F18" s="33">
        <v>1</v>
      </c>
      <c r="G18" s="33">
        <v>6</v>
      </c>
      <c r="J18" s="32">
        <f t="shared" si="0"/>
        <v>6</v>
      </c>
      <c r="K18" s="33">
        <v>0.5</v>
      </c>
      <c r="L18" s="33">
        <f t="shared" si="1"/>
        <v>3</v>
      </c>
      <c r="O18" s="33">
        <f t="shared" si="2"/>
        <v>0.8696</v>
      </c>
      <c r="P18" s="33">
        <f t="shared" si="3"/>
        <v>5.2176</v>
      </c>
    </row>
    <row r="19" ht="38.25" spans="1:16">
      <c r="A19" s="28">
        <v>12</v>
      </c>
      <c r="B19" s="29" t="s">
        <v>3773</v>
      </c>
      <c r="C19" s="30" t="s">
        <v>3806</v>
      </c>
      <c r="D19" s="31" t="s">
        <v>1831</v>
      </c>
      <c r="E19" s="32">
        <v>29</v>
      </c>
      <c r="F19" s="33">
        <v>0.25</v>
      </c>
      <c r="G19" s="33">
        <v>7.25</v>
      </c>
      <c r="J19" s="32">
        <f t="shared" si="0"/>
        <v>29</v>
      </c>
      <c r="K19" s="33">
        <v>0.1</v>
      </c>
      <c r="L19" s="33">
        <f t="shared" si="1"/>
        <v>2.9</v>
      </c>
      <c r="O19" s="33">
        <f t="shared" si="2"/>
        <v>0.2174</v>
      </c>
      <c r="P19" s="33">
        <f t="shared" si="3"/>
        <v>6.3046</v>
      </c>
    </row>
    <row r="20" ht="38.25" spans="1:16">
      <c r="A20" s="22">
        <v>13</v>
      </c>
      <c r="B20" s="29" t="s">
        <v>3773</v>
      </c>
      <c r="C20" s="30" t="s">
        <v>3807</v>
      </c>
      <c r="D20" s="31" t="s">
        <v>2018</v>
      </c>
      <c r="E20" s="32">
        <v>13</v>
      </c>
      <c r="F20" s="33">
        <v>0.3</v>
      </c>
      <c r="G20" s="33">
        <v>3.9</v>
      </c>
      <c r="J20" s="32">
        <f t="shared" si="0"/>
        <v>13</v>
      </c>
      <c r="K20" s="33">
        <v>0.2</v>
      </c>
      <c r="L20" s="33">
        <f t="shared" si="1"/>
        <v>2.6</v>
      </c>
      <c r="O20" s="33">
        <f t="shared" si="2"/>
        <v>0.2609</v>
      </c>
      <c r="P20" s="33">
        <f t="shared" si="3"/>
        <v>3.3917</v>
      </c>
    </row>
    <row r="21" ht="38.25" spans="1:16">
      <c r="A21" s="28">
        <v>14</v>
      </c>
      <c r="B21" s="29" t="s">
        <v>3773</v>
      </c>
      <c r="C21" s="30" t="s">
        <v>3808</v>
      </c>
      <c r="D21" s="31" t="s">
        <v>2074</v>
      </c>
      <c r="E21" s="32">
        <v>12</v>
      </c>
      <c r="F21" s="33">
        <v>0.6</v>
      </c>
      <c r="G21" s="33">
        <v>7.2</v>
      </c>
      <c r="J21" s="32">
        <f t="shared" si="0"/>
        <v>12</v>
      </c>
      <c r="K21" s="33">
        <v>0.4</v>
      </c>
      <c r="L21" s="33">
        <f t="shared" si="1"/>
        <v>4.8</v>
      </c>
      <c r="O21" s="33">
        <f t="shared" si="2"/>
        <v>0.5217</v>
      </c>
      <c r="P21" s="33">
        <f t="shared" si="3"/>
        <v>6.2604</v>
      </c>
    </row>
    <row r="22" ht="38.25" spans="1:16">
      <c r="A22" s="22">
        <v>15</v>
      </c>
      <c r="B22" s="29" t="s">
        <v>3773</v>
      </c>
      <c r="C22" s="30" t="s">
        <v>3809</v>
      </c>
      <c r="D22" s="31" t="s">
        <v>2078</v>
      </c>
      <c r="E22" s="32">
        <v>12</v>
      </c>
      <c r="F22" s="33">
        <v>0.5</v>
      </c>
      <c r="G22" s="33">
        <v>6</v>
      </c>
      <c r="J22" s="32">
        <f t="shared" si="0"/>
        <v>12</v>
      </c>
      <c r="K22" s="33">
        <v>0.3</v>
      </c>
      <c r="L22" s="33">
        <f t="shared" si="1"/>
        <v>3.6</v>
      </c>
      <c r="O22" s="33">
        <f t="shared" si="2"/>
        <v>0.4348</v>
      </c>
      <c r="P22" s="33">
        <f t="shared" si="3"/>
        <v>5.2176</v>
      </c>
    </row>
    <row r="23" ht="38.25" spans="1:16">
      <c r="A23" s="28">
        <v>16</v>
      </c>
      <c r="B23" s="29" t="s">
        <v>3773</v>
      </c>
      <c r="C23" s="30" t="s">
        <v>3810</v>
      </c>
      <c r="D23" s="31" t="s">
        <v>2090</v>
      </c>
      <c r="E23" s="32">
        <v>12</v>
      </c>
      <c r="F23" s="33">
        <v>1</v>
      </c>
      <c r="G23" s="33">
        <v>12</v>
      </c>
      <c r="J23" s="32">
        <f t="shared" si="0"/>
        <v>12</v>
      </c>
      <c r="K23" s="33">
        <v>0.6</v>
      </c>
      <c r="L23" s="33">
        <f t="shared" si="1"/>
        <v>7.2</v>
      </c>
      <c r="O23" s="33">
        <f t="shared" si="2"/>
        <v>0.8696</v>
      </c>
      <c r="P23" s="33">
        <f t="shared" si="3"/>
        <v>10.4352</v>
      </c>
    </row>
    <row r="24" ht="38.25" spans="1:16">
      <c r="A24" s="22">
        <v>17</v>
      </c>
      <c r="B24" s="29" t="s">
        <v>3773</v>
      </c>
      <c r="C24" s="30" t="s">
        <v>3811</v>
      </c>
      <c r="D24" s="31" t="s">
        <v>2210</v>
      </c>
      <c r="E24" s="32">
        <v>6</v>
      </c>
      <c r="F24" s="33">
        <v>1</v>
      </c>
      <c r="G24" s="33">
        <v>6</v>
      </c>
      <c r="J24" s="32">
        <f t="shared" si="0"/>
        <v>6</v>
      </c>
      <c r="K24" s="33">
        <v>0.6</v>
      </c>
      <c r="L24" s="33">
        <f t="shared" si="1"/>
        <v>3.6</v>
      </c>
      <c r="O24" s="33">
        <f t="shared" si="2"/>
        <v>0.8696</v>
      </c>
      <c r="P24" s="33">
        <f t="shared" si="3"/>
        <v>5.2176</v>
      </c>
    </row>
    <row r="25" ht="38.25" spans="1:16">
      <c r="A25" s="28">
        <v>18</v>
      </c>
      <c r="B25" s="29" t="s">
        <v>3773</v>
      </c>
      <c r="C25" s="30" t="s">
        <v>3812</v>
      </c>
      <c r="D25" s="31" t="s">
        <v>2212</v>
      </c>
      <c r="E25" s="32">
        <v>6</v>
      </c>
      <c r="F25" s="33">
        <v>1</v>
      </c>
      <c r="G25" s="33">
        <v>6</v>
      </c>
      <c r="J25" s="32">
        <f t="shared" si="0"/>
        <v>6</v>
      </c>
      <c r="K25" s="33">
        <v>0.6</v>
      </c>
      <c r="L25" s="33">
        <f t="shared" si="1"/>
        <v>3.6</v>
      </c>
      <c r="O25" s="33">
        <f t="shared" si="2"/>
        <v>0.8696</v>
      </c>
      <c r="P25" s="33">
        <f t="shared" si="3"/>
        <v>5.2176</v>
      </c>
    </row>
    <row r="26" ht="38.25" spans="1:16">
      <c r="A26" s="22">
        <v>19</v>
      </c>
      <c r="B26" s="29" t="s">
        <v>3773</v>
      </c>
      <c r="C26" s="30" t="s">
        <v>3813</v>
      </c>
      <c r="D26" s="31" t="s">
        <v>2351</v>
      </c>
      <c r="E26" s="32">
        <v>20</v>
      </c>
      <c r="F26" s="33">
        <v>0.3</v>
      </c>
      <c r="G26" s="33">
        <v>6</v>
      </c>
      <c r="J26" s="32">
        <f t="shared" si="0"/>
        <v>20</v>
      </c>
      <c r="K26" s="33">
        <v>0.2</v>
      </c>
      <c r="L26" s="33">
        <f t="shared" si="1"/>
        <v>4</v>
      </c>
      <c r="O26" s="33">
        <f t="shared" si="2"/>
        <v>0.2609</v>
      </c>
      <c r="P26" s="33">
        <f t="shared" si="3"/>
        <v>5.218</v>
      </c>
    </row>
    <row r="27" ht="38.25" spans="1:16">
      <c r="A27" s="28">
        <v>20</v>
      </c>
      <c r="B27" s="29" t="s">
        <v>3773</v>
      </c>
      <c r="C27" s="30" t="s">
        <v>3814</v>
      </c>
      <c r="D27" s="31" t="s">
        <v>2866</v>
      </c>
      <c r="E27" s="32">
        <v>3</v>
      </c>
      <c r="F27" s="33">
        <v>2</v>
      </c>
      <c r="G27" s="33">
        <v>6</v>
      </c>
      <c r="J27" s="32">
        <f t="shared" si="0"/>
        <v>3</v>
      </c>
      <c r="K27" s="33">
        <v>1.2</v>
      </c>
      <c r="L27" s="33">
        <f t="shared" si="1"/>
        <v>3.6</v>
      </c>
      <c r="O27" s="33">
        <f t="shared" si="2"/>
        <v>1.7391</v>
      </c>
      <c r="P27" s="33">
        <f t="shared" si="3"/>
        <v>5.2173</v>
      </c>
    </row>
    <row r="28" ht="38.25" spans="1:16">
      <c r="A28" s="22">
        <v>21</v>
      </c>
      <c r="B28" s="29" t="s">
        <v>3773</v>
      </c>
      <c r="C28" s="30" t="s">
        <v>3815</v>
      </c>
      <c r="D28" s="31" t="s">
        <v>3195</v>
      </c>
      <c r="E28" s="32">
        <v>4</v>
      </c>
      <c r="F28" s="33">
        <v>0.5</v>
      </c>
      <c r="G28" s="33">
        <v>2</v>
      </c>
      <c r="J28" s="32">
        <f t="shared" si="0"/>
        <v>4</v>
      </c>
      <c r="K28" s="33">
        <v>0.3</v>
      </c>
      <c r="L28" s="33">
        <f t="shared" si="1"/>
        <v>1.2</v>
      </c>
      <c r="O28" s="33">
        <f t="shared" si="2"/>
        <v>0.4348</v>
      </c>
      <c r="P28" s="33">
        <f t="shared" si="3"/>
        <v>1.7392</v>
      </c>
    </row>
    <row r="29" ht="38.25" spans="1:16">
      <c r="A29" s="28">
        <v>22</v>
      </c>
      <c r="B29" s="29" t="s">
        <v>3773</v>
      </c>
      <c r="C29" s="30" t="s">
        <v>3816</v>
      </c>
      <c r="D29" s="31" t="s">
        <v>3331</v>
      </c>
      <c r="E29" s="32">
        <v>3</v>
      </c>
      <c r="F29" s="33">
        <v>1.5</v>
      </c>
      <c r="G29" s="33">
        <v>4.5</v>
      </c>
      <c r="J29" s="32">
        <f t="shared" si="0"/>
        <v>3</v>
      </c>
      <c r="K29" s="33">
        <v>0.9</v>
      </c>
      <c r="L29" s="33">
        <f t="shared" si="1"/>
        <v>2.7</v>
      </c>
      <c r="O29" s="33">
        <f t="shared" si="2"/>
        <v>1.3043</v>
      </c>
      <c r="P29" s="33">
        <f t="shared" si="3"/>
        <v>3.9129</v>
      </c>
    </row>
    <row r="30" ht="38.25" spans="1:16">
      <c r="A30" s="22">
        <v>23</v>
      </c>
      <c r="B30" s="29" t="s">
        <v>3773</v>
      </c>
      <c r="C30" s="30" t="s">
        <v>3817</v>
      </c>
      <c r="D30" s="31" t="s">
        <v>3389</v>
      </c>
      <c r="E30" s="32">
        <v>17</v>
      </c>
      <c r="F30" s="33">
        <v>0.5</v>
      </c>
      <c r="G30" s="33">
        <v>8.5</v>
      </c>
      <c r="J30" s="32">
        <f t="shared" si="0"/>
        <v>17</v>
      </c>
      <c r="K30" s="33">
        <v>0.3</v>
      </c>
      <c r="L30" s="33">
        <f t="shared" si="1"/>
        <v>5.1</v>
      </c>
      <c r="O30" s="33">
        <f t="shared" si="2"/>
        <v>0.4348</v>
      </c>
      <c r="P30" s="33">
        <f t="shared" si="3"/>
        <v>7.3916</v>
      </c>
    </row>
    <row r="31" ht="38.25" spans="1:16">
      <c r="A31" s="28">
        <v>24</v>
      </c>
      <c r="B31" s="29" t="s">
        <v>3773</v>
      </c>
      <c r="C31" s="30" t="s">
        <v>3818</v>
      </c>
      <c r="D31" s="31" t="s">
        <v>3431</v>
      </c>
      <c r="E31" s="32">
        <v>12</v>
      </c>
      <c r="F31" s="33">
        <v>0.5</v>
      </c>
      <c r="G31" s="33">
        <v>12</v>
      </c>
      <c r="J31" s="32">
        <f t="shared" si="0"/>
        <v>12</v>
      </c>
      <c r="K31" s="33">
        <v>0.36</v>
      </c>
      <c r="L31" s="33">
        <f t="shared" si="1"/>
        <v>4.32</v>
      </c>
      <c r="O31" s="33">
        <f t="shared" si="2"/>
        <v>0.4348</v>
      </c>
      <c r="P31" s="33">
        <f t="shared" si="3"/>
        <v>5.2176</v>
      </c>
    </row>
    <row r="32" ht="20.25" spans="5:16">
      <c r="E32" s="34" t="s">
        <v>3819</v>
      </c>
      <c r="F32" s="34"/>
      <c r="G32" s="35">
        <f>SUM(G8:G31)</f>
        <v>175.15</v>
      </c>
      <c r="K32" s="42"/>
      <c r="L32" s="42">
        <f>SUM(L8:L31)</f>
        <v>104.42</v>
      </c>
      <c r="M32" s="43">
        <f>+G32-L32</f>
        <v>70.73</v>
      </c>
      <c r="N32" s="12" t="s">
        <v>3820</v>
      </c>
      <c r="O32" s="42"/>
      <c r="P32" s="42">
        <f>SUM(P8:P31)</f>
        <v>146.656</v>
      </c>
    </row>
    <row r="33" spans="15:16">
      <c r="O33" s="44">
        <v>0.15</v>
      </c>
      <c r="P33" s="4">
        <f>+P32*15%</f>
        <v>21.9984</v>
      </c>
    </row>
    <row r="34" spans="6:16">
      <c r="F34" s="5"/>
      <c r="G34" s="5"/>
      <c r="P34" s="45">
        <f>+P32+P33</f>
        <v>168.6544</v>
      </c>
    </row>
    <row r="35" spans="5:12">
      <c r="E35" s="36" t="s">
        <v>3819</v>
      </c>
      <c r="F35" s="36"/>
      <c r="G35" s="37">
        <f>+G32</f>
        <v>175.15</v>
      </c>
      <c r="J35" s="46" t="s">
        <v>3821</v>
      </c>
      <c r="K35" s="46"/>
      <c r="L35" s="47">
        <v>79.61</v>
      </c>
    </row>
    <row r="36" spans="5:12">
      <c r="E36" s="36" t="s">
        <v>3822</v>
      </c>
      <c r="F36" s="36"/>
      <c r="G36" s="38">
        <v>100</v>
      </c>
      <c r="J36" s="46" t="s">
        <v>3823</v>
      </c>
      <c r="K36" s="46"/>
      <c r="L36" s="47">
        <v>70.73</v>
      </c>
    </row>
    <row r="37" spans="5:12">
      <c r="E37" s="36" t="s">
        <v>3824</v>
      </c>
      <c r="F37" s="36"/>
      <c r="G37" s="37">
        <f>+G35-G36</f>
        <v>75.15</v>
      </c>
      <c r="J37" s="46" t="s">
        <v>3825</v>
      </c>
      <c r="K37" s="46"/>
      <c r="L37" s="47">
        <f>+L35-L36</f>
        <v>8.88</v>
      </c>
    </row>
    <row r="38" spans="6:7">
      <c r="F38" s="5"/>
      <c r="G38" s="5"/>
    </row>
    <row r="41" spans="2:6">
      <c r="B41" s="39" t="s">
        <v>3826</v>
      </c>
      <c r="C41" s="39"/>
      <c r="D41" s="40">
        <f>+G37</f>
        <v>75.15</v>
      </c>
      <c r="F41" s="5"/>
    </row>
    <row r="42" spans="2:6">
      <c r="B42" s="39" t="s">
        <v>3827</v>
      </c>
      <c r="C42" s="39"/>
      <c r="D42" s="41" t="s">
        <v>3828</v>
      </c>
      <c r="F42" s="5"/>
    </row>
    <row r="47" s="2" customFormat="1" spans="1:10">
      <c r="A47" s="16"/>
      <c r="B47" s="2" t="s">
        <v>3829</v>
      </c>
      <c r="E47" s="1" t="s">
        <v>3830</v>
      </c>
      <c r="J47" s="1"/>
    </row>
  </sheetData>
  <mergeCells count="15">
    <mergeCell ref="A2:B2"/>
    <mergeCell ref="C2:G2"/>
    <mergeCell ref="A3:B3"/>
    <mergeCell ref="C3:D3"/>
    <mergeCell ref="A4:B4"/>
    <mergeCell ref="E4:G4"/>
    <mergeCell ref="E32:F32"/>
    <mergeCell ref="E35:F35"/>
    <mergeCell ref="J35:K35"/>
    <mergeCell ref="E36:F36"/>
    <mergeCell ref="J36:K36"/>
    <mergeCell ref="E37:F37"/>
    <mergeCell ref="J37:K37"/>
    <mergeCell ref="B41:C41"/>
    <mergeCell ref="B42:C42"/>
  </mergeCells>
  <hyperlinks>
    <hyperlink ref="E4" r:id="rId2" display="em3355@gmail.com"/>
  </hyperlinks>
  <printOptions horizontalCentered="1" verticalCentered="1"/>
  <pageMargins left="0.511811023622047" right="0.511811023622047" top="0.15748031496063" bottom="0.15748031496063" header="0.31496062992126" footer="0.31496062992126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RGN1 - RGN2</vt:lpstr>
      <vt:lpstr>MF</vt:lpstr>
      <vt:lpstr>001 MOROCHO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Precios_incluyeiva</dc:title>
  <dc:creator>grupoamicis</dc:creator>
  <cp:lastModifiedBy>COLOMBOFILIA</cp:lastModifiedBy>
  <dcterms:created xsi:type="dcterms:W3CDTF">2025-10-21T16:06:00Z</dcterms:created>
  <cp:lastPrinted>2025-10-22T14:25:00Z</cp:lastPrinted>
  <dcterms:modified xsi:type="dcterms:W3CDTF">2025-11-07T02:00:33Z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42EC1DA2139E46E0B9250B983EB78806_13</vt:lpwstr>
  </property>
  <property fmtid="{D5CDD505-2E9C-101B-9397-08002B2CF9AE}" pid="6" name="KSOProductBuildVer">
    <vt:lpwstr>2058-12.2.0.23155</vt:lpwstr>
  </property>
</Properties>
</file>